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e66984641e2d38/Documents/"/>
    </mc:Choice>
  </mc:AlternateContent>
  <xr:revisionPtr revIDLastSave="1163" documentId="8_{D1965D16-334B-4A16-B28D-5FE50A7B5AF6}" xr6:coauthVersionLast="47" xr6:coauthVersionMax="47" xr10:uidLastSave="{6D8B5E64-E07E-418D-B688-07382A97D14E}"/>
  <bookViews>
    <workbookView xWindow="-108" yWindow="-108" windowWidth="23256" windowHeight="13896" activeTab="5" xr2:uid="{80B537D7-1E3E-4C1C-B83E-D601265BA754}"/>
  </bookViews>
  <sheets>
    <sheet name="RAW DATA " sheetId="1" r:id="rId1"/>
    <sheet name="DATA CLEANING " sheetId="4" r:id="rId2"/>
    <sheet name="CLEAN DATA " sheetId="2" r:id="rId3"/>
    <sheet name="PIVOT TABLE" sheetId="5" r:id="rId4"/>
    <sheet name="ANALYSIS" sheetId="3" r:id="rId5"/>
    <sheet name="DASHBOARD" sheetId="6" r:id="rId6"/>
  </sheets>
  <definedNames>
    <definedName name="_xlnm._FilterDatabase" localSheetId="0" hidden="1">'RAW DATA '!$A$1:$AI$1471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5" l="1"/>
  <c r="C4" i="3"/>
  <c r="B4" i="3"/>
  <c r="A4" i="3"/>
  <c r="C48" i="5"/>
  <c r="C47" i="5"/>
  <c r="B40" i="5"/>
  <c r="B36" i="5"/>
  <c r="B35" i="5"/>
  <c r="B41" i="5"/>
  <c r="B39" i="5"/>
  <c r="B42" i="5"/>
  <c r="B38" i="5"/>
  <c r="B37" i="5"/>
  <c r="B34" i="5"/>
  <c r="D4" i="3" l="1"/>
  <c r="C4" i="5"/>
  <c r="B4" i="5"/>
  <c r="A4" i="5"/>
  <c r="D22" i="5"/>
  <c r="D21" i="5"/>
  <c r="D20" i="5"/>
  <c r="D23" i="5"/>
  <c r="B23" i="5"/>
  <c r="B22" i="5"/>
  <c r="B21" i="5"/>
  <c r="B20" i="5"/>
  <c r="D10" i="5"/>
  <c r="D9" i="5"/>
  <c r="D8" i="5"/>
  <c r="B10" i="5"/>
  <c r="B9" i="5"/>
  <c r="B8" i="5"/>
  <c r="B80" i="5"/>
  <c r="B81" i="5"/>
  <c r="B82" i="5"/>
  <c r="B163" i="5" l="1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E1242" i="2"/>
  <c r="AE1243" i="2"/>
  <c r="AE1244" i="2"/>
  <c r="AE1245" i="2"/>
  <c r="AE1246" i="2"/>
  <c r="AE1247" i="2"/>
  <c r="AE1248" i="2"/>
  <c r="AE1249" i="2"/>
  <c r="AE1250" i="2"/>
  <c r="AE1251" i="2"/>
  <c r="AE1252" i="2"/>
  <c r="AE1253" i="2"/>
  <c r="AE1254" i="2"/>
  <c r="AE1255" i="2"/>
  <c r="AE1256" i="2"/>
  <c r="AE1257" i="2"/>
  <c r="AE1258" i="2"/>
  <c r="AE1259" i="2"/>
  <c r="AE1260" i="2"/>
  <c r="AE1261" i="2"/>
  <c r="AE1262" i="2"/>
  <c r="AE1263" i="2"/>
  <c r="AE1264" i="2"/>
  <c r="AE1265" i="2"/>
  <c r="AE1266" i="2"/>
  <c r="AE1267" i="2"/>
  <c r="AE1268" i="2"/>
  <c r="AE1269" i="2"/>
  <c r="AE1270" i="2"/>
  <c r="AE1271" i="2"/>
  <c r="AE1272" i="2"/>
  <c r="AE1273" i="2"/>
  <c r="AE1274" i="2"/>
  <c r="AE1275" i="2"/>
  <c r="AE1276" i="2"/>
  <c r="AE1277" i="2"/>
  <c r="AE1278" i="2"/>
  <c r="AE1279" i="2"/>
  <c r="AE1280" i="2"/>
  <c r="AE1281" i="2"/>
  <c r="AE1282" i="2"/>
  <c r="AE1283" i="2"/>
  <c r="AE1284" i="2"/>
  <c r="AE1285" i="2"/>
  <c r="AE1286" i="2"/>
  <c r="AE1287" i="2"/>
  <c r="AE1288" i="2"/>
  <c r="AE1289" i="2"/>
  <c r="AE1290" i="2"/>
  <c r="AE1291" i="2"/>
  <c r="AE1292" i="2"/>
  <c r="AE1293" i="2"/>
  <c r="AE1294" i="2"/>
  <c r="AE1295" i="2"/>
  <c r="AE1296" i="2"/>
  <c r="AE1297" i="2"/>
  <c r="AE1298" i="2"/>
  <c r="AE1299" i="2"/>
  <c r="AE1300" i="2"/>
  <c r="AE1301" i="2"/>
  <c r="AE1302" i="2"/>
  <c r="AE1303" i="2"/>
  <c r="AE1304" i="2"/>
  <c r="AE1305" i="2"/>
  <c r="AE1306" i="2"/>
  <c r="AE1307" i="2"/>
  <c r="AE1308" i="2"/>
  <c r="AE1309" i="2"/>
  <c r="AE1310" i="2"/>
  <c r="AE1311" i="2"/>
  <c r="AE1312" i="2"/>
  <c r="AE1313" i="2"/>
  <c r="AE1314" i="2"/>
  <c r="AE1315" i="2"/>
  <c r="AE1316" i="2"/>
  <c r="AE1317" i="2"/>
  <c r="AE1318" i="2"/>
  <c r="AE1319" i="2"/>
  <c r="AE1320" i="2"/>
  <c r="AE1321" i="2"/>
  <c r="AE1322" i="2"/>
  <c r="AE1323" i="2"/>
  <c r="AE1324" i="2"/>
  <c r="AE1325" i="2"/>
  <c r="AE1326" i="2"/>
  <c r="AE1327" i="2"/>
  <c r="AE1328" i="2"/>
  <c r="AE1329" i="2"/>
  <c r="AE1330" i="2"/>
  <c r="AE1331" i="2"/>
  <c r="AE1332" i="2"/>
  <c r="AE1333" i="2"/>
  <c r="AE1334" i="2"/>
  <c r="AE1335" i="2"/>
  <c r="AE1336" i="2"/>
  <c r="AE1337" i="2"/>
  <c r="AE1338" i="2"/>
  <c r="AE1339" i="2"/>
  <c r="AE1340" i="2"/>
  <c r="AE1341" i="2"/>
  <c r="AE1342" i="2"/>
  <c r="AE1343" i="2"/>
  <c r="AE1344" i="2"/>
  <c r="AE1345" i="2"/>
  <c r="AE1346" i="2"/>
  <c r="AE1347" i="2"/>
  <c r="AE1348" i="2"/>
  <c r="AE1349" i="2"/>
  <c r="AE1350" i="2"/>
  <c r="AE1351" i="2"/>
  <c r="AE1352" i="2"/>
  <c r="AE1353" i="2"/>
  <c r="AE1354" i="2"/>
  <c r="AE1355" i="2"/>
  <c r="AE1356" i="2"/>
  <c r="AE1357" i="2"/>
  <c r="AE1358" i="2"/>
  <c r="AE1359" i="2"/>
  <c r="AE1360" i="2"/>
  <c r="AE1361" i="2"/>
  <c r="AE1362" i="2"/>
  <c r="AE1363" i="2"/>
  <c r="AE1364" i="2"/>
  <c r="AE1365" i="2"/>
  <c r="AE1366" i="2"/>
  <c r="AE1367" i="2"/>
  <c r="AE1368" i="2"/>
  <c r="AE1369" i="2"/>
  <c r="AE1370" i="2"/>
  <c r="AE1371" i="2"/>
  <c r="AE1372" i="2"/>
  <c r="AE1373" i="2"/>
  <c r="AE1374" i="2"/>
  <c r="AE1375" i="2"/>
  <c r="AE1376" i="2"/>
  <c r="AE1377" i="2"/>
  <c r="AE1378" i="2"/>
  <c r="AE1379" i="2"/>
  <c r="AE1380" i="2"/>
  <c r="AE1381" i="2"/>
  <c r="AE1382" i="2"/>
  <c r="AE1383" i="2"/>
  <c r="AE1384" i="2"/>
  <c r="AE1385" i="2"/>
  <c r="AE1386" i="2"/>
  <c r="AE1387" i="2"/>
  <c r="AE1388" i="2"/>
  <c r="AE1389" i="2"/>
  <c r="AE1390" i="2"/>
  <c r="AE1391" i="2"/>
  <c r="AE1392" i="2"/>
  <c r="AE1393" i="2"/>
  <c r="AE1394" i="2"/>
  <c r="AE1395" i="2"/>
  <c r="AE1396" i="2"/>
  <c r="AE1397" i="2"/>
  <c r="AE1398" i="2"/>
  <c r="AE1399" i="2"/>
  <c r="AE1400" i="2"/>
  <c r="AE1401" i="2"/>
  <c r="AE1402" i="2"/>
  <c r="AE1403" i="2"/>
  <c r="AE1404" i="2"/>
  <c r="AE1405" i="2"/>
  <c r="AE1406" i="2"/>
  <c r="AE1407" i="2"/>
  <c r="AE1408" i="2"/>
  <c r="AE1409" i="2"/>
  <c r="AE1410" i="2"/>
  <c r="AE1411" i="2"/>
  <c r="AE1412" i="2"/>
  <c r="AE1413" i="2"/>
  <c r="AE1414" i="2"/>
  <c r="AE1415" i="2"/>
  <c r="AE1416" i="2"/>
  <c r="AE1417" i="2"/>
  <c r="AE1418" i="2"/>
  <c r="AE1419" i="2"/>
  <c r="AE1420" i="2"/>
  <c r="AE1421" i="2"/>
  <c r="AE1422" i="2"/>
  <c r="AE1423" i="2"/>
  <c r="AE1424" i="2"/>
  <c r="AE1425" i="2"/>
  <c r="AE1426" i="2"/>
  <c r="AE1427" i="2"/>
  <c r="AE1428" i="2"/>
  <c r="AE1429" i="2"/>
  <c r="AE1430" i="2"/>
  <c r="AE1431" i="2"/>
  <c r="AE1432" i="2"/>
  <c r="AE1433" i="2"/>
  <c r="AE1434" i="2"/>
  <c r="AE1435" i="2"/>
  <c r="AE1436" i="2"/>
  <c r="AE1437" i="2"/>
  <c r="AE1438" i="2"/>
  <c r="AE1439" i="2"/>
  <c r="AE1440" i="2"/>
  <c r="AE1441" i="2"/>
  <c r="AE1442" i="2"/>
  <c r="AE1443" i="2"/>
  <c r="AE1444" i="2"/>
  <c r="AE1445" i="2"/>
  <c r="AE1446" i="2"/>
  <c r="AE1447" i="2"/>
  <c r="AE1448" i="2"/>
  <c r="AE1449" i="2"/>
  <c r="AE1450" i="2"/>
  <c r="AE1451" i="2"/>
  <c r="AE1452" i="2"/>
  <c r="AE1453" i="2"/>
  <c r="AE1454" i="2"/>
  <c r="AE1455" i="2"/>
  <c r="AE1456" i="2"/>
  <c r="AE1457" i="2"/>
  <c r="AE1458" i="2"/>
  <c r="AE1459" i="2"/>
  <c r="AE1460" i="2"/>
  <c r="AE1461" i="2"/>
  <c r="AE1462" i="2"/>
  <c r="AE1463" i="2"/>
  <c r="AE1464" i="2"/>
  <c r="AE1465" i="2"/>
  <c r="AE1466" i="2"/>
  <c r="AE1467" i="2"/>
  <c r="AE1468" i="2"/>
  <c r="AE1469" i="2"/>
  <c r="AE1470" i="2"/>
  <c r="AE1471" i="2"/>
  <c r="S20" i="2"/>
  <c r="B162" i="5"/>
  <c r="B160" i="5"/>
  <c r="B161" i="5"/>
  <c r="E156" i="5"/>
  <c r="E155" i="5"/>
  <c r="E154" i="5"/>
  <c r="E153" i="5"/>
  <c r="E140" i="5"/>
  <c r="B148" i="5"/>
  <c r="B147" i="5"/>
  <c r="B146" i="5"/>
  <c r="E139" i="5"/>
  <c r="E141" i="5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B134" i="5"/>
  <c r="B133" i="5"/>
  <c r="E129" i="5"/>
  <c r="E128" i="5"/>
  <c r="B115" i="5"/>
  <c r="B118" i="5"/>
  <c r="B119" i="5"/>
  <c r="B123" i="5"/>
  <c r="B120" i="5"/>
  <c r="B122" i="5"/>
  <c r="B116" i="5"/>
  <c r="B117" i="5"/>
  <c r="B121" i="5"/>
  <c r="E108" i="5"/>
  <c r="E111" i="5"/>
  <c r="E110" i="5"/>
  <c r="E109" i="5"/>
  <c r="E107" i="5"/>
  <c r="E106" i="5"/>
  <c r="E105" i="5"/>
  <c r="E104" i="5"/>
  <c r="E103" i="5"/>
  <c r="B97" i="5"/>
  <c r="B96" i="5"/>
  <c r="B95" i="5"/>
  <c r="B94" i="5"/>
  <c r="E90" i="5"/>
  <c r="E89" i="5"/>
  <c r="E88" i="5"/>
  <c r="E87" i="5"/>
  <c r="E76" i="5"/>
  <c r="E75" i="5"/>
  <c r="E74" i="5"/>
</calcChain>
</file>

<file path=xl/sharedStrings.xml><?xml version="1.0" encoding="utf-8"?>
<sst xmlns="http://schemas.openxmlformats.org/spreadsheetml/2006/main" count="25297" uniqueCount="146">
  <si>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</si>
  <si>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</si>
  <si>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</si>
  <si>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</si>
  <si>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</si>
  <si>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</si>
  <si>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</si>
  <si>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</si>
  <si>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</si>
  <si>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</si>
  <si>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</si>
  <si>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</si>
  <si>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</si>
  <si>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</si>
  <si>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</si>
  <si>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</si>
  <si>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</si>
  <si>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</si>
  <si>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</si>
  <si>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</si>
  <si>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</si>
  <si>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</si>
  <si>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</si>
  <si>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</si>
  <si>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</si>
  <si>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</si>
  <si>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</si>
  <si>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</si>
  <si>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</si>
  <si>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</si>
  <si>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</si>
  <si>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</si>
  <si>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</si>
  <si>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</si>
  <si>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</si>
  <si>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</si>
  <si>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</si>
  <si>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</si>
  <si>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</si>
  <si>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</si>
  <si>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</si>
  <si>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</si>
  <si>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</si>
  <si>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</si>
  <si>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</si>
  <si>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</si>
  <si>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</si>
  <si>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</si>
  <si>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</si>
  <si>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</si>
  <si>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</si>
  <si>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</si>
  <si>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</si>
  <si>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</si>
  <si>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</si>
  <si>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</si>
  <si>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</si>
  <si>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</si>
  <si>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</si>
  <si>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</si>
  <si>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</si>
  <si>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</si>
  <si>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 xml:space="preserve">DATA QUALITY CHECK </t>
  </si>
  <si>
    <t>RESULT</t>
  </si>
  <si>
    <t>ACTION</t>
  </si>
  <si>
    <t>Duplicate employees</t>
  </si>
  <si>
    <t xml:space="preserve">missing value </t>
  </si>
  <si>
    <t>incorrect data type</t>
  </si>
  <si>
    <t xml:space="preserve">constante column </t>
  </si>
  <si>
    <t>unusual values</t>
  </si>
  <si>
    <t>no duplicate</t>
  </si>
  <si>
    <t>DATA CLEANING</t>
  </si>
  <si>
    <t>no action</t>
  </si>
  <si>
    <t>no missing value</t>
  </si>
  <si>
    <t>no unusual values</t>
  </si>
  <si>
    <t xml:space="preserve">no action </t>
  </si>
  <si>
    <t xml:space="preserve">all are general </t>
  </si>
  <si>
    <t>some columns found</t>
  </si>
  <si>
    <t>column remove</t>
  </si>
  <si>
    <t>fix data types</t>
  </si>
  <si>
    <t>total employee</t>
  </si>
  <si>
    <t>employee left</t>
  </si>
  <si>
    <t>employee stayed</t>
  </si>
  <si>
    <t>attrition rate</t>
  </si>
  <si>
    <t>Column Labels</t>
  </si>
  <si>
    <t>Grand Total</t>
  </si>
  <si>
    <t>Row Labels</t>
  </si>
  <si>
    <t>Count of Attrition</t>
  </si>
  <si>
    <t>Departments</t>
  </si>
  <si>
    <t>Attrition rate</t>
  </si>
  <si>
    <t>Count of EmployeeNumber</t>
  </si>
  <si>
    <t>Job satisfaction</t>
  </si>
  <si>
    <t>Job role</t>
  </si>
  <si>
    <t>Over time</t>
  </si>
  <si>
    <t xml:space="preserve">IncomeBand </t>
  </si>
  <si>
    <t>high</t>
  </si>
  <si>
    <t>low</t>
  </si>
  <si>
    <t>medium</t>
  </si>
  <si>
    <t xml:space="preserve">income band </t>
  </si>
  <si>
    <t xml:space="preserve">attrition </t>
  </si>
  <si>
    <t xml:space="preserve">TenureBand </t>
  </si>
  <si>
    <t>0-2 years</t>
  </si>
  <si>
    <t>10+ years</t>
  </si>
  <si>
    <t>3-5 years</t>
  </si>
  <si>
    <t>6-10 years</t>
  </si>
  <si>
    <t xml:space="preserve">tenure band </t>
  </si>
  <si>
    <t>HR EMPLOYEE ATTRITION ANALYSIS</t>
  </si>
  <si>
    <t>Analysis &amp; Key Findings</t>
  </si>
  <si>
    <t xml:space="preserve">Tenure band </t>
  </si>
  <si>
    <t xml:space="preserve">Income band </t>
  </si>
  <si>
    <t xml:space="preserve">Attrition </t>
  </si>
  <si>
    <t>ATTRITION BY DEPARTMENT</t>
  </si>
  <si>
    <t>SALARY &amp; ATTRITION</t>
  </si>
  <si>
    <t>TENURE &amp;ATTRITION</t>
  </si>
  <si>
    <t>ATTRITION BY JOB SATISFACTION</t>
  </si>
  <si>
    <t>ATTRITION  BY JOB ROLES</t>
  </si>
  <si>
    <t>ATTRITION BY OVER TIME</t>
  </si>
  <si>
    <t>KEY INSIGHTS</t>
  </si>
  <si>
    <t>Total employee</t>
  </si>
  <si>
    <t>Employee left</t>
  </si>
  <si>
    <t>Employee stayed</t>
  </si>
  <si>
    <t>•   Overall attrition: The company has an overall employee attrition rate of 16.12%, with 237 employees leaving out of 1,470.</t>
  </si>
  <si>
    <t xml:space="preserve">•   Department: Sales has the highest attrition rate among the three departments at approximately 20.63%, indicating that retention in </t>
  </si>
  <si>
    <t xml:space="preserve">     Sales should be investigated further.</t>
  </si>
  <si>
    <t>•   Salary: Attrition varies across salary bands, suggesting that compensation may be one factor associated with employee turnover.</t>
  </si>
  <si>
    <t xml:space="preserve">     HR should examine compensation together with other factors rather than considering salary alone.</t>
  </si>
  <si>
    <t xml:space="preserve">     how long employees have been with the company.</t>
  </si>
  <si>
    <t xml:space="preserve">     suggesting that employee experience and engagement deserve further attention.</t>
  </si>
  <si>
    <t xml:space="preserve">•   Job satisfaction: Employees with lower job satisfaction show higher attrition than employees with very high satisfaction, </t>
  </si>
  <si>
    <t xml:space="preserve">•   Tenure: Attrition differs across tenure groups, indicating that retention strategies may need to vary depending on </t>
  </si>
  <si>
    <t>•   Job role: Sales Representatives have the highest attrition rate among job roles, making this group a key area for HR retention efforts.</t>
  </si>
  <si>
    <t xml:space="preserve">     who do not work overtime (10.44%). This suggests that workload and work-life balance should be investigated.</t>
  </si>
  <si>
    <t>•   Overtime: Employees who work overtime have a substantially higher attrition rate (30.53%) compared with employees</t>
  </si>
  <si>
    <t xml:space="preserve">Create a new column named tenure band </t>
  </si>
  <si>
    <t xml:space="preserve">Create a new column named  income  band </t>
  </si>
  <si>
    <t xml:space="preserve">STEPS TAKEN </t>
  </si>
  <si>
    <t>HR EMPLOYEE ATTRITION DASHBOARD</t>
  </si>
  <si>
    <t>Employee Attrition Overview &amp; Key Drivers</t>
  </si>
  <si>
    <t>ATTRITION RATE</t>
  </si>
  <si>
    <t>EMPLOYEES LEFT</t>
  </si>
  <si>
    <t>TOTAL EMPLOYEES</t>
  </si>
  <si>
    <t>EMPLOYEES STAYED</t>
  </si>
  <si>
    <t>Low</t>
  </si>
  <si>
    <t>Medium</t>
  </si>
  <si>
    <t>High</t>
  </si>
  <si>
    <t>Very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</si>
</sst>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22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0" fontId="0" fillId="0" borderId="10" xfId="0" applyBorder="1"/>
    <xf numFmtId="0" fontId="0" fillId="33" borderId="10" xfId="0" applyFill="1" applyBorder="1"/>
    <xf numFmtId="0" fontId="16" fillId="33" borderId="10" xfId="0" applyFont="1" applyFill="1" applyBorder="1"/>
    <xf numFmtId="0" fontId="16" fillId="33" borderId="14" xfId="0" applyFont="1" applyFill="1" applyBorder="1"/>
    <xf numFmtId="0" fontId="16" fillId="33" borderId="15" xfId="0" applyFont="1" applyFill="1" applyBorder="1"/>
    <xf numFmtId="0" fontId="0" fillId="0" borderId="14" xfId="0" applyBorder="1"/>
    <xf numFmtId="0" fontId="0" fillId="0" borderId="15" xfId="0" applyBorder="1"/>
    <xf numFmtId="0" fontId="0" fillId="33" borderId="14" xfId="0" applyFill="1" applyBorder="1"/>
    <xf numFmtId="0" fontId="0" fillId="33" borderId="15" xfId="0" applyFill="1" applyBorder="1"/>
    <xf numFmtId="0" fontId="0" fillId="0" borderId="16" xfId="0" applyBorder="1"/>
    <xf numFmtId="0" fontId="0" fillId="0" borderId="17" xfId="0" applyBorder="1"/>
    <xf numFmtId="2" fontId="0" fillId="0" borderId="0" xfId="0" applyNumberFormat="1"/>
    <xf numFmtId="2" fontId="16" fillId="0" borderId="0" xfId="0" applyNumberFormat="1" applyFont="1"/>
    <xf numFmtId="49" fontId="16" fillId="0" borderId="0" xfId="0" applyNumberFormat="1" applyFont="1"/>
    <xf numFmtId="49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16" fillId="36" borderId="18" xfId="0" applyFont="1" applyFill="1" applyBorder="1"/>
    <xf numFmtId="0" fontId="16" fillId="0" borderId="0" xfId="0" applyFont="1" applyAlignment="1">
      <alignment horizontal="left"/>
    </xf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10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0" fontId="0" fillId="0" borderId="0" xfId="42" applyNumberFormat="1" applyFont="1" applyAlignment="1">
      <alignment horizontal="right"/>
    </xf>
    <xf numFmtId="0" fontId="0" fillId="0" borderId="21" xfId="0" applyBorder="1" applyAlignment="1">
      <alignment horizontal="left"/>
    </xf>
    <xf numFmtId="0" fontId="0" fillId="0" borderId="22" xfId="0" applyBorder="1"/>
    <xf numFmtId="10" fontId="0" fillId="0" borderId="22" xfId="0" applyNumberFormat="1" applyBorder="1"/>
    <xf numFmtId="0" fontId="0" fillId="0" borderId="23" xfId="0" applyBorder="1" applyAlignment="1">
      <alignment horizontal="left"/>
    </xf>
    <xf numFmtId="10" fontId="0" fillId="0" borderId="24" xfId="0" applyNumberFormat="1" applyBorder="1"/>
    <xf numFmtId="0" fontId="16" fillId="0" borderId="21" xfId="0" applyFont="1" applyBorder="1" applyAlignment="1">
      <alignment horizontal="left"/>
    </xf>
    <xf numFmtId="0" fontId="16" fillId="0" borderId="22" xfId="0" applyFont="1" applyBorder="1"/>
    <xf numFmtId="0" fontId="16" fillId="0" borderId="22" xfId="0" applyFont="1" applyBorder="1" applyAlignment="1">
      <alignment horizontal="left"/>
    </xf>
    <xf numFmtId="0" fontId="0" fillId="0" borderId="21" xfId="0" applyBorder="1"/>
    <xf numFmtId="0" fontId="0" fillId="0" borderId="23" xfId="0" applyBorder="1"/>
    <xf numFmtId="0" fontId="16" fillId="0" borderId="21" xfId="0" applyFont="1" applyBorder="1"/>
    <xf numFmtId="2" fontId="0" fillId="0" borderId="21" xfId="0" applyNumberFormat="1" applyBorder="1" applyAlignment="1">
      <alignment horizontal="left"/>
    </xf>
    <xf numFmtId="10" fontId="0" fillId="0" borderId="22" xfId="0" applyNumberFormat="1" applyBorder="1" applyAlignment="1">
      <alignment horizontal="left"/>
    </xf>
    <xf numFmtId="2" fontId="0" fillId="0" borderId="23" xfId="0" applyNumberFormat="1" applyBorder="1" applyAlignment="1">
      <alignment horizontal="left"/>
    </xf>
    <xf numFmtId="10" fontId="0" fillId="0" borderId="24" xfId="0" applyNumberFormat="1" applyBorder="1" applyAlignment="1">
      <alignment horizontal="left"/>
    </xf>
    <xf numFmtId="0" fontId="16" fillId="36" borderId="28" xfId="0" applyFont="1" applyFill="1" applyBorder="1"/>
    <xf numFmtId="10" fontId="0" fillId="0" borderId="29" xfId="0" applyNumberFormat="1" applyBorder="1"/>
    <xf numFmtId="0" fontId="0" fillId="0" borderId="29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9" xfId="0" applyBorder="1"/>
    <xf numFmtId="0" fontId="0" fillId="0" borderId="24" xfId="0" applyBorder="1"/>
    <xf numFmtId="0" fontId="20" fillId="0" borderId="0" xfId="0" applyFont="1"/>
    <xf numFmtId="0" fontId="0" fillId="0" borderId="36" xfId="0" applyBorder="1"/>
    <xf numFmtId="0" fontId="16" fillId="37" borderId="36" xfId="0" applyFont="1" applyFill="1" applyBorder="1" applyAlignment="1">
      <alignment horizontal="center"/>
    </xf>
    <xf numFmtId="0" fontId="0" fillId="0" borderId="36" xfId="0" applyBorder="1" applyAlignment="1">
      <alignment horizontal="center"/>
    </xf>
    <xf numFmtId="10" fontId="0" fillId="0" borderId="36" xfId="0" applyNumberFormat="1" applyBorder="1" applyAlignment="1">
      <alignment horizontal="center"/>
    </xf>
    <xf numFmtId="0" fontId="21" fillId="0" borderId="0" xfId="0" applyFont="1"/>
    <xf numFmtId="0" fontId="21" fillId="39" borderId="36" xfId="0" applyFont="1" applyFill="1" applyBorder="1"/>
    <xf numFmtId="0" fontId="21" fillId="0" borderId="36" xfId="0" applyFont="1" applyBorder="1"/>
    <xf numFmtId="0" fontId="20" fillId="0" borderId="36" xfId="0" applyFont="1" applyBorder="1"/>
    <xf numFmtId="10" fontId="21" fillId="0" borderId="36" xfId="0" applyNumberFormat="1" applyFont="1" applyBorder="1" applyAlignment="1">
      <alignment horizontal="left"/>
    </xf>
    <xf numFmtId="0" fontId="21" fillId="40" borderId="36" xfId="0" applyFont="1" applyFill="1" applyBorder="1"/>
    <xf numFmtId="10" fontId="21" fillId="40" borderId="36" xfId="0" applyNumberFormat="1" applyFont="1" applyFill="1" applyBorder="1"/>
    <xf numFmtId="2" fontId="21" fillId="40" borderId="36" xfId="0" applyNumberFormat="1" applyFont="1" applyFill="1" applyBorder="1"/>
    <xf numFmtId="0" fontId="21" fillId="40" borderId="36" xfId="0" applyFont="1" applyFill="1" applyBorder="1" applyAlignment="1">
      <alignment horizontal="center"/>
    </xf>
    <xf numFmtId="10" fontId="21" fillId="40" borderId="36" xfId="0" applyNumberFormat="1" applyFont="1" applyFill="1" applyBorder="1" applyAlignment="1">
      <alignment horizontal="center"/>
    </xf>
    <xf numFmtId="10" fontId="21" fillId="40" borderId="36" xfId="0" applyNumberFormat="1" applyFont="1" applyFill="1" applyBorder="1" applyAlignment="1">
      <alignment horizontal="left"/>
    </xf>
    <xf numFmtId="0" fontId="0" fillId="38" borderId="36" xfId="0" applyFill="1" applyBorder="1"/>
    <xf numFmtId="0" fontId="25" fillId="41" borderId="0" xfId="0" applyFont="1" applyFill="1" applyAlignment="1">
      <alignment horizontal="center"/>
    </xf>
    <xf numFmtId="0" fontId="24" fillId="37" borderId="0" xfId="0" applyFont="1" applyFill="1" applyAlignment="1">
      <alignment horizontal="center"/>
    </xf>
    <xf numFmtId="0" fontId="18" fillId="0" borderId="36" xfId="0" applyFont="1" applyBorder="1" applyAlignment="1">
      <alignment horizontal="center"/>
    </xf>
    <xf numFmtId="0" fontId="22" fillId="0" borderId="36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16" fillId="37" borderId="36" xfId="0" applyFont="1" applyFill="1" applyBorder="1" applyAlignment="1">
      <alignment horizontal="center"/>
    </xf>
    <xf numFmtId="0" fontId="20" fillId="37" borderId="36" xfId="0" applyFont="1" applyFill="1" applyBorder="1" applyAlignment="1">
      <alignment horizontal="center"/>
    </xf>
    <xf numFmtId="0" fontId="21" fillId="39" borderId="42" xfId="0" applyFont="1" applyFill="1" applyBorder="1"/>
    <xf numFmtId="0" fontId="21" fillId="39" borderId="43" xfId="0" applyFont="1" applyFill="1" applyBorder="1"/>
    <xf numFmtId="0" fontId="21" fillId="39" borderId="44" xfId="0" applyFont="1" applyFill="1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23" fillId="39" borderId="40" xfId="0" applyFont="1" applyFill="1" applyBorder="1"/>
    <xf numFmtId="0" fontId="23" fillId="39" borderId="0" xfId="0" applyFont="1" applyFill="1"/>
    <xf numFmtId="0" fontId="23" fillId="39" borderId="41" xfId="0" applyFont="1" applyFill="1" applyBorder="1"/>
    <xf numFmtId="0" fontId="21" fillId="39" borderId="40" xfId="0" applyFont="1" applyFill="1" applyBorder="1"/>
    <xf numFmtId="0" fontId="21" fillId="39" borderId="0" xfId="0" applyFont="1" applyFill="1"/>
    <xf numFmtId="0" fontId="21" fillId="39" borderId="41" xfId="0" applyFont="1" applyFill="1" applyBorder="1"/>
    <xf numFmtId="0" fontId="18" fillId="34" borderId="1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13" xfId="0" applyFont="1" applyFill="1" applyBorder="1" applyAlignment="1">
      <alignment horizontal="center"/>
    </xf>
    <xf numFmtId="0" fontId="0" fillId="39" borderId="0" xfId="0" applyFill="1"/>
    <xf numFmtId="0" fontId="0" fillId="0" borderId="0" xfId="0"/>
    <xf numFmtId="0" fontId="18" fillId="37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22" xfId="0" applyBorder="1" applyAlignment="1">
      <alignment horizontal="left"/>
    </xf>
    <xf numFmtId="0" fontId="18" fillId="0" borderId="33" xfId="0" applyFont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22" fillId="0" borderId="35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left"/>
    </xf>
    <xf numFmtId="0" fontId="0" fillId="0" borderId="10" xfId="0" applyBorder="1" applyAlignment="1">
      <alignment horizontal="left"/>
    </xf>
    <xf numFmtId="0" fontId="13" fillId="35" borderId="31" xfId="0" applyFont="1" applyFill="1" applyBorder="1"/>
    <xf numFmtId="0" fontId="13" fillId="35" borderId="32" xfId="0" applyFont="1" applyFill="1" applyBorder="1"/>
    <xf numFmtId="10" fontId="0" fillId="33" borderId="10" xfId="0" applyNumberFormat="1" applyFill="1" applyBorder="1" applyAlignment="1">
      <alignment horizontal="left"/>
    </xf>
    <xf numFmtId="10" fontId="0" fillId="33" borderId="26" xfId="0" applyNumberFormat="1" applyFill="1" applyBorder="1" applyAlignment="1">
      <alignment horizontal="left"/>
    </xf>
    <xf numFmtId="10" fontId="0" fillId="0" borderId="10" xfId="0" applyNumberFormat="1" applyBorder="1" applyAlignment="1">
      <alignment horizontal="left"/>
    </xf>
    <xf numFmtId="10" fontId="0" fillId="0" borderId="26" xfId="0" applyNumberFormat="1" applyBorder="1" applyAlignment="1">
      <alignment horizontal="left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3" fillId="35" borderId="30" xfId="0" applyFont="1" applyFill="1" applyBorder="1" applyAlignment="1">
      <alignment horizontal="left"/>
    </xf>
    <xf numFmtId="0" fontId="13" fillId="35" borderId="31" xfId="0" applyFont="1" applyFill="1" applyBorder="1" applyAlignment="1">
      <alignment horizontal="left"/>
    </xf>
    <xf numFmtId="0" fontId="0" fillId="33" borderId="25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16" fillId="0" borderId="33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0" xfId="0" applyFont="1"/>
    <xf numFmtId="0" fontId="18" fillId="42" borderId="0" xfId="0" applyFont="1" applyFill="1" applyBorder="1" applyAlignment="1">
      <alignment horizontal="center"/>
    </xf>
    <xf numFmtId="0" fontId="18" fillId="42" borderId="0" xfId="0" applyFont="1" applyFill="1" applyBorder="1" applyAlignment="1">
      <alignment horizontal="center" vertical="center"/>
    </xf>
    <xf numFmtId="10" fontId="18" fillId="42" borderId="0" xfId="0" applyNumberFormat="1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0">
    <dxf>
      <font>
        <color rgb="FF9C0006"/>
      </font>
      <fill>
        <patternFill>
          <bgColor rgb="FFFFC7CE"/>
        </patternFill>
      </fill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Department</a:t>
            </a:r>
          </a:p>
        </c:rich>
      </c:tx>
      <c:layout>
        <c:manualLayout>
          <c:xMode val="edge"/>
          <c:yMode val="edge"/>
          <c:x val="0.16578544061302677"/>
          <c:y val="3.86729619323900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TABLE'!$B$79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TABLE'!$A$80:$A$82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TABLE'!$B$80:$B$82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C-4DCF-8C99-11B266CE4B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9336832"/>
        <c:axId val="132777584"/>
      </c:barChart>
      <c:catAx>
        <c:axId val="1193368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7584"/>
        <c:crosses val="autoZero"/>
        <c:auto val="1"/>
        <c:lblAlgn val="ctr"/>
        <c:lblOffset val="100"/>
        <c:noMultiLvlLbl val="0"/>
      </c:catAx>
      <c:valAx>
        <c:axId val="1327775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crossAx val="11933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Attrition Rate by Job satisfaction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TABLE'!$A$94:$A$97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'PIVOT TABLE'!$B$94:$B$97</c:f>
              <c:numCache>
                <c:formatCode>0.00%</c:formatCode>
                <c:ptCount val="4"/>
                <c:pt idx="0">
                  <c:v>0.22837370242214533</c:v>
                </c:pt>
                <c:pt idx="1">
                  <c:v>0.16428571428571428</c:v>
                </c:pt>
                <c:pt idx="2">
                  <c:v>0.16515837104072398</c:v>
                </c:pt>
                <c:pt idx="3">
                  <c:v>0.11328976034858387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1-4D02-B2FE-72B9B525F5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7970144"/>
        <c:axId val="132839984"/>
      </c:barChart>
      <c:catAx>
        <c:axId val="497970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satisfaction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39984"/>
        <c:crosses val="autoZero"/>
        <c:auto val="1"/>
        <c:lblAlgn val="ctr"/>
        <c:lblOffset val="100"/>
        <c:noMultiLvlLbl val="0"/>
      </c:catAx>
      <c:valAx>
        <c:axId val="132839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49797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Attrition Rate by Job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TABLE'!$B$114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TABLE'!$A$115:$A$123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'PIVOT TABLE'!$B$115:$B$123</c:f>
              <c:numCache>
                <c:formatCode>0.00%</c:formatCode>
                <c:ptCount val="9"/>
                <c:pt idx="0">
                  <c:v>0.39759036144578314</c:v>
                </c:pt>
                <c:pt idx="1">
                  <c:v>0.23938223938223938</c:v>
                </c:pt>
                <c:pt idx="2">
                  <c:v>0.23076923076923078</c:v>
                </c:pt>
                <c:pt idx="3">
                  <c:v>0.17484662576687116</c:v>
                </c:pt>
                <c:pt idx="4">
                  <c:v>0.16095890410958905</c:v>
                </c:pt>
                <c:pt idx="5">
                  <c:v>6.8965517241379309E-2</c:v>
                </c:pt>
                <c:pt idx="6">
                  <c:v>6.8702290076335881E-2</c:v>
                </c:pt>
                <c:pt idx="7">
                  <c:v>4.9019607843137254E-2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A-4CBF-A2D2-52A492ADBB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86591664"/>
        <c:axId val="132822704"/>
      </c:barChart>
      <c:catAx>
        <c:axId val="118659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22704"/>
        <c:crosses val="autoZero"/>
        <c:auto val="1"/>
        <c:lblAlgn val="ctr"/>
        <c:lblOffset val="100"/>
        <c:noMultiLvlLbl val="0"/>
      </c:catAx>
      <c:valAx>
        <c:axId val="1328227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18659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TABLE'!$B$132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TABLE'!$A$133:$A$134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TABLE'!$B$133:$B$134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D-4506-AB28-EC5D2B1C06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84440448"/>
        <c:axId val="132815984"/>
      </c:barChart>
      <c:catAx>
        <c:axId val="1184440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</a:t>
                </a:r>
                <a:r>
                  <a:rPr lang="en-US" baseline="0"/>
                  <a:t> time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5984"/>
        <c:crosses val="autoZero"/>
        <c:auto val="1"/>
        <c:lblAlgn val="ctr"/>
        <c:lblOffset val="100"/>
        <c:noMultiLvlLbl val="0"/>
      </c:catAx>
      <c:valAx>
        <c:axId val="1328159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18444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Income band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TABLE'!$B$145</c:f>
              <c:strCache>
                <c:ptCount val="1"/>
                <c:pt idx="0">
                  <c:v>attrition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TABLE'!$A$146:$A$148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TABLE'!$B$146:$B$148</c:f>
              <c:numCache>
                <c:formatCode>0.00%</c:formatCode>
                <c:ptCount val="3"/>
                <c:pt idx="0">
                  <c:v>0.10804597701149425</c:v>
                </c:pt>
                <c:pt idx="1">
                  <c:v>0.28607594936708863</c:v>
                </c:pt>
                <c:pt idx="2">
                  <c:v>0.1203125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F-49CE-A757-05369FDDB7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7568928"/>
        <c:axId val="1260527920"/>
      </c:barChart>
      <c:catAx>
        <c:axId val="48756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27920"/>
        <c:crosses val="autoZero"/>
        <c:auto val="1"/>
        <c:lblAlgn val="ctr"/>
        <c:lblOffset val="100"/>
        <c:noMultiLvlLbl val="0"/>
      </c:catAx>
      <c:valAx>
        <c:axId val="12605279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48756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tenure band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TABLE'!$B$159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TABLE'!$A$160:$A$163</c:f>
              <c:strCache>
                <c:ptCount val="4"/>
                <c:pt idx="0">
                  <c:v>0-2 years</c:v>
                </c:pt>
                <c:pt idx="1">
                  <c:v>3-5 years</c:v>
                </c:pt>
                <c:pt idx="2">
                  <c:v>6-10 years</c:v>
                </c:pt>
                <c:pt idx="3">
                  <c:v>10+ years</c:v>
                </c:pt>
              </c:strCache>
            </c:strRef>
          </c:cat>
          <c:val>
            <c:numRef>
              <c:f>'PIVOT TABLE'!$B$160:$B$163</c:f>
              <c:numCache>
                <c:formatCode>0.00%</c:formatCode>
                <c:ptCount val="4"/>
                <c:pt idx="0">
                  <c:v>0.2982456140350877</c:v>
                </c:pt>
                <c:pt idx="1">
                  <c:v>0.13824884792626729</c:v>
                </c:pt>
                <c:pt idx="2">
                  <c:v>0.12276785714285714</c:v>
                </c:pt>
                <c:pt idx="3">
                  <c:v>8.1300813008130079E-2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F-4E72-91A7-F874113C48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86573104"/>
        <c:axId val="1260547120"/>
      </c:barChart>
      <c:catAx>
        <c:axId val="1186573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47120"/>
        <c:crosses val="autoZero"/>
        <c:auto val="1"/>
        <c:lblAlgn val="ctr"/>
        <c:lblOffset val="100"/>
        <c:noMultiLvlLbl val="0"/>
      </c:catAx>
      <c:valAx>
        <c:axId val="12605471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18657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Department</a:t>
            </a:r>
          </a:p>
        </c:rich>
      </c:tx>
      <c:layout>
        <c:manualLayout>
          <c:xMode val="edge"/>
          <c:yMode val="edge"/>
          <c:x val="0.16578544061302677"/>
          <c:y val="3.86729619323900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TABLE'!$B$79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TABLE'!$A$80:$A$82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TABLE'!$B$80:$B$82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5-4452-A46C-5BE6181351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9336832"/>
        <c:axId val="132777584"/>
      </c:barChart>
      <c:catAx>
        <c:axId val="1193368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7584"/>
        <c:crosses val="autoZero"/>
        <c:auto val="1"/>
        <c:lblAlgn val="ctr"/>
        <c:lblOffset val="100"/>
        <c:noMultiLvlLbl val="0"/>
      </c:catAx>
      <c:valAx>
        <c:axId val="132777584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1933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Income band  </a:t>
            </a:r>
          </a:p>
        </c:rich>
      </c:tx>
      <c:layout>
        <c:manualLayout>
          <c:xMode val="edge"/>
          <c:yMode val="edge"/>
          <c:x val="0.1298907777114657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TABLE'!$B$145</c:f>
              <c:strCache>
                <c:ptCount val="1"/>
                <c:pt idx="0">
                  <c:v>attrition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TABLE'!$A$146:$A$148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TABLE'!$B$146:$B$148</c:f>
              <c:numCache>
                <c:formatCode>0.00%</c:formatCode>
                <c:ptCount val="3"/>
                <c:pt idx="0">
                  <c:v>0.10804597701149425</c:v>
                </c:pt>
                <c:pt idx="1">
                  <c:v>0.28607594936708863</c:v>
                </c:pt>
                <c:pt idx="2">
                  <c:v>0.1203125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D-4EF5-A229-D345E8FEAA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7568928"/>
        <c:axId val="1260527920"/>
      </c:barChart>
      <c:catAx>
        <c:axId val="48756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27920"/>
        <c:crosses val="autoZero"/>
        <c:auto val="1"/>
        <c:lblAlgn val="ctr"/>
        <c:lblOffset val="100"/>
        <c:noMultiLvlLbl val="0"/>
      </c:catAx>
      <c:valAx>
        <c:axId val="1260527920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48756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tenure band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TABLE'!$B$159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TABLE'!$A$160:$A$163</c:f>
              <c:strCache>
                <c:ptCount val="4"/>
                <c:pt idx="0">
                  <c:v>0-2 years</c:v>
                </c:pt>
                <c:pt idx="1">
                  <c:v>3-5 years</c:v>
                </c:pt>
                <c:pt idx="2">
                  <c:v>6-10 years</c:v>
                </c:pt>
                <c:pt idx="3">
                  <c:v>10+ years</c:v>
                </c:pt>
              </c:strCache>
            </c:strRef>
          </c:cat>
          <c:val>
            <c:numRef>
              <c:f>'PIVOT TABLE'!$B$160:$B$163</c:f>
              <c:numCache>
                <c:formatCode>0.00%</c:formatCode>
                <c:ptCount val="4"/>
                <c:pt idx="0">
                  <c:v>0.2982456140350877</c:v>
                </c:pt>
                <c:pt idx="1">
                  <c:v>0.13824884792626729</c:v>
                </c:pt>
                <c:pt idx="2">
                  <c:v>0.12276785714285714</c:v>
                </c:pt>
                <c:pt idx="3">
                  <c:v>8.1300813008130079E-2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1-4DD7-9FDB-FAE6D2C1E4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86573104"/>
        <c:axId val="1260547120"/>
      </c:barChart>
      <c:catAx>
        <c:axId val="1186573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47120"/>
        <c:crosses val="autoZero"/>
        <c:auto val="1"/>
        <c:lblAlgn val="ctr"/>
        <c:lblOffset val="100"/>
        <c:noMultiLvlLbl val="0"/>
      </c:catAx>
      <c:valAx>
        <c:axId val="1260547120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18657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Attrition Rate by Job satisfaction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TABLE'!$B$93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TABLE'!$A$94:$A$97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'PIVOT TABLE'!$B$94:$B$97</c:f>
              <c:numCache>
                <c:formatCode>0.00%</c:formatCode>
                <c:ptCount val="4"/>
                <c:pt idx="0">
                  <c:v>0.22837370242214533</c:v>
                </c:pt>
                <c:pt idx="1">
                  <c:v>0.16428571428571428</c:v>
                </c:pt>
                <c:pt idx="2">
                  <c:v>0.16515837104072398</c:v>
                </c:pt>
                <c:pt idx="3">
                  <c:v>0.11328976034858387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A-4B19-9AE1-72EBA0F0A2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97970144"/>
        <c:axId val="132839984"/>
      </c:barChart>
      <c:catAx>
        <c:axId val="4979701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39984"/>
        <c:crosses val="autoZero"/>
        <c:auto val="1"/>
        <c:lblAlgn val="ctr"/>
        <c:lblOffset val="100"/>
        <c:noMultiLvlLbl val="0"/>
      </c:catAx>
      <c:valAx>
        <c:axId val="13283998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49797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Attrition Rate by Job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TABLE'!$B$114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TABLE'!$A$115:$A$123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'PIVOT TABLE'!$B$115:$B$123</c:f>
              <c:numCache>
                <c:formatCode>0.00%</c:formatCode>
                <c:ptCount val="9"/>
                <c:pt idx="0">
                  <c:v>0.39759036144578314</c:v>
                </c:pt>
                <c:pt idx="1">
                  <c:v>0.23938223938223938</c:v>
                </c:pt>
                <c:pt idx="2">
                  <c:v>0.23076923076923078</c:v>
                </c:pt>
                <c:pt idx="3">
                  <c:v>0.17484662576687116</c:v>
                </c:pt>
                <c:pt idx="4">
                  <c:v>0.16095890410958905</c:v>
                </c:pt>
                <c:pt idx="5">
                  <c:v>6.8965517241379309E-2</c:v>
                </c:pt>
                <c:pt idx="6">
                  <c:v>6.8702290076335881E-2</c:v>
                </c:pt>
                <c:pt idx="7">
                  <c:v>4.9019607843137254E-2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2-4BDC-A62C-8E883FAD56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86591664"/>
        <c:axId val="132822704"/>
      </c:barChart>
      <c:catAx>
        <c:axId val="118659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22704"/>
        <c:crosses val="autoZero"/>
        <c:auto val="1"/>
        <c:lblAlgn val="ctr"/>
        <c:lblOffset val="100"/>
        <c:noMultiLvlLbl val="0"/>
      </c:catAx>
      <c:valAx>
        <c:axId val="13282270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18659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TABLE'!$B$132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TABLE'!$A$133:$A$134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TABLE'!$B$133:$B$134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9-490C-B6E2-4626E32529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84440448"/>
        <c:axId val="132815984"/>
      </c:barChart>
      <c:catAx>
        <c:axId val="1184440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</a:t>
                </a:r>
                <a:r>
                  <a:rPr lang="en-US" baseline="0"/>
                  <a:t> time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78106402734641E-2"/>
              <c:y val="0.200721529546459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5984"/>
        <c:crosses val="autoZero"/>
        <c:auto val="1"/>
        <c:lblAlgn val="ctr"/>
        <c:lblOffset val="100"/>
        <c:noMultiLvlLbl val="0"/>
      </c:catAx>
      <c:valAx>
        <c:axId val="13281598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18444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Department</a:t>
            </a:r>
          </a:p>
        </c:rich>
      </c:tx>
      <c:layout>
        <c:manualLayout>
          <c:xMode val="edge"/>
          <c:yMode val="edge"/>
          <c:x val="0.16578544061302677"/>
          <c:y val="3.86729619323900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TABLE'!$B$79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TABLE'!$A$80:$A$82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TABLE'!$B$80:$B$82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5-4D0A-9133-DC87F7042C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9336832"/>
        <c:axId val="132777584"/>
      </c:barChart>
      <c:catAx>
        <c:axId val="1193368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77584"/>
        <c:crosses val="autoZero"/>
        <c:auto val="1"/>
        <c:lblAlgn val="ctr"/>
        <c:lblOffset val="100"/>
        <c:noMultiLvlLbl val="0"/>
      </c:catAx>
      <c:valAx>
        <c:axId val="132777584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1933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Income band  </a:t>
            </a:r>
          </a:p>
        </c:rich>
      </c:tx>
      <c:layout>
        <c:manualLayout>
          <c:xMode val="edge"/>
          <c:yMode val="edge"/>
          <c:x val="0.1298907777114657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TABLE'!$B$145</c:f>
              <c:strCache>
                <c:ptCount val="1"/>
                <c:pt idx="0">
                  <c:v>attrition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TABLE'!$A$146:$A$148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TABLE'!$B$146:$B$148</c:f>
              <c:numCache>
                <c:formatCode>0.00%</c:formatCode>
                <c:ptCount val="3"/>
                <c:pt idx="0">
                  <c:v>0.10804597701149425</c:v>
                </c:pt>
                <c:pt idx="1">
                  <c:v>0.28607594936708863</c:v>
                </c:pt>
                <c:pt idx="2">
                  <c:v>0.1203125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0-4515-B9F4-98FB525DD8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7568928"/>
        <c:axId val="1260527920"/>
      </c:barChart>
      <c:catAx>
        <c:axId val="48756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27920"/>
        <c:crosses val="autoZero"/>
        <c:auto val="1"/>
        <c:lblAlgn val="ctr"/>
        <c:lblOffset val="100"/>
        <c:noMultiLvlLbl val="0"/>
      </c:catAx>
      <c:valAx>
        <c:axId val="1260527920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48756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tenure band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TABLE'!$B$159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TABLE'!$A$160:$A$163</c:f>
              <c:strCache>
                <c:ptCount val="4"/>
                <c:pt idx="0">
                  <c:v>0-2 years</c:v>
                </c:pt>
                <c:pt idx="1">
                  <c:v>3-5 years</c:v>
                </c:pt>
                <c:pt idx="2">
                  <c:v>6-10 years</c:v>
                </c:pt>
                <c:pt idx="3">
                  <c:v>10+ years</c:v>
                </c:pt>
              </c:strCache>
            </c:strRef>
          </c:cat>
          <c:val>
            <c:numRef>
              <c:f>'PIVOT TABLE'!$B$160:$B$163</c:f>
              <c:numCache>
                <c:formatCode>0.00%</c:formatCode>
                <c:ptCount val="4"/>
                <c:pt idx="0">
                  <c:v>0.2982456140350877</c:v>
                </c:pt>
                <c:pt idx="1">
                  <c:v>0.13824884792626729</c:v>
                </c:pt>
                <c:pt idx="2">
                  <c:v>0.12276785714285714</c:v>
                </c:pt>
                <c:pt idx="3">
                  <c:v>8.1300813008130079E-2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F-4626-9402-0643ECB985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86573104"/>
        <c:axId val="1260547120"/>
      </c:barChart>
      <c:catAx>
        <c:axId val="1186573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47120"/>
        <c:crosses val="autoZero"/>
        <c:auto val="1"/>
        <c:lblAlgn val="ctr"/>
        <c:lblOffset val="100"/>
        <c:noMultiLvlLbl val="0"/>
      </c:catAx>
      <c:valAx>
        <c:axId val="1260547120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18657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Attrition Rate by Job satisfaction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TABLE'!$B$93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TABLE'!$A$94:$A$97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'PIVOT TABLE'!$B$94:$B$97</c:f>
              <c:numCache>
                <c:formatCode>0.00%</c:formatCode>
                <c:ptCount val="4"/>
                <c:pt idx="0">
                  <c:v>0.22837370242214533</c:v>
                </c:pt>
                <c:pt idx="1">
                  <c:v>0.16428571428571428</c:v>
                </c:pt>
                <c:pt idx="2">
                  <c:v>0.16515837104072398</c:v>
                </c:pt>
                <c:pt idx="3">
                  <c:v>0.11328976034858387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1-4B44-AFE1-CDC402FC72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97970144"/>
        <c:axId val="132839984"/>
      </c:barChart>
      <c:catAx>
        <c:axId val="4979701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39984"/>
        <c:crosses val="autoZero"/>
        <c:auto val="1"/>
        <c:lblAlgn val="ctr"/>
        <c:lblOffset val="100"/>
        <c:noMultiLvlLbl val="0"/>
      </c:catAx>
      <c:valAx>
        <c:axId val="13283998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49797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Attrition Rate by Job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TABLE'!$B$114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TABLE'!$A$115:$A$123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'PIVOT TABLE'!$B$115:$B$123</c:f>
              <c:numCache>
                <c:formatCode>0.00%</c:formatCode>
                <c:ptCount val="9"/>
                <c:pt idx="0">
                  <c:v>0.39759036144578314</c:v>
                </c:pt>
                <c:pt idx="1">
                  <c:v>0.23938223938223938</c:v>
                </c:pt>
                <c:pt idx="2">
                  <c:v>0.23076923076923078</c:v>
                </c:pt>
                <c:pt idx="3">
                  <c:v>0.17484662576687116</c:v>
                </c:pt>
                <c:pt idx="4">
                  <c:v>0.16095890410958905</c:v>
                </c:pt>
                <c:pt idx="5">
                  <c:v>6.8965517241379309E-2</c:v>
                </c:pt>
                <c:pt idx="6">
                  <c:v>6.8702290076335881E-2</c:v>
                </c:pt>
                <c:pt idx="7">
                  <c:v>4.9019607843137254E-2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C-444F-8DA1-CCD13A4514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86591664"/>
        <c:axId val="132822704"/>
      </c:barChart>
      <c:catAx>
        <c:axId val="118659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22704"/>
        <c:crosses val="autoZero"/>
        <c:auto val="1"/>
        <c:lblAlgn val="ctr"/>
        <c:lblOffset val="100"/>
        <c:noMultiLvlLbl val="0"/>
      </c:catAx>
      <c:valAx>
        <c:axId val="13282270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18659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TABLE'!$B$132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TABLE'!$A$133:$A$134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TABLE'!$B$133:$B$134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1-4503-A46B-746A0DE8AF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84440448"/>
        <c:axId val="132815984"/>
      </c:barChart>
      <c:catAx>
        <c:axId val="1184440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</a:t>
                </a:r>
                <a:r>
                  <a:rPr lang="en-US" baseline="0"/>
                  <a:t> time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5598705501618123E-2"/>
              <c:y val="0.230152671755725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5984"/>
        <c:crosses val="autoZero"/>
        <c:auto val="1"/>
        <c:lblAlgn val="ctr"/>
        <c:lblOffset val="100"/>
        <c:noMultiLvlLbl val="0"/>
      </c:catAx>
      <c:valAx>
        <c:axId val="13281598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18444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ATTRITION</a:t>
            </a:r>
            <a:r>
              <a:rPr lang="en-US" sz="1200" b="1" baseline="0">
                <a:solidFill>
                  <a:sysClr val="windowText" lastClr="000000"/>
                </a:solidFill>
              </a:rPr>
              <a:t> RATE BY INCOME BAND </a:t>
            </a:r>
            <a:endParaRPr lang="en-US" sz="12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7.9620122890671149E-2"/>
          <c:y val="4.3473529223481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37766044905641"/>
          <c:y val="0.2347560975609756"/>
          <c:w val="0.71668189098172475"/>
          <c:h val="0.690498581402021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TABLE'!$B$145</c:f>
              <c:strCache>
                <c:ptCount val="1"/>
                <c:pt idx="0">
                  <c:v>attrition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TABLE'!$A$146:$A$148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TABLE'!$B$146:$B$148</c:f>
              <c:numCache>
                <c:formatCode>0.00%</c:formatCode>
                <c:ptCount val="3"/>
                <c:pt idx="0">
                  <c:v>0.10804597701149425</c:v>
                </c:pt>
                <c:pt idx="1">
                  <c:v>0.28607594936708863</c:v>
                </c:pt>
                <c:pt idx="2">
                  <c:v>0.1203125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9-4D9D-8452-64B033197C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7568928"/>
        <c:axId val="1260527920"/>
      </c:barChart>
      <c:catAx>
        <c:axId val="48756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27920"/>
        <c:crosses val="autoZero"/>
        <c:auto val="1"/>
        <c:lblAlgn val="ctr"/>
        <c:lblOffset val="100"/>
        <c:noMultiLvlLbl val="0"/>
      </c:catAx>
      <c:valAx>
        <c:axId val="1260527920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48756892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solidFill>
                  <a:sysClr val="windowText" lastClr="000000"/>
                </a:solidFill>
              </a:rPr>
              <a:t>ATTRITION RATE BY JOB ROLE</a:t>
            </a:r>
            <a:endParaRPr lang="en-US" sz="12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8040789983219312"/>
          <c:y val="0.2063435147672365"/>
          <c:w val="0.49500193623338068"/>
          <c:h val="0.692855662886179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TABLE'!$B$114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TABLE'!$A$115:$A$123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'PIVOT TABLE'!$B$115:$B$123</c:f>
              <c:numCache>
                <c:formatCode>0.00%</c:formatCode>
                <c:ptCount val="9"/>
                <c:pt idx="0">
                  <c:v>0.39759036144578314</c:v>
                </c:pt>
                <c:pt idx="1">
                  <c:v>0.23938223938223938</c:v>
                </c:pt>
                <c:pt idx="2">
                  <c:v>0.23076923076923078</c:v>
                </c:pt>
                <c:pt idx="3">
                  <c:v>0.17484662576687116</c:v>
                </c:pt>
                <c:pt idx="4">
                  <c:v>0.16095890410958905</c:v>
                </c:pt>
                <c:pt idx="5">
                  <c:v>6.8965517241379309E-2</c:v>
                </c:pt>
                <c:pt idx="6">
                  <c:v>6.8702290076335881E-2</c:v>
                </c:pt>
                <c:pt idx="7">
                  <c:v>4.9019607843137254E-2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9-4898-9B5B-ACF31CE5AA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86591664"/>
        <c:axId val="132822704"/>
      </c:barChart>
      <c:catAx>
        <c:axId val="118659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22704"/>
        <c:crosses val="autoZero"/>
        <c:auto val="1"/>
        <c:lblAlgn val="ctr"/>
        <c:lblOffset val="100"/>
        <c:noMultiLvlLbl val="0"/>
      </c:catAx>
      <c:valAx>
        <c:axId val="13282270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18659166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noFill/>
      <a:round/>
    </a:ln>
    <a:effectLst/>
  </c:spPr>
  <c:txPr>
    <a:bodyPr rot="0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ATTRITION BY TANURE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TABLE'!$B$159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TABLE'!$A$160:$A$163</c:f>
              <c:strCache>
                <c:ptCount val="4"/>
                <c:pt idx="0">
                  <c:v>0-2 years</c:v>
                </c:pt>
                <c:pt idx="1">
                  <c:v>3-5 years</c:v>
                </c:pt>
                <c:pt idx="2">
                  <c:v>6-10 years</c:v>
                </c:pt>
                <c:pt idx="3">
                  <c:v>10+ years</c:v>
                </c:pt>
              </c:strCache>
            </c:strRef>
          </c:cat>
          <c:val>
            <c:numRef>
              <c:f>'PIVOT TABLE'!$B$160:$B$163</c:f>
              <c:numCache>
                <c:formatCode>0.00%</c:formatCode>
                <c:ptCount val="4"/>
                <c:pt idx="0">
                  <c:v>0.2982456140350877</c:v>
                </c:pt>
                <c:pt idx="1">
                  <c:v>0.13824884792626729</c:v>
                </c:pt>
                <c:pt idx="2">
                  <c:v>0.12276785714285714</c:v>
                </c:pt>
                <c:pt idx="3">
                  <c:v>8.1300813008130079E-2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C-463D-8AAB-077EA8A30D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86573104"/>
        <c:axId val="1260547120"/>
      </c:barChart>
      <c:catAx>
        <c:axId val="1186573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47120"/>
        <c:crosses val="autoZero"/>
        <c:auto val="1"/>
        <c:lblAlgn val="ctr"/>
        <c:lblOffset val="100"/>
        <c:noMultiLvlLbl val="0"/>
      </c:catAx>
      <c:valAx>
        <c:axId val="1260547120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18657310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solidFill>
                  <a:sysClr val="windowText" lastClr="000000"/>
                </a:solidFill>
              </a:rPr>
              <a:t>ATTRITION RATE BY JOB SATISFACTION</a:t>
            </a:r>
            <a:endParaRPr lang="en-US" sz="12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386787150566678"/>
          <c:y val="0.24243448903564474"/>
          <c:w val="0.73130207736506947"/>
          <c:h val="0.689455782312925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TABLE'!$B$93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TABLE'!$A$94:$A$97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'PIVOT TABLE'!$B$94:$B$97</c:f>
              <c:numCache>
                <c:formatCode>0.00%</c:formatCode>
                <c:ptCount val="4"/>
                <c:pt idx="0">
                  <c:v>0.22837370242214533</c:v>
                </c:pt>
                <c:pt idx="1">
                  <c:v>0.16428571428571428</c:v>
                </c:pt>
                <c:pt idx="2">
                  <c:v>0.16515837104072398</c:v>
                </c:pt>
                <c:pt idx="3">
                  <c:v>0.11328976034858387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E-4247-A6EE-B40BD1D67E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97970144"/>
        <c:axId val="132839984"/>
      </c:barChart>
      <c:catAx>
        <c:axId val="4979701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39984"/>
        <c:crosses val="autoZero"/>
        <c:auto val="1"/>
        <c:lblAlgn val="ctr"/>
        <c:lblOffset val="100"/>
        <c:noMultiLvlLbl val="0"/>
      </c:catAx>
      <c:valAx>
        <c:axId val="132839984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497970144"/>
        <c:crossesAt val="1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71</xdr:row>
      <xdr:rowOff>0</xdr:rowOff>
    </xdr:from>
    <xdr:to>
      <xdr:col>13</xdr:col>
      <xdr:colOff>0</xdr:colOff>
      <xdr:row>82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DE9387-4C27-7BBA-56D6-7BB571A24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83</xdr:row>
      <xdr:rowOff>179070</xdr:rowOff>
    </xdr:from>
    <xdr:to>
      <xdr:col>13</xdr:col>
      <xdr:colOff>0</xdr:colOff>
      <xdr:row>97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3C6239-819C-835C-28E6-EC000F82E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243840</xdr:colOff>
      <xdr:row>100</xdr:row>
      <xdr:rowOff>15240</xdr:rowOff>
    </xdr:from>
    <xdr:to>
      <xdr:col>16</xdr:col>
      <xdr:colOff>22860</xdr:colOff>
      <xdr:row>116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2CB256-AD90-D905-1FD6-F57EA3944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121</xdr:row>
      <xdr:rowOff>179070</xdr:rowOff>
    </xdr:from>
    <xdr:to>
      <xdr:col>14</xdr:col>
      <xdr:colOff>518160</xdr:colOff>
      <xdr:row>134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BD45AB-B9D0-09BA-8CB1-E2B0B0DCA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136</xdr:row>
      <xdr:rowOff>0</xdr:rowOff>
    </xdr:from>
    <xdr:to>
      <xdr:col>14</xdr:col>
      <xdr:colOff>518160</xdr:colOff>
      <xdr:row>147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26C669-7704-9FD4-2474-E53528111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149</xdr:row>
      <xdr:rowOff>179070</xdr:rowOff>
    </xdr:from>
    <xdr:to>
      <xdr:col>14</xdr:col>
      <xdr:colOff>518160</xdr:colOff>
      <xdr:row>163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E743AC-92CD-C72A-D969-6206E2846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10</xdr:row>
      <xdr:rowOff>0</xdr:rowOff>
    </xdr:from>
    <xdr:to>
      <xdr:col>2</xdr:col>
      <xdr:colOff>0</xdr:colOff>
      <xdr:row>16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EA30145-925F-49D9-A1C2-8BB6EFBB0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10</xdr:row>
      <xdr:rowOff>0</xdr:rowOff>
    </xdr:from>
    <xdr:to>
      <xdr:col>4</xdr:col>
      <xdr:colOff>0</xdr:colOff>
      <xdr:row>16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6BAC88E-B9CD-4FBE-9145-B1801B6C6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2</xdr:col>
      <xdr:colOff>0</xdr:colOff>
      <xdr:row>29</xdr:row>
      <xdr:rowOff>178593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C933206-2E92-48EA-8866-C49012502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23</xdr:row>
      <xdr:rowOff>0</xdr:rowOff>
    </xdr:from>
    <xdr:to>
      <xdr:col>4</xdr:col>
      <xdr:colOff>0</xdr:colOff>
      <xdr:row>29</xdr:row>
      <xdr:rowOff>178593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1EC152F-2AA3-41D1-9DE1-098CAE7FA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7259</xdr:colOff>
      <xdr:row>32</xdr:row>
      <xdr:rowOff>7259</xdr:rowOff>
    </xdr:from>
    <xdr:to>
      <xdr:col>3</xdr:col>
      <xdr:colOff>1560288</xdr:colOff>
      <xdr:row>42</xdr:row>
      <xdr:rowOff>181429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3EE6A4E-895F-4955-A3D7-F1AC134A4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</xdr:colOff>
      <xdr:row>48</xdr:row>
      <xdr:rowOff>2</xdr:rowOff>
    </xdr:from>
    <xdr:to>
      <xdr:col>3</xdr:col>
      <xdr:colOff>1560287</xdr:colOff>
      <xdr:row>53</xdr:row>
      <xdr:rowOff>174173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57471E2-1470-43DE-A30F-062BBDEEC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7620</xdr:rowOff>
    </xdr:from>
    <xdr:to>
      <xdr:col>1</xdr:col>
      <xdr:colOff>2171700</xdr:colOff>
      <xdr:row>16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7E08BD-A45E-4CF1-90FA-85EC781E36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10</xdr:row>
      <xdr:rowOff>7620</xdr:rowOff>
    </xdr:from>
    <xdr:to>
      <xdr:col>3</xdr:col>
      <xdr:colOff>2171700</xdr:colOff>
      <xdr:row>16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969013-BD28-4531-87E7-34061870C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7620</xdr:rowOff>
    </xdr:from>
    <xdr:to>
      <xdr:col>2</xdr:col>
      <xdr:colOff>0</xdr:colOff>
      <xdr:row>31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301168-571D-4C2B-AE63-F9F1E34BD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7620</xdr:colOff>
      <xdr:row>24</xdr:row>
      <xdr:rowOff>7620</xdr:rowOff>
    </xdr:from>
    <xdr:to>
      <xdr:col>3</xdr:col>
      <xdr:colOff>2171700</xdr:colOff>
      <xdr:row>31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E8773A-286F-44BE-891D-E2A74B28D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</xdr:colOff>
      <xdr:row>34</xdr:row>
      <xdr:rowOff>22860</xdr:rowOff>
    </xdr:from>
    <xdr:to>
      <xdr:col>3</xdr:col>
      <xdr:colOff>2171700</xdr:colOff>
      <xdr:row>43</xdr:row>
      <xdr:rowOff>182880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42CDC3-97A1-4B0B-B538-9554C8C8C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15240</xdr:colOff>
      <xdr:row>45</xdr:row>
      <xdr:rowOff>15240</xdr:rowOff>
    </xdr:from>
    <xdr:to>
      <xdr:col>3</xdr:col>
      <xdr:colOff>2171700</xdr:colOff>
      <xdr:row>49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9706AF-AF8E-45FC-9CA4-85337B8AF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8</xdr:row>
      <xdr:rowOff>0</xdr:rowOff>
    </xdr:from>
    <xdr:to>
      <xdr:col>11</xdr:col>
      <xdr:colOff>0</xdr:colOff>
      <xdr:row>18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41A6D9-1271-424C-A7AA-95C710CC0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45720</xdr:rowOff>
    </xdr:from>
    <xdr:to>
      <xdr:col>8</xdr:col>
      <xdr:colOff>259080</xdr:colOff>
      <xdr:row>30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370FDB-96EF-4DCE-B97A-BA1C32CF3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8</xdr:row>
      <xdr:rowOff>0</xdr:rowOff>
    </xdr:from>
    <xdr:to>
      <xdr:col>16</xdr:col>
      <xdr:colOff>7620</xdr:colOff>
      <xdr:row>18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F3BDF9-511B-488D-836C-C0FAAE92E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</xdr:row>
      <xdr:rowOff>0</xdr:rowOff>
    </xdr:from>
    <xdr:to>
      <xdr:col>6</xdr:col>
      <xdr:colOff>7620</xdr:colOff>
      <xdr:row>18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5C3A6D-E2BD-4170-8B2F-F01722ED2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259080</xdr:colOff>
      <xdr:row>18</xdr:row>
      <xdr:rowOff>38100</xdr:rowOff>
    </xdr:from>
    <xdr:to>
      <xdr:col>16</xdr:col>
      <xdr:colOff>7620</xdr:colOff>
      <xdr:row>30</xdr:row>
      <xdr:rowOff>106680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8F9D4BD-96AF-4E05-5D9D-072439B64BDA}"/>
            </a:ext>
          </a:extLst>
        </xdr:cNvPr>
        <xdr:cNvSpPr txBox="1"/>
      </xdr:nvSpPr>
      <xdr:spPr>
        <a:xfrm>
          <a:off x="5135880" y="3329940"/>
          <a:ext cx="4625340" cy="22631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KEY FINDINGS</a:t>
          </a:r>
        </a:p>
        <a:p>
          <a:endParaRPr lang="en-US" b="1"/>
        </a:p>
        <a:p>
          <a:pPr lvl="0"/>
          <a:endParaRPr lang="en-US" sz="1200" b="1"/>
        </a:p>
        <a:p>
          <a:pPr lvl="0"/>
          <a:r>
            <a:rPr lang="en-US" sz="1200" b="1"/>
            <a:t>•  Overall attrition is 16.12%</a:t>
          </a:r>
          <a:r>
            <a:rPr lang="en-US" sz="1200"/>
            <a:t>, with 237 employees leaving. </a:t>
          </a:r>
        </a:p>
        <a:p>
          <a:pPr lvl="0"/>
          <a:r>
            <a:rPr lang="en-US" sz="1200" b="1"/>
            <a:t>•  Sales</a:t>
          </a:r>
          <a:r>
            <a:rPr lang="en-US" sz="1200"/>
            <a:t> has the highest department attrition rate at 20.63%. </a:t>
          </a:r>
        </a:p>
        <a:p>
          <a:pPr lvl="0"/>
          <a:r>
            <a:rPr lang="en-US" sz="1200" b="1"/>
            <a:t>•  Sales Representatives</a:t>
          </a:r>
          <a:r>
            <a:rPr lang="en-US" sz="1200"/>
            <a:t> have the highest job-role attrition at 39.76%. </a:t>
          </a:r>
        </a:p>
        <a:p>
          <a:pPr lvl="0"/>
          <a:r>
            <a:rPr lang="en-US" sz="1200"/>
            <a:t>•  Employees working </a:t>
          </a:r>
          <a:r>
            <a:rPr lang="en-US" sz="1200" b="1"/>
            <a:t>overtime</a:t>
          </a:r>
          <a:r>
            <a:rPr lang="en-US" sz="1200"/>
            <a:t> have a much higher attrition rate (30.53% vs</a:t>
          </a:r>
          <a:r>
            <a:rPr lang="en-US" sz="1200" baseline="0"/>
            <a:t> </a:t>
          </a:r>
          <a:r>
            <a:rPr lang="en-US" sz="1200"/>
            <a:t>10.44%). </a:t>
          </a:r>
        </a:p>
        <a:p>
          <a:pPr lvl="0"/>
          <a:r>
            <a:rPr lang="en-US" sz="1200" b="1"/>
            <a:t>•  Low job satisfaction</a:t>
          </a:r>
          <a:r>
            <a:rPr lang="en-US" sz="1200"/>
            <a:t> is associated with higher attrition.</a:t>
          </a:r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y bisht" refreshedDate="46276.806701967595" createdVersion="8" refreshedVersion="8" minRefreshableVersion="3" recordCount="1470" xr:uid="{59A39C69-1A0F-458C-80DA-597E9F8595CC}">
  <cacheSource type="worksheet">
    <worksheetSource name="Table3"/>
  </cacheSource>
  <cacheFields count="34">
    <cacheField name="Age" numFmtId="2">
      <sharedItems containsSemiMixedTypes="0" containsString="0" containsNumber="1" containsInteger="1" minValue="18" maxValue="60"/>
    </cacheField>
    <cacheField name="Attrition" numFmtId="49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49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49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49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2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2">
      <sharedItems containsSemiMixedTypes="0" containsString="0" containsNumber="1" containsInteger="1" minValue="1009" maxValue="19999"/>
    </cacheField>
    <cacheField name="IncomeBand " numFmtId="49">
      <sharedItems count="3">
        <s v="medium"/>
        <s v="low"/>
        <s v="high"/>
      </sharedItems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49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2">
      <sharedItems containsSemiMixedTypes="0" containsString="0" containsNumber="1" containsInteger="1" minValue="0" maxValue="40"/>
    </cacheField>
    <cacheField name="TenureBand " numFmtId="0">
      <sharedItems count="4">
        <s v="6-10 years"/>
        <s v="0-2 years"/>
        <s v="3-5 years"/>
        <s v="10+ years"/>
      </sharedItems>
    </cacheField>
    <cacheField name="YearsInCurrentRole" numFmtId="2">
      <sharedItems containsSemiMixedTypes="0" containsString="0" containsNumber="1" containsInteger="1" minValue="0" maxValue="18"/>
    </cacheField>
    <cacheField name="YearsSinceLastPromotion" numFmtId="2">
      <sharedItems containsSemiMixedTypes="0" containsString="0" containsNumber="1" containsInteger="1" minValue="0" maxValue="15"/>
    </cacheField>
    <cacheField name="YearsWithCurrManager" numFmtId="2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2"/>
    <s v="Female"/>
    <n v="94"/>
    <n v="3"/>
    <n v="2"/>
    <x v="0"/>
    <x v="0"/>
    <s v="Single"/>
    <n v="5993"/>
    <x v="0"/>
    <n v="19479"/>
    <n v="8"/>
    <x v="0"/>
    <n v="11"/>
    <n v="3"/>
    <n v="1"/>
    <n v="0"/>
    <n v="8"/>
    <n v="0"/>
    <n v="1"/>
    <n v="6"/>
    <x v="0"/>
    <n v="4"/>
    <n v="0"/>
    <n v="5"/>
  </r>
  <r>
    <n v="49"/>
    <x v="1"/>
    <s v="Travel_Frequently"/>
    <n v="279"/>
    <x v="1"/>
    <n v="8"/>
    <n v="1"/>
    <s v="Life Sciences"/>
    <n v="2"/>
    <n v="3"/>
    <s v="Male"/>
    <n v="61"/>
    <n v="2"/>
    <n v="2"/>
    <x v="1"/>
    <x v="1"/>
    <s v="Married"/>
    <n v="5130"/>
    <x v="0"/>
    <n v="24907"/>
    <n v="1"/>
    <x v="1"/>
    <n v="23"/>
    <n v="4"/>
    <n v="4"/>
    <n v="1"/>
    <n v="10"/>
    <n v="3"/>
    <n v="3"/>
    <n v="10"/>
    <x v="0"/>
    <n v="7"/>
    <n v="1"/>
    <n v="7"/>
  </r>
  <r>
    <n v="37"/>
    <x v="0"/>
    <s v="Travel_Rarely"/>
    <n v="1373"/>
    <x v="1"/>
    <n v="2"/>
    <n v="2"/>
    <s v="Other"/>
    <n v="4"/>
    <n v="4"/>
    <s v="Male"/>
    <n v="92"/>
    <n v="2"/>
    <n v="1"/>
    <x v="2"/>
    <x v="2"/>
    <s v="Single"/>
    <n v="2090"/>
    <x v="1"/>
    <n v="2396"/>
    <n v="6"/>
    <x v="0"/>
    <n v="15"/>
    <n v="3"/>
    <n v="2"/>
    <n v="0"/>
    <n v="7"/>
    <n v="3"/>
    <n v="3"/>
    <n v="0"/>
    <x v="1"/>
    <n v="0"/>
    <n v="0"/>
    <n v="0"/>
  </r>
  <r>
    <n v="33"/>
    <x v="1"/>
    <s v="Travel_Frequently"/>
    <n v="1392"/>
    <x v="1"/>
    <n v="3"/>
    <n v="4"/>
    <s v="Life Sciences"/>
    <n v="5"/>
    <n v="4"/>
    <s v="Female"/>
    <n v="56"/>
    <n v="3"/>
    <n v="1"/>
    <x v="1"/>
    <x v="2"/>
    <s v="Married"/>
    <n v="2909"/>
    <x v="1"/>
    <n v="23159"/>
    <n v="1"/>
    <x v="0"/>
    <n v="11"/>
    <n v="3"/>
    <n v="3"/>
    <n v="0"/>
    <n v="8"/>
    <n v="3"/>
    <n v="3"/>
    <n v="8"/>
    <x v="0"/>
    <n v="7"/>
    <n v="3"/>
    <n v="0"/>
  </r>
  <r>
    <n v="27"/>
    <x v="1"/>
    <s v="Travel_Rarely"/>
    <n v="591"/>
    <x v="1"/>
    <n v="2"/>
    <n v="1"/>
    <s v="Medical"/>
    <n v="7"/>
    <n v="1"/>
    <s v="Male"/>
    <n v="40"/>
    <n v="3"/>
    <n v="1"/>
    <x v="2"/>
    <x v="1"/>
    <s v="Married"/>
    <n v="3468"/>
    <x v="0"/>
    <n v="16632"/>
    <n v="9"/>
    <x v="1"/>
    <n v="12"/>
    <n v="3"/>
    <n v="4"/>
    <n v="1"/>
    <n v="6"/>
    <n v="3"/>
    <n v="3"/>
    <n v="2"/>
    <x v="1"/>
    <n v="2"/>
    <n v="2"/>
    <n v="2"/>
  </r>
  <r>
    <n v="32"/>
    <x v="1"/>
    <s v="Travel_Frequently"/>
    <n v="1005"/>
    <x v="1"/>
    <n v="2"/>
    <n v="2"/>
    <s v="Life Sciences"/>
    <n v="8"/>
    <n v="4"/>
    <s v="Male"/>
    <n v="79"/>
    <n v="3"/>
    <n v="1"/>
    <x v="2"/>
    <x v="0"/>
    <s v="Single"/>
    <n v="3068"/>
    <x v="0"/>
    <n v="11864"/>
    <n v="0"/>
    <x v="1"/>
    <n v="13"/>
    <n v="3"/>
    <n v="3"/>
    <n v="0"/>
    <n v="8"/>
    <n v="2"/>
    <n v="2"/>
    <n v="7"/>
    <x v="0"/>
    <n v="7"/>
    <n v="3"/>
    <n v="6"/>
  </r>
  <r>
    <n v="59"/>
    <x v="1"/>
    <s v="Travel_Rarely"/>
    <n v="1324"/>
    <x v="1"/>
    <n v="3"/>
    <n v="3"/>
    <s v="Medical"/>
    <n v="10"/>
    <n v="3"/>
    <s v="Female"/>
    <n v="81"/>
    <n v="4"/>
    <n v="1"/>
    <x v="2"/>
    <x v="3"/>
    <s v="Married"/>
    <n v="2670"/>
    <x v="1"/>
    <n v="9964"/>
    <n v="4"/>
    <x v="0"/>
    <n v="20"/>
    <n v="4"/>
    <n v="1"/>
    <n v="3"/>
    <n v="12"/>
    <n v="3"/>
    <n v="2"/>
    <n v="1"/>
    <x v="1"/>
    <n v="0"/>
    <n v="0"/>
    <n v="0"/>
  </r>
  <r>
    <n v="30"/>
    <x v="1"/>
    <s v="Travel_Rarely"/>
    <n v="1358"/>
    <x v="1"/>
    <n v="24"/>
    <n v="1"/>
    <s v="Life Sciences"/>
    <n v="11"/>
    <n v="4"/>
    <s v="Male"/>
    <n v="67"/>
    <n v="3"/>
    <n v="1"/>
    <x v="2"/>
    <x v="2"/>
    <s v="Divorced"/>
    <n v="2693"/>
    <x v="1"/>
    <n v="13335"/>
    <n v="1"/>
    <x v="1"/>
    <n v="22"/>
    <n v="4"/>
    <n v="2"/>
    <n v="1"/>
    <n v="1"/>
    <n v="2"/>
    <n v="3"/>
    <n v="1"/>
    <x v="1"/>
    <n v="0"/>
    <n v="0"/>
    <n v="0"/>
  </r>
  <r>
    <n v="38"/>
    <x v="1"/>
    <s v="Travel_Frequently"/>
    <n v="216"/>
    <x v="1"/>
    <n v="23"/>
    <n v="3"/>
    <s v="Life Sciences"/>
    <n v="12"/>
    <n v="4"/>
    <s v="Male"/>
    <n v="44"/>
    <n v="2"/>
    <n v="3"/>
    <x v="3"/>
    <x v="2"/>
    <s v="Single"/>
    <n v="9526"/>
    <x v="2"/>
    <n v="8787"/>
    <n v="0"/>
    <x v="1"/>
    <n v="21"/>
    <n v="4"/>
    <n v="2"/>
    <n v="0"/>
    <n v="10"/>
    <n v="2"/>
    <n v="3"/>
    <n v="9"/>
    <x v="0"/>
    <n v="7"/>
    <n v="1"/>
    <n v="8"/>
  </r>
  <r>
    <n v="36"/>
    <x v="1"/>
    <s v="Travel_Rarely"/>
    <n v="1299"/>
    <x v="1"/>
    <n v="27"/>
    <n v="3"/>
    <s v="Medical"/>
    <n v="13"/>
    <n v="3"/>
    <s v="Male"/>
    <n v="94"/>
    <n v="3"/>
    <n v="2"/>
    <x v="4"/>
    <x v="2"/>
    <s v="Married"/>
    <n v="5237"/>
    <x v="0"/>
    <n v="16577"/>
    <n v="6"/>
    <x v="1"/>
    <n v="13"/>
    <n v="3"/>
    <n v="2"/>
    <n v="2"/>
    <n v="17"/>
    <n v="3"/>
    <n v="2"/>
    <n v="7"/>
    <x v="0"/>
    <n v="7"/>
    <n v="7"/>
    <n v="7"/>
  </r>
  <r>
    <n v="35"/>
    <x v="1"/>
    <s v="Travel_Rarely"/>
    <n v="809"/>
    <x v="1"/>
    <n v="16"/>
    <n v="3"/>
    <s v="Medical"/>
    <n v="14"/>
    <n v="1"/>
    <s v="Male"/>
    <n v="84"/>
    <n v="4"/>
    <n v="1"/>
    <x v="2"/>
    <x v="1"/>
    <s v="Married"/>
    <n v="2426"/>
    <x v="1"/>
    <n v="16479"/>
    <n v="0"/>
    <x v="1"/>
    <n v="13"/>
    <n v="3"/>
    <n v="3"/>
    <n v="1"/>
    <n v="6"/>
    <n v="5"/>
    <n v="3"/>
    <n v="5"/>
    <x v="2"/>
    <n v="4"/>
    <n v="0"/>
    <n v="3"/>
  </r>
  <r>
    <n v="29"/>
    <x v="1"/>
    <s v="Travel_Rarely"/>
    <n v="153"/>
    <x v="1"/>
    <n v="15"/>
    <n v="2"/>
    <s v="Life Sciences"/>
    <n v="15"/>
    <n v="4"/>
    <s v="Female"/>
    <n v="49"/>
    <n v="2"/>
    <n v="2"/>
    <x v="2"/>
    <x v="2"/>
    <s v="Single"/>
    <n v="4193"/>
    <x v="0"/>
    <n v="12682"/>
    <n v="0"/>
    <x v="0"/>
    <n v="12"/>
    <n v="3"/>
    <n v="4"/>
    <n v="0"/>
    <n v="10"/>
    <n v="3"/>
    <n v="3"/>
    <n v="9"/>
    <x v="0"/>
    <n v="5"/>
    <n v="0"/>
    <n v="8"/>
  </r>
  <r>
    <n v="31"/>
    <x v="1"/>
    <s v="Travel_Rarely"/>
    <n v="670"/>
    <x v="1"/>
    <n v="26"/>
    <n v="1"/>
    <s v="Life Sciences"/>
    <n v="16"/>
    <n v="1"/>
    <s v="Male"/>
    <n v="31"/>
    <n v="3"/>
    <n v="1"/>
    <x v="1"/>
    <x v="2"/>
    <s v="Divorced"/>
    <n v="2911"/>
    <x v="1"/>
    <n v="15170"/>
    <n v="1"/>
    <x v="1"/>
    <n v="17"/>
    <n v="3"/>
    <n v="4"/>
    <n v="1"/>
    <n v="5"/>
    <n v="1"/>
    <n v="2"/>
    <n v="5"/>
    <x v="2"/>
    <n v="2"/>
    <n v="4"/>
    <n v="3"/>
  </r>
  <r>
    <n v="34"/>
    <x v="1"/>
    <s v="Travel_Rarely"/>
    <n v="1346"/>
    <x v="1"/>
    <n v="19"/>
    <n v="2"/>
    <s v="Medical"/>
    <n v="18"/>
    <n v="2"/>
    <s v="Male"/>
    <n v="93"/>
    <n v="3"/>
    <n v="1"/>
    <x v="2"/>
    <x v="0"/>
    <s v="Divorced"/>
    <n v="2661"/>
    <x v="1"/>
    <n v="8758"/>
    <n v="0"/>
    <x v="1"/>
    <n v="11"/>
    <n v="3"/>
    <n v="3"/>
    <n v="1"/>
    <n v="3"/>
    <n v="2"/>
    <n v="3"/>
    <n v="2"/>
    <x v="1"/>
    <n v="2"/>
    <n v="1"/>
    <n v="2"/>
  </r>
  <r>
    <n v="28"/>
    <x v="0"/>
    <s v="Travel_Rarely"/>
    <n v="103"/>
    <x v="1"/>
    <n v="24"/>
    <n v="3"/>
    <s v="Life Sciences"/>
    <n v="19"/>
    <n v="3"/>
    <s v="Male"/>
    <n v="50"/>
    <n v="2"/>
    <n v="1"/>
    <x v="2"/>
    <x v="2"/>
    <s v="Single"/>
    <n v="2028"/>
    <x v="1"/>
    <n v="12947"/>
    <n v="5"/>
    <x v="0"/>
    <n v="14"/>
    <n v="3"/>
    <n v="2"/>
    <n v="0"/>
    <n v="6"/>
    <n v="4"/>
    <n v="3"/>
    <n v="4"/>
    <x v="2"/>
    <n v="2"/>
    <n v="0"/>
    <n v="3"/>
  </r>
  <r>
    <n v="29"/>
    <x v="1"/>
    <s v="Travel_Rarely"/>
    <n v="1389"/>
    <x v="1"/>
    <n v="21"/>
    <n v="4"/>
    <s v="Life Sciences"/>
    <n v="20"/>
    <n v="2"/>
    <s v="Female"/>
    <n v="51"/>
    <n v="4"/>
    <n v="3"/>
    <x v="3"/>
    <x v="3"/>
    <s v="Divorced"/>
    <n v="9980"/>
    <x v="2"/>
    <n v="10195"/>
    <n v="1"/>
    <x v="1"/>
    <n v="11"/>
    <n v="3"/>
    <n v="3"/>
    <n v="1"/>
    <n v="10"/>
    <n v="1"/>
    <n v="3"/>
    <n v="10"/>
    <x v="0"/>
    <n v="9"/>
    <n v="8"/>
    <n v="8"/>
  </r>
  <r>
    <n v="32"/>
    <x v="1"/>
    <s v="Travel_Rarely"/>
    <n v="334"/>
    <x v="1"/>
    <n v="5"/>
    <n v="2"/>
    <s v="Life Sciences"/>
    <n v="21"/>
    <n v="1"/>
    <s v="Male"/>
    <n v="80"/>
    <n v="4"/>
    <n v="1"/>
    <x v="1"/>
    <x v="1"/>
    <s v="Divorced"/>
    <n v="3298"/>
    <x v="0"/>
    <n v="15053"/>
    <n v="0"/>
    <x v="0"/>
    <n v="12"/>
    <n v="3"/>
    <n v="4"/>
    <n v="2"/>
    <n v="7"/>
    <n v="5"/>
    <n v="2"/>
    <n v="6"/>
    <x v="0"/>
    <n v="2"/>
    <n v="0"/>
    <n v="5"/>
  </r>
  <r>
    <n v="22"/>
    <x v="1"/>
    <s v="Non-Travel"/>
    <n v="1123"/>
    <x v="1"/>
    <n v="16"/>
    <n v="2"/>
    <s v="Medical"/>
    <n v="22"/>
    <n v="4"/>
    <s v="Male"/>
    <n v="96"/>
    <n v="4"/>
    <n v="1"/>
    <x v="2"/>
    <x v="0"/>
    <s v="Divorced"/>
    <n v="2935"/>
    <x v="1"/>
    <n v="7324"/>
    <n v="1"/>
    <x v="0"/>
    <n v="13"/>
    <n v="3"/>
    <n v="2"/>
    <n v="2"/>
    <n v="1"/>
    <n v="2"/>
    <n v="2"/>
    <n v="1"/>
    <x v="1"/>
    <n v="0"/>
    <n v="0"/>
    <n v="0"/>
  </r>
  <r>
    <n v="53"/>
    <x v="1"/>
    <s v="Travel_Rarely"/>
    <n v="1219"/>
    <x v="0"/>
    <n v="2"/>
    <n v="4"/>
    <s v="Life Sciences"/>
    <n v="23"/>
    <n v="1"/>
    <s v="Female"/>
    <n v="78"/>
    <n v="2"/>
    <n v="4"/>
    <x v="5"/>
    <x v="0"/>
    <s v="Married"/>
    <n v="15427"/>
    <x v="2"/>
    <n v="22021"/>
    <n v="2"/>
    <x v="1"/>
    <n v="16"/>
    <n v="3"/>
    <n v="3"/>
    <n v="0"/>
    <n v="31"/>
    <n v="3"/>
    <n v="3"/>
    <n v="25"/>
    <x v="3"/>
    <n v="8"/>
    <n v="3"/>
    <n v="7"/>
  </r>
  <r>
    <n v="38"/>
    <x v="1"/>
    <s v="Travel_Rarely"/>
    <n v="371"/>
    <x v="1"/>
    <n v="2"/>
    <n v="3"/>
    <s v="Life Sciences"/>
    <n v="24"/>
    <n v="4"/>
    <s v="Male"/>
    <n v="45"/>
    <n v="3"/>
    <n v="1"/>
    <x v="1"/>
    <x v="0"/>
    <s v="Single"/>
    <n v="3944"/>
    <x v="0"/>
    <n v="4306"/>
    <n v="5"/>
    <x v="0"/>
    <n v="11"/>
    <n v="3"/>
    <n v="3"/>
    <n v="0"/>
    <n v="6"/>
    <n v="3"/>
    <n v="3"/>
    <n v="3"/>
    <x v="2"/>
    <n v="2"/>
    <n v="1"/>
    <n v="2"/>
  </r>
  <r>
    <n v="24"/>
    <x v="1"/>
    <s v="Non-Travel"/>
    <n v="673"/>
    <x v="1"/>
    <n v="11"/>
    <n v="2"/>
    <s v="Other"/>
    <n v="26"/>
    <n v="1"/>
    <s v="Female"/>
    <n v="96"/>
    <n v="4"/>
    <n v="2"/>
    <x v="3"/>
    <x v="2"/>
    <s v="Divorced"/>
    <n v="4011"/>
    <x v="0"/>
    <n v="8232"/>
    <n v="0"/>
    <x v="1"/>
    <n v="18"/>
    <n v="3"/>
    <n v="4"/>
    <n v="1"/>
    <n v="5"/>
    <n v="5"/>
    <n v="2"/>
    <n v="4"/>
    <x v="2"/>
    <n v="2"/>
    <n v="1"/>
    <n v="3"/>
  </r>
  <r>
    <n v="36"/>
    <x v="0"/>
    <s v="Travel_Rarely"/>
    <n v="1218"/>
    <x v="0"/>
    <n v="9"/>
    <n v="4"/>
    <s v="Life Sciences"/>
    <n v="27"/>
    <n v="3"/>
    <s v="Male"/>
    <n v="82"/>
    <n v="2"/>
    <n v="1"/>
    <x v="6"/>
    <x v="3"/>
    <s v="Single"/>
    <n v="3407"/>
    <x v="0"/>
    <n v="6986"/>
    <n v="7"/>
    <x v="1"/>
    <n v="23"/>
    <n v="4"/>
    <n v="2"/>
    <n v="0"/>
    <n v="10"/>
    <n v="4"/>
    <n v="3"/>
    <n v="5"/>
    <x v="2"/>
    <n v="3"/>
    <n v="0"/>
    <n v="3"/>
  </r>
  <r>
    <n v="34"/>
    <x v="1"/>
    <s v="Travel_Rarely"/>
    <n v="419"/>
    <x v="1"/>
    <n v="7"/>
    <n v="4"/>
    <s v="Life Sciences"/>
    <n v="28"/>
    <n v="1"/>
    <s v="Female"/>
    <n v="53"/>
    <n v="3"/>
    <n v="3"/>
    <x v="7"/>
    <x v="1"/>
    <s v="Single"/>
    <n v="11994"/>
    <x v="2"/>
    <n v="21293"/>
    <n v="0"/>
    <x v="1"/>
    <n v="11"/>
    <n v="3"/>
    <n v="3"/>
    <n v="0"/>
    <n v="13"/>
    <n v="4"/>
    <n v="3"/>
    <n v="12"/>
    <x v="3"/>
    <n v="6"/>
    <n v="2"/>
    <n v="11"/>
  </r>
  <r>
    <n v="21"/>
    <x v="1"/>
    <s v="Travel_Rarely"/>
    <n v="391"/>
    <x v="1"/>
    <n v="15"/>
    <n v="2"/>
    <s v="Life Sciences"/>
    <n v="30"/>
    <n v="3"/>
    <s v="Male"/>
    <n v="96"/>
    <n v="3"/>
    <n v="1"/>
    <x v="1"/>
    <x v="0"/>
    <s v="Single"/>
    <n v="1232"/>
    <x v="1"/>
    <n v="19281"/>
    <n v="1"/>
    <x v="1"/>
    <n v="14"/>
    <n v="3"/>
    <n v="4"/>
    <n v="0"/>
    <n v="0"/>
    <n v="6"/>
    <n v="3"/>
    <n v="0"/>
    <x v="1"/>
    <n v="0"/>
    <n v="0"/>
    <n v="0"/>
  </r>
  <r>
    <n v="34"/>
    <x v="0"/>
    <s v="Travel_Rarely"/>
    <n v="699"/>
    <x v="1"/>
    <n v="6"/>
    <n v="1"/>
    <s v="Medical"/>
    <n v="31"/>
    <n v="2"/>
    <s v="Male"/>
    <n v="83"/>
    <n v="3"/>
    <n v="1"/>
    <x v="1"/>
    <x v="3"/>
    <s v="Single"/>
    <n v="2960"/>
    <x v="1"/>
    <n v="17102"/>
    <n v="2"/>
    <x v="1"/>
    <n v="11"/>
    <n v="3"/>
    <n v="3"/>
    <n v="0"/>
    <n v="8"/>
    <n v="2"/>
    <n v="3"/>
    <n v="4"/>
    <x v="2"/>
    <n v="2"/>
    <n v="1"/>
    <n v="3"/>
  </r>
  <r>
    <n v="53"/>
    <x v="1"/>
    <s v="Travel_Rarely"/>
    <n v="1282"/>
    <x v="1"/>
    <n v="5"/>
    <n v="3"/>
    <s v="Other"/>
    <n v="32"/>
    <n v="3"/>
    <s v="Female"/>
    <n v="58"/>
    <n v="3"/>
    <n v="5"/>
    <x v="5"/>
    <x v="2"/>
    <s v="Divorced"/>
    <n v="19094"/>
    <x v="2"/>
    <n v="10735"/>
    <n v="4"/>
    <x v="1"/>
    <n v="11"/>
    <n v="3"/>
    <n v="4"/>
    <n v="1"/>
    <n v="26"/>
    <n v="3"/>
    <n v="2"/>
    <n v="14"/>
    <x v="3"/>
    <n v="13"/>
    <n v="4"/>
    <n v="8"/>
  </r>
  <r>
    <n v="32"/>
    <x v="0"/>
    <s v="Travel_Frequently"/>
    <n v="1125"/>
    <x v="1"/>
    <n v="16"/>
    <n v="1"/>
    <s v="Life Sciences"/>
    <n v="33"/>
    <n v="2"/>
    <s v="Female"/>
    <n v="72"/>
    <n v="1"/>
    <n v="1"/>
    <x v="1"/>
    <x v="3"/>
    <s v="Single"/>
    <n v="3919"/>
    <x v="0"/>
    <n v="4681"/>
    <n v="1"/>
    <x v="0"/>
    <n v="22"/>
    <n v="4"/>
    <n v="2"/>
    <n v="0"/>
    <n v="10"/>
    <n v="5"/>
    <n v="3"/>
    <n v="10"/>
    <x v="0"/>
    <n v="2"/>
    <n v="6"/>
    <n v="7"/>
  </r>
  <r>
    <n v="42"/>
    <x v="1"/>
    <s v="Travel_Rarely"/>
    <n v="691"/>
    <x v="0"/>
    <n v="8"/>
    <n v="4"/>
    <s v="Marketing"/>
    <n v="35"/>
    <n v="3"/>
    <s v="Male"/>
    <n v="48"/>
    <n v="3"/>
    <n v="2"/>
    <x v="0"/>
    <x v="1"/>
    <s v="Married"/>
    <n v="6825"/>
    <x v="0"/>
    <n v="21173"/>
    <n v="0"/>
    <x v="1"/>
    <n v="11"/>
    <n v="3"/>
    <n v="4"/>
    <n v="1"/>
    <n v="10"/>
    <n v="2"/>
    <n v="3"/>
    <n v="9"/>
    <x v="0"/>
    <n v="7"/>
    <n v="4"/>
    <n v="2"/>
  </r>
  <r>
    <n v="44"/>
    <x v="1"/>
    <s v="Travel_Rarely"/>
    <n v="477"/>
    <x v="1"/>
    <n v="7"/>
    <n v="4"/>
    <s v="Medical"/>
    <n v="36"/>
    <n v="1"/>
    <s v="Female"/>
    <n v="42"/>
    <n v="2"/>
    <n v="3"/>
    <x v="4"/>
    <x v="0"/>
    <s v="Married"/>
    <n v="10248"/>
    <x v="2"/>
    <n v="2094"/>
    <n v="3"/>
    <x v="1"/>
    <n v="14"/>
    <n v="3"/>
    <n v="4"/>
    <n v="1"/>
    <n v="24"/>
    <n v="4"/>
    <n v="3"/>
    <n v="22"/>
    <x v="3"/>
    <n v="6"/>
    <n v="5"/>
    <n v="17"/>
  </r>
  <r>
    <n v="46"/>
    <x v="1"/>
    <s v="Travel_Rarely"/>
    <n v="705"/>
    <x v="0"/>
    <n v="2"/>
    <n v="4"/>
    <s v="Marketing"/>
    <n v="38"/>
    <n v="2"/>
    <s v="Female"/>
    <n v="83"/>
    <n v="3"/>
    <n v="5"/>
    <x v="5"/>
    <x v="3"/>
    <s v="Single"/>
    <n v="18947"/>
    <x v="2"/>
    <n v="22822"/>
    <n v="3"/>
    <x v="1"/>
    <n v="12"/>
    <n v="3"/>
    <n v="4"/>
    <n v="0"/>
    <n v="22"/>
    <n v="2"/>
    <n v="2"/>
    <n v="2"/>
    <x v="1"/>
    <n v="2"/>
    <n v="2"/>
    <n v="1"/>
  </r>
  <r>
    <n v="33"/>
    <x v="1"/>
    <s v="Travel_Rarely"/>
    <n v="924"/>
    <x v="1"/>
    <n v="2"/>
    <n v="3"/>
    <s v="Medical"/>
    <n v="39"/>
    <n v="3"/>
    <s v="Male"/>
    <n v="78"/>
    <n v="3"/>
    <n v="1"/>
    <x v="2"/>
    <x v="0"/>
    <s v="Single"/>
    <n v="2496"/>
    <x v="1"/>
    <n v="6670"/>
    <n v="4"/>
    <x v="1"/>
    <n v="11"/>
    <n v="3"/>
    <n v="4"/>
    <n v="0"/>
    <n v="7"/>
    <n v="3"/>
    <n v="3"/>
    <n v="1"/>
    <x v="1"/>
    <n v="1"/>
    <n v="0"/>
    <n v="0"/>
  </r>
  <r>
    <n v="44"/>
    <x v="1"/>
    <s v="Travel_Rarely"/>
    <n v="1459"/>
    <x v="1"/>
    <n v="10"/>
    <n v="4"/>
    <s v="Other"/>
    <n v="40"/>
    <n v="4"/>
    <s v="Male"/>
    <n v="41"/>
    <n v="3"/>
    <n v="2"/>
    <x v="4"/>
    <x v="0"/>
    <s v="Married"/>
    <n v="6465"/>
    <x v="0"/>
    <n v="19121"/>
    <n v="2"/>
    <x v="0"/>
    <n v="13"/>
    <n v="3"/>
    <n v="4"/>
    <n v="0"/>
    <n v="9"/>
    <n v="5"/>
    <n v="4"/>
    <n v="4"/>
    <x v="2"/>
    <n v="2"/>
    <n v="1"/>
    <n v="3"/>
  </r>
  <r>
    <n v="30"/>
    <x v="1"/>
    <s v="Travel_Rarely"/>
    <n v="125"/>
    <x v="1"/>
    <n v="9"/>
    <n v="2"/>
    <s v="Medical"/>
    <n v="41"/>
    <n v="4"/>
    <s v="Male"/>
    <n v="83"/>
    <n v="2"/>
    <n v="1"/>
    <x v="2"/>
    <x v="2"/>
    <s v="Single"/>
    <n v="2206"/>
    <x v="1"/>
    <n v="16117"/>
    <n v="1"/>
    <x v="1"/>
    <n v="13"/>
    <n v="3"/>
    <n v="1"/>
    <n v="0"/>
    <n v="10"/>
    <n v="5"/>
    <n v="3"/>
    <n v="10"/>
    <x v="0"/>
    <n v="0"/>
    <n v="1"/>
    <n v="8"/>
  </r>
  <r>
    <n v="39"/>
    <x v="0"/>
    <s v="Travel_Rarely"/>
    <n v="895"/>
    <x v="0"/>
    <n v="5"/>
    <n v="3"/>
    <s v="Technical Degree"/>
    <n v="42"/>
    <n v="4"/>
    <s v="Male"/>
    <n v="56"/>
    <n v="3"/>
    <n v="2"/>
    <x v="6"/>
    <x v="0"/>
    <s v="Married"/>
    <n v="2086"/>
    <x v="1"/>
    <n v="3335"/>
    <n v="3"/>
    <x v="1"/>
    <n v="14"/>
    <n v="3"/>
    <n v="3"/>
    <n v="1"/>
    <n v="19"/>
    <n v="6"/>
    <n v="4"/>
    <n v="1"/>
    <x v="1"/>
    <n v="0"/>
    <n v="0"/>
    <n v="0"/>
  </r>
  <r>
    <n v="24"/>
    <x v="0"/>
    <s v="Travel_Rarely"/>
    <n v="813"/>
    <x v="1"/>
    <n v="1"/>
    <n v="3"/>
    <s v="Medical"/>
    <n v="45"/>
    <n v="2"/>
    <s v="Male"/>
    <n v="61"/>
    <n v="3"/>
    <n v="1"/>
    <x v="1"/>
    <x v="0"/>
    <s v="Married"/>
    <n v="2293"/>
    <x v="1"/>
    <n v="3020"/>
    <n v="2"/>
    <x v="0"/>
    <n v="16"/>
    <n v="3"/>
    <n v="1"/>
    <n v="1"/>
    <n v="6"/>
    <n v="2"/>
    <n v="2"/>
    <n v="2"/>
    <x v="1"/>
    <n v="0"/>
    <n v="2"/>
    <n v="0"/>
  </r>
  <r>
    <n v="43"/>
    <x v="1"/>
    <s v="Travel_Rarely"/>
    <n v="1273"/>
    <x v="1"/>
    <n v="2"/>
    <n v="2"/>
    <s v="Medical"/>
    <n v="46"/>
    <n v="4"/>
    <s v="Female"/>
    <n v="72"/>
    <n v="4"/>
    <n v="1"/>
    <x v="1"/>
    <x v="2"/>
    <s v="Divorced"/>
    <n v="2645"/>
    <x v="1"/>
    <n v="21923"/>
    <n v="1"/>
    <x v="1"/>
    <n v="12"/>
    <n v="3"/>
    <n v="4"/>
    <n v="2"/>
    <n v="6"/>
    <n v="3"/>
    <n v="2"/>
    <n v="5"/>
    <x v="2"/>
    <n v="3"/>
    <n v="1"/>
    <n v="4"/>
  </r>
  <r>
    <n v="50"/>
    <x v="0"/>
    <s v="Travel_Rarely"/>
    <n v="869"/>
    <x v="0"/>
    <n v="3"/>
    <n v="2"/>
    <s v="Marketing"/>
    <n v="47"/>
    <n v="1"/>
    <s v="Male"/>
    <n v="86"/>
    <n v="2"/>
    <n v="1"/>
    <x v="6"/>
    <x v="2"/>
    <s v="Married"/>
    <n v="2683"/>
    <x v="1"/>
    <n v="3810"/>
    <n v="1"/>
    <x v="0"/>
    <n v="14"/>
    <n v="3"/>
    <n v="3"/>
    <n v="0"/>
    <n v="3"/>
    <n v="2"/>
    <n v="3"/>
    <n v="3"/>
    <x v="2"/>
    <n v="2"/>
    <n v="0"/>
    <n v="2"/>
  </r>
  <r>
    <n v="35"/>
    <x v="1"/>
    <s v="Travel_Rarely"/>
    <n v="890"/>
    <x v="0"/>
    <n v="2"/>
    <n v="3"/>
    <s v="Marketing"/>
    <n v="49"/>
    <n v="4"/>
    <s v="Female"/>
    <n v="97"/>
    <n v="3"/>
    <n v="1"/>
    <x v="6"/>
    <x v="0"/>
    <s v="Married"/>
    <n v="2014"/>
    <x v="1"/>
    <n v="9687"/>
    <n v="1"/>
    <x v="1"/>
    <n v="13"/>
    <n v="3"/>
    <n v="1"/>
    <n v="0"/>
    <n v="2"/>
    <n v="3"/>
    <n v="3"/>
    <n v="2"/>
    <x v="1"/>
    <n v="2"/>
    <n v="2"/>
    <n v="2"/>
  </r>
  <r>
    <n v="36"/>
    <x v="1"/>
    <s v="Travel_Rarely"/>
    <n v="852"/>
    <x v="1"/>
    <n v="5"/>
    <n v="4"/>
    <s v="Life Sciences"/>
    <n v="51"/>
    <n v="2"/>
    <s v="Female"/>
    <n v="82"/>
    <n v="2"/>
    <n v="1"/>
    <x v="1"/>
    <x v="3"/>
    <s v="Married"/>
    <n v="3419"/>
    <x v="0"/>
    <n v="13072"/>
    <n v="9"/>
    <x v="0"/>
    <n v="14"/>
    <n v="3"/>
    <n v="4"/>
    <n v="1"/>
    <n v="6"/>
    <n v="3"/>
    <n v="4"/>
    <n v="1"/>
    <x v="1"/>
    <n v="1"/>
    <n v="0"/>
    <n v="0"/>
  </r>
  <r>
    <n v="33"/>
    <x v="1"/>
    <s v="Travel_Frequently"/>
    <n v="1141"/>
    <x v="0"/>
    <n v="1"/>
    <n v="3"/>
    <s v="Life Sciences"/>
    <n v="52"/>
    <n v="3"/>
    <s v="Female"/>
    <n v="42"/>
    <n v="4"/>
    <n v="2"/>
    <x v="0"/>
    <x v="3"/>
    <s v="Married"/>
    <n v="5376"/>
    <x v="0"/>
    <n v="3193"/>
    <n v="2"/>
    <x v="1"/>
    <n v="19"/>
    <n v="3"/>
    <n v="1"/>
    <n v="2"/>
    <n v="10"/>
    <n v="3"/>
    <n v="3"/>
    <n v="5"/>
    <x v="2"/>
    <n v="3"/>
    <n v="1"/>
    <n v="3"/>
  </r>
  <r>
    <n v="35"/>
    <x v="1"/>
    <s v="Travel_Rarely"/>
    <n v="464"/>
    <x v="1"/>
    <n v="4"/>
    <n v="2"/>
    <s v="Other"/>
    <n v="53"/>
    <n v="3"/>
    <s v="Male"/>
    <n v="75"/>
    <n v="3"/>
    <n v="1"/>
    <x v="2"/>
    <x v="0"/>
    <s v="Divorced"/>
    <n v="1951"/>
    <x v="1"/>
    <n v="10910"/>
    <n v="1"/>
    <x v="1"/>
    <n v="12"/>
    <n v="3"/>
    <n v="3"/>
    <n v="1"/>
    <n v="1"/>
    <n v="3"/>
    <n v="3"/>
    <n v="1"/>
    <x v="1"/>
    <n v="0"/>
    <n v="0"/>
    <n v="0"/>
  </r>
  <r>
    <n v="27"/>
    <x v="1"/>
    <s v="Travel_Rarely"/>
    <n v="1240"/>
    <x v="1"/>
    <n v="2"/>
    <n v="4"/>
    <s v="Life Sciences"/>
    <n v="54"/>
    <n v="4"/>
    <s v="Female"/>
    <n v="33"/>
    <n v="3"/>
    <n v="1"/>
    <x v="2"/>
    <x v="3"/>
    <s v="Divorced"/>
    <n v="2341"/>
    <x v="1"/>
    <n v="19715"/>
    <n v="1"/>
    <x v="1"/>
    <n v="13"/>
    <n v="3"/>
    <n v="4"/>
    <n v="1"/>
    <n v="1"/>
    <n v="6"/>
    <n v="3"/>
    <n v="1"/>
    <x v="1"/>
    <n v="0"/>
    <n v="0"/>
    <n v="0"/>
  </r>
  <r>
    <n v="26"/>
    <x v="0"/>
    <s v="Travel_Rarely"/>
    <n v="1357"/>
    <x v="1"/>
    <n v="25"/>
    <n v="3"/>
    <s v="Life Sciences"/>
    <n v="55"/>
    <n v="1"/>
    <s v="Male"/>
    <n v="48"/>
    <n v="1"/>
    <n v="1"/>
    <x v="2"/>
    <x v="2"/>
    <s v="Single"/>
    <n v="2293"/>
    <x v="1"/>
    <n v="10558"/>
    <n v="1"/>
    <x v="1"/>
    <n v="12"/>
    <n v="3"/>
    <n v="3"/>
    <n v="0"/>
    <n v="1"/>
    <n v="2"/>
    <n v="2"/>
    <n v="1"/>
    <x v="1"/>
    <n v="0"/>
    <n v="0"/>
    <n v="1"/>
  </r>
  <r>
    <n v="27"/>
    <x v="1"/>
    <s v="Travel_Frequently"/>
    <n v="994"/>
    <x v="0"/>
    <n v="8"/>
    <n v="3"/>
    <s v="Life Sciences"/>
    <n v="56"/>
    <n v="4"/>
    <s v="Male"/>
    <n v="37"/>
    <n v="3"/>
    <n v="3"/>
    <x v="0"/>
    <x v="2"/>
    <s v="Single"/>
    <n v="8726"/>
    <x v="2"/>
    <n v="2975"/>
    <n v="1"/>
    <x v="1"/>
    <n v="15"/>
    <n v="3"/>
    <n v="4"/>
    <n v="0"/>
    <n v="9"/>
    <n v="0"/>
    <n v="3"/>
    <n v="9"/>
    <x v="0"/>
    <n v="8"/>
    <n v="1"/>
    <n v="7"/>
  </r>
  <r>
    <n v="30"/>
    <x v="1"/>
    <s v="Travel_Frequently"/>
    <n v="721"/>
    <x v="1"/>
    <n v="1"/>
    <n v="2"/>
    <s v="Medical"/>
    <n v="57"/>
    <n v="3"/>
    <s v="Female"/>
    <n v="58"/>
    <n v="3"/>
    <n v="2"/>
    <x v="2"/>
    <x v="0"/>
    <s v="Single"/>
    <n v="4011"/>
    <x v="0"/>
    <n v="10781"/>
    <n v="1"/>
    <x v="1"/>
    <n v="23"/>
    <n v="4"/>
    <n v="4"/>
    <n v="0"/>
    <n v="12"/>
    <n v="2"/>
    <n v="3"/>
    <n v="12"/>
    <x v="3"/>
    <n v="8"/>
    <n v="3"/>
    <n v="7"/>
  </r>
  <r>
    <n v="41"/>
    <x v="0"/>
    <s v="Travel_Rarely"/>
    <n v="1360"/>
    <x v="1"/>
    <n v="12"/>
    <n v="3"/>
    <s v="Technical Degree"/>
    <n v="58"/>
    <n v="2"/>
    <s v="Female"/>
    <n v="49"/>
    <n v="3"/>
    <n v="5"/>
    <x v="7"/>
    <x v="2"/>
    <s v="Married"/>
    <n v="19545"/>
    <x v="2"/>
    <n v="16280"/>
    <n v="1"/>
    <x v="1"/>
    <n v="12"/>
    <n v="3"/>
    <n v="4"/>
    <n v="0"/>
    <n v="23"/>
    <n v="0"/>
    <n v="3"/>
    <n v="22"/>
    <x v="3"/>
    <n v="15"/>
    <n v="15"/>
    <n v="8"/>
  </r>
  <r>
    <n v="34"/>
    <x v="1"/>
    <s v="Non-Travel"/>
    <n v="1065"/>
    <x v="0"/>
    <n v="23"/>
    <n v="4"/>
    <s v="Marketing"/>
    <n v="60"/>
    <n v="2"/>
    <s v="Male"/>
    <n v="72"/>
    <n v="3"/>
    <n v="2"/>
    <x v="0"/>
    <x v="2"/>
    <s v="Single"/>
    <n v="4568"/>
    <x v="0"/>
    <n v="10034"/>
    <n v="0"/>
    <x v="1"/>
    <n v="20"/>
    <n v="4"/>
    <n v="3"/>
    <n v="0"/>
    <n v="10"/>
    <n v="2"/>
    <n v="3"/>
    <n v="9"/>
    <x v="0"/>
    <n v="5"/>
    <n v="8"/>
    <n v="7"/>
  </r>
  <r>
    <n v="37"/>
    <x v="1"/>
    <s v="Travel_Rarely"/>
    <n v="408"/>
    <x v="1"/>
    <n v="19"/>
    <n v="2"/>
    <s v="Life Sciences"/>
    <n v="61"/>
    <n v="2"/>
    <s v="Male"/>
    <n v="73"/>
    <n v="3"/>
    <n v="1"/>
    <x v="1"/>
    <x v="1"/>
    <s v="Married"/>
    <n v="3022"/>
    <x v="0"/>
    <n v="10227"/>
    <n v="4"/>
    <x v="1"/>
    <n v="21"/>
    <n v="4"/>
    <n v="1"/>
    <n v="0"/>
    <n v="8"/>
    <n v="1"/>
    <n v="3"/>
    <n v="1"/>
    <x v="1"/>
    <n v="0"/>
    <n v="0"/>
    <n v="0"/>
  </r>
  <r>
    <n v="46"/>
    <x v="1"/>
    <s v="Travel_Frequently"/>
    <n v="1211"/>
    <x v="0"/>
    <n v="5"/>
    <n v="4"/>
    <s v="Marketing"/>
    <n v="62"/>
    <n v="1"/>
    <s v="Male"/>
    <n v="98"/>
    <n v="3"/>
    <n v="2"/>
    <x v="0"/>
    <x v="0"/>
    <s v="Single"/>
    <n v="5772"/>
    <x v="0"/>
    <n v="20445"/>
    <n v="4"/>
    <x v="0"/>
    <n v="21"/>
    <n v="4"/>
    <n v="3"/>
    <n v="0"/>
    <n v="14"/>
    <n v="4"/>
    <n v="3"/>
    <n v="9"/>
    <x v="0"/>
    <n v="6"/>
    <n v="0"/>
    <n v="8"/>
  </r>
  <r>
    <n v="35"/>
    <x v="1"/>
    <s v="Travel_Rarely"/>
    <n v="1229"/>
    <x v="1"/>
    <n v="8"/>
    <n v="1"/>
    <s v="Life Sciences"/>
    <n v="63"/>
    <n v="4"/>
    <s v="Male"/>
    <n v="36"/>
    <n v="4"/>
    <n v="1"/>
    <x v="2"/>
    <x v="0"/>
    <s v="Married"/>
    <n v="2269"/>
    <x v="1"/>
    <n v="4892"/>
    <n v="1"/>
    <x v="1"/>
    <n v="19"/>
    <n v="3"/>
    <n v="4"/>
    <n v="0"/>
    <n v="1"/>
    <n v="2"/>
    <n v="3"/>
    <n v="1"/>
    <x v="1"/>
    <n v="0"/>
    <n v="0"/>
    <n v="1"/>
  </r>
  <r>
    <n v="48"/>
    <x v="0"/>
    <s v="Travel_Rarely"/>
    <n v="626"/>
    <x v="1"/>
    <n v="1"/>
    <n v="2"/>
    <s v="Life Sciences"/>
    <n v="64"/>
    <n v="1"/>
    <s v="Male"/>
    <n v="98"/>
    <n v="2"/>
    <n v="3"/>
    <x v="2"/>
    <x v="2"/>
    <s v="Single"/>
    <n v="5381"/>
    <x v="0"/>
    <n v="19294"/>
    <n v="9"/>
    <x v="0"/>
    <n v="13"/>
    <n v="3"/>
    <n v="4"/>
    <n v="0"/>
    <n v="23"/>
    <n v="2"/>
    <n v="3"/>
    <n v="1"/>
    <x v="1"/>
    <n v="0"/>
    <n v="0"/>
    <n v="0"/>
  </r>
  <r>
    <n v="28"/>
    <x v="0"/>
    <s v="Travel_Rarely"/>
    <n v="1434"/>
    <x v="1"/>
    <n v="5"/>
    <n v="4"/>
    <s v="Technical Degree"/>
    <n v="65"/>
    <n v="3"/>
    <s v="Male"/>
    <n v="50"/>
    <n v="3"/>
    <n v="1"/>
    <x v="2"/>
    <x v="2"/>
    <s v="Single"/>
    <n v="3441"/>
    <x v="0"/>
    <n v="11179"/>
    <n v="1"/>
    <x v="0"/>
    <n v="13"/>
    <n v="3"/>
    <n v="3"/>
    <n v="0"/>
    <n v="2"/>
    <n v="3"/>
    <n v="2"/>
    <n v="2"/>
    <x v="1"/>
    <n v="2"/>
    <n v="2"/>
    <n v="2"/>
  </r>
  <r>
    <n v="44"/>
    <x v="1"/>
    <s v="Travel_Rarely"/>
    <n v="1488"/>
    <x v="0"/>
    <n v="1"/>
    <n v="5"/>
    <s v="Marketing"/>
    <n v="68"/>
    <n v="2"/>
    <s v="Female"/>
    <n v="75"/>
    <n v="3"/>
    <n v="2"/>
    <x v="0"/>
    <x v="3"/>
    <s v="Divorced"/>
    <n v="5454"/>
    <x v="0"/>
    <n v="4009"/>
    <n v="5"/>
    <x v="0"/>
    <n v="21"/>
    <n v="4"/>
    <n v="3"/>
    <n v="1"/>
    <n v="9"/>
    <n v="2"/>
    <n v="2"/>
    <n v="4"/>
    <x v="2"/>
    <n v="3"/>
    <n v="1"/>
    <n v="3"/>
  </r>
  <r>
    <n v="35"/>
    <x v="1"/>
    <s v="Non-Travel"/>
    <n v="1097"/>
    <x v="1"/>
    <n v="11"/>
    <n v="2"/>
    <s v="Medical"/>
    <n v="70"/>
    <n v="3"/>
    <s v="Male"/>
    <n v="79"/>
    <n v="2"/>
    <n v="3"/>
    <x v="4"/>
    <x v="3"/>
    <s v="Married"/>
    <n v="9884"/>
    <x v="2"/>
    <n v="8302"/>
    <n v="2"/>
    <x v="0"/>
    <n v="13"/>
    <n v="3"/>
    <n v="3"/>
    <n v="1"/>
    <n v="10"/>
    <n v="3"/>
    <n v="3"/>
    <n v="4"/>
    <x v="2"/>
    <n v="0"/>
    <n v="2"/>
    <n v="3"/>
  </r>
  <r>
    <n v="26"/>
    <x v="1"/>
    <s v="Travel_Rarely"/>
    <n v="1443"/>
    <x v="0"/>
    <n v="23"/>
    <n v="3"/>
    <s v="Marketing"/>
    <n v="72"/>
    <n v="3"/>
    <s v="Female"/>
    <n v="47"/>
    <n v="2"/>
    <n v="2"/>
    <x v="0"/>
    <x v="0"/>
    <s v="Married"/>
    <n v="4157"/>
    <x v="0"/>
    <n v="21436"/>
    <n v="7"/>
    <x v="0"/>
    <n v="19"/>
    <n v="3"/>
    <n v="3"/>
    <n v="1"/>
    <n v="5"/>
    <n v="2"/>
    <n v="2"/>
    <n v="2"/>
    <x v="1"/>
    <n v="2"/>
    <n v="0"/>
    <n v="0"/>
  </r>
  <r>
    <n v="33"/>
    <x v="1"/>
    <s v="Travel_Frequently"/>
    <n v="515"/>
    <x v="1"/>
    <n v="1"/>
    <n v="2"/>
    <s v="Life Sciences"/>
    <n v="73"/>
    <n v="1"/>
    <s v="Female"/>
    <n v="98"/>
    <n v="3"/>
    <n v="3"/>
    <x v="7"/>
    <x v="0"/>
    <s v="Single"/>
    <n v="13458"/>
    <x v="2"/>
    <n v="15146"/>
    <n v="1"/>
    <x v="0"/>
    <n v="12"/>
    <n v="3"/>
    <n v="3"/>
    <n v="0"/>
    <n v="15"/>
    <n v="1"/>
    <n v="3"/>
    <n v="15"/>
    <x v="3"/>
    <n v="14"/>
    <n v="8"/>
    <n v="12"/>
  </r>
  <r>
    <n v="35"/>
    <x v="1"/>
    <s v="Travel_Frequently"/>
    <n v="853"/>
    <x v="0"/>
    <n v="18"/>
    <n v="5"/>
    <s v="Life Sciences"/>
    <n v="74"/>
    <n v="2"/>
    <s v="Male"/>
    <n v="71"/>
    <n v="3"/>
    <n v="3"/>
    <x v="0"/>
    <x v="3"/>
    <s v="Married"/>
    <n v="9069"/>
    <x v="2"/>
    <n v="11031"/>
    <n v="1"/>
    <x v="1"/>
    <n v="22"/>
    <n v="4"/>
    <n v="4"/>
    <n v="1"/>
    <n v="9"/>
    <n v="3"/>
    <n v="2"/>
    <n v="9"/>
    <x v="0"/>
    <n v="8"/>
    <n v="1"/>
    <n v="8"/>
  </r>
  <r>
    <n v="35"/>
    <x v="1"/>
    <s v="Travel_Rarely"/>
    <n v="1142"/>
    <x v="1"/>
    <n v="23"/>
    <n v="4"/>
    <s v="Medical"/>
    <n v="75"/>
    <n v="3"/>
    <s v="Female"/>
    <n v="30"/>
    <n v="3"/>
    <n v="1"/>
    <x v="2"/>
    <x v="3"/>
    <s v="Married"/>
    <n v="4014"/>
    <x v="0"/>
    <n v="16002"/>
    <n v="3"/>
    <x v="0"/>
    <n v="15"/>
    <n v="3"/>
    <n v="3"/>
    <n v="1"/>
    <n v="4"/>
    <n v="3"/>
    <n v="3"/>
    <n v="2"/>
    <x v="1"/>
    <n v="2"/>
    <n v="2"/>
    <n v="2"/>
  </r>
  <r>
    <n v="31"/>
    <x v="1"/>
    <s v="Travel_Rarely"/>
    <n v="655"/>
    <x v="1"/>
    <n v="7"/>
    <n v="4"/>
    <s v="Life Sciences"/>
    <n v="76"/>
    <n v="4"/>
    <s v="Male"/>
    <n v="48"/>
    <n v="3"/>
    <n v="2"/>
    <x v="2"/>
    <x v="0"/>
    <s v="Divorced"/>
    <n v="5915"/>
    <x v="0"/>
    <n v="9528"/>
    <n v="3"/>
    <x v="1"/>
    <n v="22"/>
    <n v="4"/>
    <n v="4"/>
    <n v="1"/>
    <n v="10"/>
    <n v="3"/>
    <n v="2"/>
    <n v="7"/>
    <x v="0"/>
    <n v="7"/>
    <n v="1"/>
    <n v="7"/>
  </r>
  <r>
    <n v="37"/>
    <x v="1"/>
    <s v="Travel_Rarely"/>
    <n v="1115"/>
    <x v="1"/>
    <n v="1"/>
    <n v="4"/>
    <s v="Life Sciences"/>
    <n v="77"/>
    <n v="1"/>
    <s v="Male"/>
    <n v="51"/>
    <n v="2"/>
    <n v="2"/>
    <x v="3"/>
    <x v="2"/>
    <s v="Divorced"/>
    <n v="5993"/>
    <x v="0"/>
    <n v="2689"/>
    <n v="1"/>
    <x v="1"/>
    <n v="18"/>
    <n v="3"/>
    <n v="3"/>
    <n v="1"/>
    <n v="7"/>
    <n v="2"/>
    <n v="4"/>
    <n v="7"/>
    <x v="0"/>
    <n v="5"/>
    <n v="0"/>
    <n v="7"/>
  </r>
  <r>
    <n v="32"/>
    <x v="1"/>
    <s v="Travel_Rarely"/>
    <n v="427"/>
    <x v="1"/>
    <n v="1"/>
    <n v="3"/>
    <s v="Medical"/>
    <n v="78"/>
    <n v="1"/>
    <s v="Male"/>
    <n v="33"/>
    <n v="3"/>
    <n v="2"/>
    <x v="3"/>
    <x v="0"/>
    <s v="Married"/>
    <n v="6162"/>
    <x v="0"/>
    <n v="10877"/>
    <n v="1"/>
    <x v="0"/>
    <n v="22"/>
    <n v="4"/>
    <n v="2"/>
    <n v="1"/>
    <n v="9"/>
    <n v="3"/>
    <n v="3"/>
    <n v="9"/>
    <x v="0"/>
    <n v="8"/>
    <n v="7"/>
    <n v="8"/>
  </r>
  <r>
    <n v="38"/>
    <x v="1"/>
    <s v="Travel_Frequently"/>
    <n v="653"/>
    <x v="1"/>
    <n v="29"/>
    <n v="5"/>
    <s v="Life Sciences"/>
    <n v="79"/>
    <n v="4"/>
    <s v="Female"/>
    <n v="50"/>
    <n v="3"/>
    <n v="2"/>
    <x v="2"/>
    <x v="0"/>
    <s v="Single"/>
    <n v="2406"/>
    <x v="1"/>
    <n v="5456"/>
    <n v="1"/>
    <x v="1"/>
    <n v="11"/>
    <n v="3"/>
    <n v="4"/>
    <n v="0"/>
    <n v="10"/>
    <n v="2"/>
    <n v="3"/>
    <n v="10"/>
    <x v="0"/>
    <n v="3"/>
    <n v="9"/>
    <n v="9"/>
  </r>
  <r>
    <n v="50"/>
    <x v="1"/>
    <s v="Travel_Rarely"/>
    <n v="989"/>
    <x v="1"/>
    <n v="7"/>
    <n v="2"/>
    <s v="Medical"/>
    <n v="80"/>
    <n v="2"/>
    <s v="Female"/>
    <n v="43"/>
    <n v="2"/>
    <n v="5"/>
    <x v="7"/>
    <x v="2"/>
    <s v="Divorced"/>
    <n v="18740"/>
    <x v="2"/>
    <n v="16701"/>
    <n v="5"/>
    <x v="0"/>
    <n v="12"/>
    <n v="3"/>
    <n v="4"/>
    <n v="1"/>
    <n v="29"/>
    <n v="2"/>
    <n v="2"/>
    <n v="27"/>
    <x v="3"/>
    <n v="3"/>
    <n v="13"/>
    <n v="8"/>
  </r>
  <r>
    <n v="59"/>
    <x v="1"/>
    <s v="Travel_Rarely"/>
    <n v="1435"/>
    <x v="0"/>
    <n v="25"/>
    <n v="3"/>
    <s v="Life Sciences"/>
    <n v="81"/>
    <n v="1"/>
    <s v="Female"/>
    <n v="99"/>
    <n v="3"/>
    <n v="3"/>
    <x v="0"/>
    <x v="3"/>
    <s v="Single"/>
    <n v="7637"/>
    <x v="2"/>
    <n v="2354"/>
    <n v="7"/>
    <x v="1"/>
    <n v="11"/>
    <n v="3"/>
    <n v="4"/>
    <n v="0"/>
    <n v="28"/>
    <n v="3"/>
    <n v="2"/>
    <n v="21"/>
    <x v="3"/>
    <n v="16"/>
    <n v="7"/>
    <n v="9"/>
  </r>
  <r>
    <n v="36"/>
    <x v="1"/>
    <s v="Travel_Rarely"/>
    <n v="1223"/>
    <x v="1"/>
    <n v="8"/>
    <n v="3"/>
    <s v="Technical Degree"/>
    <n v="83"/>
    <n v="3"/>
    <s v="Female"/>
    <n v="59"/>
    <n v="3"/>
    <n v="3"/>
    <x v="4"/>
    <x v="2"/>
    <s v="Divorced"/>
    <n v="10096"/>
    <x v="2"/>
    <n v="8202"/>
    <n v="1"/>
    <x v="1"/>
    <n v="13"/>
    <n v="3"/>
    <n v="2"/>
    <n v="3"/>
    <n v="17"/>
    <n v="2"/>
    <n v="3"/>
    <n v="17"/>
    <x v="3"/>
    <n v="14"/>
    <n v="12"/>
    <n v="8"/>
  </r>
  <r>
    <n v="55"/>
    <x v="1"/>
    <s v="Travel_Rarely"/>
    <n v="836"/>
    <x v="1"/>
    <n v="8"/>
    <n v="3"/>
    <s v="Medical"/>
    <n v="84"/>
    <n v="4"/>
    <s v="Female"/>
    <n v="33"/>
    <n v="3"/>
    <n v="4"/>
    <x v="5"/>
    <x v="2"/>
    <s v="Divorced"/>
    <n v="14756"/>
    <x v="2"/>
    <n v="19730"/>
    <n v="2"/>
    <x v="0"/>
    <n v="14"/>
    <n v="3"/>
    <n v="3"/>
    <n v="3"/>
    <n v="21"/>
    <n v="2"/>
    <n v="3"/>
    <n v="5"/>
    <x v="2"/>
    <n v="0"/>
    <n v="0"/>
    <n v="2"/>
  </r>
  <r>
    <n v="36"/>
    <x v="1"/>
    <s v="Travel_Frequently"/>
    <n v="1195"/>
    <x v="1"/>
    <n v="11"/>
    <n v="3"/>
    <s v="Life Sciences"/>
    <n v="85"/>
    <n v="2"/>
    <s v="Male"/>
    <n v="95"/>
    <n v="2"/>
    <n v="2"/>
    <x v="3"/>
    <x v="1"/>
    <s v="Single"/>
    <n v="6499"/>
    <x v="0"/>
    <n v="22656"/>
    <n v="1"/>
    <x v="1"/>
    <n v="13"/>
    <n v="3"/>
    <n v="3"/>
    <n v="0"/>
    <n v="6"/>
    <n v="3"/>
    <n v="3"/>
    <n v="6"/>
    <x v="0"/>
    <n v="5"/>
    <n v="0"/>
    <n v="3"/>
  </r>
  <r>
    <n v="45"/>
    <x v="1"/>
    <s v="Travel_Rarely"/>
    <n v="1339"/>
    <x v="1"/>
    <n v="7"/>
    <n v="3"/>
    <s v="Life Sciences"/>
    <n v="86"/>
    <n v="2"/>
    <s v="Male"/>
    <n v="59"/>
    <n v="3"/>
    <n v="3"/>
    <x v="1"/>
    <x v="3"/>
    <s v="Divorced"/>
    <n v="9724"/>
    <x v="2"/>
    <n v="18787"/>
    <n v="2"/>
    <x v="1"/>
    <n v="17"/>
    <n v="3"/>
    <n v="3"/>
    <n v="1"/>
    <n v="25"/>
    <n v="2"/>
    <n v="3"/>
    <n v="1"/>
    <x v="1"/>
    <n v="0"/>
    <n v="0"/>
    <n v="0"/>
  </r>
  <r>
    <n v="35"/>
    <x v="1"/>
    <s v="Travel_Frequently"/>
    <n v="664"/>
    <x v="1"/>
    <n v="1"/>
    <n v="3"/>
    <s v="Medical"/>
    <n v="88"/>
    <n v="2"/>
    <s v="Male"/>
    <n v="79"/>
    <n v="3"/>
    <n v="1"/>
    <x v="1"/>
    <x v="3"/>
    <s v="Married"/>
    <n v="2194"/>
    <x v="1"/>
    <n v="5868"/>
    <n v="4"/>
    <x v="1"/>
    <n v="13"/>
    <n v="3"/>
    <n v="4"/>
    <n v="1"/>
    <n v="5"/>
    <n v="2"/>
    <n v="2"/>
    <n v="3"/>
    <x v="2"/>
    <n v="2"/>
    <n v="1"/>
    <n v="2"/>
  </r>
  <r>
    <n v="36"/>
    <x v="0"/>
    <s v="Travel_Rarely"/>
    <n v="318"/>
    <x v="1"/>
    <n v="9"/>
    <n v="3"/>
    <s v="Medical"/>
    <n v="90"/>
    <n v="4"/>
    <s v="Male"/>
    <n v="79"/>
    <n v="2"/>
    <n v="1"/>
    <x v="1"/>
    <x v="2"/>
    <s v="Married"/>
    <n v="3388"/>
    <x v="0"/>
    <n v="21777"/>
    <n v="0"/>
    <x v="0"/>
    <n v="17"/>
    <n v="3"/>
    <n v="1"/>
    <n v="1"/>
    <n v="2"/>
    <n v="0"/>
    <n v="2"/>
    <n v="1"/>
    <x v="1"/>
    <n v="0"/>
    <n v="0"/>
    <n v="0"/>
  </r>
  <r>
    <n v="59"/>
    <x v="1"/>
    <s v="Travel_Frequently"/>
    <n v="1225"/>
    <x v="0"/>
    <n v="1"/>
    <n v="1"/>
    <s v="Life Sciences"/>
    <n v="91"/>
    <n v="1"/>
    <s v="Female"/>
    <n v="57"/>
    <n v="2"/>
    <n v="2"/>
    <x v="0"/>
    <x v="2"/>
    <s v="Single"/>
    <n v="5473"/>
    <x v="0"/>
    <n v="24668"/>
    <n v="7"/>
    <x v="1"/>
    <n v="11"/>
    <n v="3"/>
    <n v="4"/>
    <n v="0"/>
    <n v="20"/>
    <n v="2"/>
    <n v="2"/>
    <n v="4"/>
    <x v="2"/>
    <n v="3"/>
    <n v="1"/>
    <n v="3"/>
  </r>
  <r>
    <n v="29"/>
    <x v="1"/>
    <s v="Travel_Rarely"/>
    <n v="1328"/>
    <x v="1"/>
    <n v="2"/>
    <n v="3"/>
    <s v="Life Sciences"/>
    <n v="94"/>
    <n v="3"/>
    <s v="Male"/>
    <n v="76"/>
    <n v="3"/>
    <n v="1"/>
    <x v="1"/>
    <x v="1"/>
    <s v="Married"/>
    <n v="2703"/>
    <x v="1"/>
    <n v="4956"/>
    <n v="0"/>
    <x v="1"/>
    <n v="23"/>
    <n v="4"/>
    <n v="4"/>
    <n v="1"/>
    <n v="6"/>
    <n v="3"/>
    <n v="3"/>
    <n v="5"/>
    <x v="2"/>
    <n v="4"/>
    <n v="0"/>
    <n v="4"/>
  </r>
  <r>
    <n v="31"/>
    <x v="1"/>
    <s v="Travel_Rarely"/>
    <n v="1082"/>
    <x v="1"/>
    <n v="1"/>
    <n v="4"/>
    <s v="Medical"/>
    <n v="95"/>
    <n v="3"/>
    <s v="Male"/>
    <n v="87"/>
    <n v="3"/>
    <n v="1"/>
    <x v="1"/>
    <x v="1"/>
    <s v="Single"/>
    <n v="2501"/>
    <x v="1"/>
    <n v="18775"/>
    <n v="1"/>
    <x v="1"/>
    <n v="17"/>
    <n v="3"/>
    <n v="2"/>
    <n v="0"/>
    <n v="1"/>
    <n v="4"/>
    <n v="3"/>
    <n v="1"/>
    <x v="1"/>
    <n v="1"/>
    <n v="1"/>
    <n v="0"/>
  </r>
  <r>
    <n v="32"/>
    <x v="1"/>
    <s v="Travel_Rarely"/>
    <n v="548"/>
    <x v="1"/>
    <n v="1"/>
    <n v="3"/>
    <s v="Life Sciences"/>
    <n v="96"/>
    <n v="2"/>
    <s v="Male"/>
    <n v="66"/>
    <n v="3"/>
    <n v="2"/>
    <x v="1"/>
    <x v="1"/>
    <s v="Married"/>
    <n v="6220"/>
    <x v="0"/>
    <n v="7346"/>
    <n v="1"/>
    <x v="1"/>
    <n v="17"/>
    <n v="3"/>
    <n v="2"/>
    <n v="2"/>
    <n v="10"/>
    <n v="3"/>
    <n v="3"/>
    <n v="10"/>
    <x v="0"/>
    <n v="4"/>
    <n v="0"/>
    <n v="9"/>
  </r>
  <r>
    <n v="36"/>
    <x v="1"/>
    <s v="Travel_Rarely"/>
    <n v="132"/>
    <x v="1"/>
    <n v="6"/>
    <n v="3"/>
    <s v="Life Sciences"/>
    <n v="97"/>
    <n v="2"/>
    <s v="Female"/>
    <n v="55"/>
    <n v="4"/>
    <n v="1"/>
    <x v="2"/>
    <x v="0"/>
    <s v="Married"/>
    <n v="3038"/>
    <x v="0"/>
    <n v="22002"/>
    <n v="3"/>
    <x v="1"/>
    <n v="12"/>
    <n v="3"/>
    <n v="2"/>
    <n v="0"/>
    <n v="5"/>
    <n v="3"/>
    <n v="3"/>
    <n v="1"/>
    <x v="1"/>
    <n v="0"/>
    <n v="0"/>
    <n v="0"/>
  </r>
  <r>
    <n v="31"/>
    <x v="1"/>
    <s v="Travel_Rarely"/>
    <n v="746"/>
    <x v="1"/>
    <n v="8"/>
    <n v="4"/>
    <s v="Life Sciences"/>
    <n v="98"/>
    <n v="3"/>
    <s v="Female"/>
    <n v="61"/>
    <n v="3"/>
    <n v="2"/>
    <x v="3"/>
    <x v="0"/>
    <s v="Single"/>
    <n v="4424"/>
    <x v="0"/>
    <n v="20682"/>
    <n v="1"/>
    <x v="1"/>
    <n v="23"/>
    <n v="4"/>
    <n v="4"/>
    <n v="0"/>
    <n v="11"/>
    <n v="2"/>
    <n v="3"/>
    <n v="11"/>
    <x v="3"/>
    <n v="7"/>
    <n v="1"/>
    <n v="8"/>
  </r>
  <r>
    <n v="35"/>
    <x v="1"/>
    <s v="Travel_Rarely"/>
    <n v="776"/>
    <x v="0"/>
    <n v="1"/>
    <n v="4"/>
    <s v="Marketing"/>
    <n v="100"/>
    <n v="3"/>
    <s v="Male"/>
    <n v="32"/>
    <n v="2"/>
    <n v="2"/>
    <x v="0"/>
    <x v="3"/>
    <s v="Single"/>
    <n v="4312"/>
    <x v="0"/>
    <n v="23016"/>
    <n v="0"/>
    <x v="1"/>
    <n v="14"/>
    <n v="3"/>
    <n v="2"/>
    <n v="0"/>
    <n v="16"/>
    <n v="2"/>
    <n v="3"/>
    <n v="15"/>
    <x v="3"/>
    <n v="13"/>
    <n v="2"/>
    <n v="8"/>
  </r>
  <r>
    <n v="45"/>
    <x v="1"/>
    <s v="Travel_Rarely"/>
    <n v="193"/>
    <x v="1"/>
    <n v="6"/>
    <n v="4"/>
    <s v="Other"/>
    <n v="101"/>
    <n v="4"/>
    <s v="Male"/>
    <n v="52"/>
    <n v="3"/>
    <n v="3"/>
    <x v="7"/>
    <x v="3"/>
    <s v="Married"/>
    <n v="13245"/>
    <x v="2"/>
    <n v="15067"/>
    <n v="4"/>
    <x v="0"/>
    <n v="14"/>
    <n v="3"/>
    <n v="2"/>
    <n v="0"/>
    <n v="17"/>
    <n v="3"/>
    <n v="4"/>
    <n v="0"/>
    <x v="1"/>
    <n v="0"/>
    <n v="0"/>
    <n v="0"/>
  </r>
  <r>
    <n v="37"/>
    <x v="1"/>
    <s v="Travel_Rarely"/>
    <n v="397"/>
    <x v="1"/>
    <n v="7"/>
    <n v="4"/>
    <s v="Medical"/>
    <n v="102"/>
    <n v="1"/>
    <s v="Male"/>
    <n v="30"/>
    <n v="3"/>
    <n v="3"/>
    <x v="7"/>
    <x v="2"/>
    <s v="Single"/>
    <n v="13664"/>
    <x v="2"/>
    <n v="25258"/>
    <n v="4"/>
    <x v="1"/>
    <n v="13"/>
    <n v="3"/>
    <n v="1"/>
    <n v="0"/>
    <n v="16"/>
    <n v="3"/>
    <n v="4"/>
    <n v="5"/>
    <x v="2"/>
    <n v="2"/>
    <n v="0"/>
    <n v="2"/>
  </r>
  <r>
    <n v="46"/>
    <x v="1"/>
    <s v="Travel_Rarely"/>
    <n v="945"/>
    <x v="2"/>
    <n v="5"/>
    <n v="2"/>
    <s v="Medical"/>
    <n v="103"/>
    <n v="2"/>
    <s v="Male"/>
    <n v="80"/>
    <n v="3"/>
    <n v="2"/>
    <x v="8"/>
    <x v="1"/>
    <s v="Divorced"/>
    <n v="5021"/>
    <x v="0"/>
    <n v="10425"/>
    <n v="8"/>
    <x v="0"/>
    <n v="22"/>
    <n v="4"/>
    <n v="4"/>
    <n v="1"/>
    <n v="16"/>
    <n v="2"/>
    <n v="3"/>
    <n v="4"/>
    <x v="2"/>
    <n v="2"/>
    <n v="0"/>
    <n v="2"/>
  </r>
  <r>
    <n v="30"/>
    <x v="1"/>
    <s v="Travel_Rarely"/>
    <n v="852"/>
    <x v="1"/>
    <n v="1"/>
    <n v="1"/>
    <s v="Life Sciences"/>
    <n v="104"/>
    <n v="4"/>
    <s v="Male"/>
    <n v="55"/>
    <n v="2"/>
    <n v="2"/>
    <x v="2"/>
    <x v="0"/>
    <s v="Married"/>
    <n v="5126"/>
    <x v="0"/>
    <n v="15998"/>
    <n v="1"/>
    <x v="0"/>
    <n v="12"/>
    <n v="3"/>
    <n v="3"/>
    <n v="2"/>
    <n v="10"/>
    <n v="1"/>
    <n v="2"/>
    <n v="10"/>
    <x v="0"/>
    <n v="8"/>
    <n v="3"/>
    <n v="0"/>
  </r>
  <r>
    <n v="35"/>
    <x v="1"/>
    <s v="Travel_Rarely"/>
    <n v="1214"/>
    <x v="1"/>
    <n v="1"/>
    <n v="3"/>
    <s v="Medical"/>
    <n v="105"/>
    <n v="2"/>
    <s v="Male"/>
    <n v="30"/>
    <n v="2"/>
    <n v="1"/>
    <x v="1"/>
    <x v="2"/>
    <s v="Single"/>
    <n v="2859"/>
    <x v="1"/>
    <n v="26278"/>
    <n v="1"/>
    <x v="1"/>
    <n v="18"/>
    <n v="3"/>
    <n v="1"/>
    <n v="0"/>
    <n v="6"/>
    <n v="3"/>
    <n v="3"/>
    <n v="6"/>
    <x v="0"/>
    <n v="4"/>
    <n v="0"/>
    <n v="4"/>
  </r>
  <r>
    <n v="55"/>
    <x v="1"/>
    <s v="Travel_Rarely"/>
    <n v="111"/>
    <x v="0"/>
    <n v="1"/>
    <n v="2"/>
    <s v="Life Sciences"/>
    <n v="106"/>
    <n v="1"/>
    <s v="Male"/>
    <n v="70"/>
    <n v="3"/>
    <n v="3"/>
    <x v="0"/>
    <x v="0"/>
    <s v="Married"/>
    <n v="10239"/>
    <x v="2"/>
    <n v="18092"/>
    <n v="3"/>
    <x v="1"/>
    <n v="14"/>
    <n v="3"/>
    <n v="4"/>
    <n v="1"/>
    <n v="24"/>
    <n v="4"/>
    <n v="3"/>
    <n v="1"/>
    <x v="1"/>
    <n v="0"/>
    <n v="1"/>
    <n v="0"/>
  </r>
  <r>
    <n v="38"/>
    <x v="1"/>
    <s v="Non-Travel"/>
    <n v="573"/>
    <x v="1"/>
    <n v="6"/>
    <n v="3"/>
    <s v="Medical"/>
    <n v="107"/>
    <n v="2"/>
    <s v="Female"/>
    <n v="79"/>
    <n v="1"/>
    <n v="2"/>
    <x v="1"/>
    <x v="0"/>
    <s v="Divorced"/>
    <n v="5329"/>
    <x v="0"/>
    <n v="15717"/>
    <n v="7"/>
    <x v="0"/>
    <n v="12"/>
    <n v="3"/>
    <n v="4"/>
    <n v="3"/>
    <n v="17"/>
    <n v="3"/>
    <n v="3"/>
    <n v="13"/>
    <x v="3"/>
    <n v="11"/>
    <n v="1"/>
    <n v="9"/>
  </r>
  <r>
    <n v="34"/>
    <x v="1"/>
    <s v="Travel_Rarely"/>
    <n v="1153"/>
    <x v="1"/>
    <n v="1"/>
    <n v="2"/>
    <s v="Medical"/>
    <n v="110"/>
    <n v="1"/>
    <s v="Male"/>
    <n v="94"/>
    <n v="3"/>
    <n v="2"/>
    <x v="3"/>
    <x v="1"/>
    <s v="Married"/>
    <n v="4325"/>
    <x v="0"/>
    <n v="17736"/>
    <n v="1"/>
    <x v="1"/>
    <n v="15"/>
    <n v="3"/>
    <n v="3"/>
    <n v="0"/>
    <n v="5"/>
    <n v="2"/>
    <n v="3"/>
    <n v="5"/>
    <x v="2"/>
    <n v="2"/>
    <n v="1"/>
    <n v="3"/>
  </r>
  <r>
    <n v="56"/>
    <x v="1"/>
    <s v="Travel_Rarely"/>
    <n v="1400"/>
    <x v="1"/>
    <n v="7"/>
    <n v="3"/>
    <s v="Life Sciences"/>
    <n v="112"/>
    <n v="4"/>
    <s v="Male"/>
    <n v="49"/>
    <n v="1"/>
    <n v="3"/>
    <x v="3"/>
    <x v="0"/>
    <s v="Single"/>
    <n v="7260"/>
    <x v="2"/>
    <n v="21698"/>
    <n v="4"/>
    <x v="1"/>
    <n v="11"/>
    <n v="3"/>
    <n v="1"/>
    <n v="0"/>
    <n v="37"/>
    <n v="3"/>
    <n v="2"/>
    <n v="6"/>
    <x v="0"/>
    <n v="4"/>
    <n v="0"/>
    <n v="2"/>
  </r>
  <r>
    <n v="23"/>
    <x v="1"/>
    <s v="Travel_Rarely"/>
    <n v="541"/>
    <x v="0"/>
    <n v="2"/>
    <n v="1"/>
    <s v="Technical Degree"/>
    <n v="113"/>
    <n v="3"/>
    <s v="Male"/>
    <n v="62"/>
    <n v="3"/>
    <n v="1"/>
    <x v="6"/>
    <x v="3"/>
    <s v="Divorced"/>
    <n v="2322"/>
    <x v="1"/>
    <n v="9518"/>
    <n v="3"/>
    <x v="1"/>
    <n v="13"/>
    <n v="3"/>
    <n v="3"/>
    <n v="1"/>
    <n v="3"/>
    <n v="3"/>
    <n v="3"/>
    <n v="0"/>
    <x v="1"/>
    <n v="0"/>
    <n v="0"/>
    <n v="0"/>
  </r>
  <r>
    <n v="51"/>
    <x v="1"/>
    <s v="Travel_Rarely"/>
    <n v="432"/>
    <x v="1"/>
    <n v="9"/>
    <n v="4"/>
    <s v="Life Sciences"/>
    <n v="116"/>
    <n v="4"/>
    <s v="Male"/>
    <n v="96"/>
    <n v="3"/>
    <n v="1"/>
    <x v="2"/>
    <x v="0"/>
    <s v="Married"/>
    <n v="2075"/>
    <x v="1"/>
    <n v="18725"/>
    <n v="3"/>
    <x v="1"/>
    <n v="23"/>
    <n v="4"/>
    <n v="2"/>
    <n v="2"/>
    <n v="10"/>
    <n v="4"/>
    <n v="3"/>
    <n v="4"/>
    <x v="2"/>
    <n v="2"/>
    <n v="0"/>
    <n v="3"/>
  </r>
  <r>
    <n v="30"/>
    <x v="1"/>
    <s v="Travel_Rarely"/>
    <n v="288"/>
    <x v="1"/>
    <n v="2"/>
    <n v="3"/>
    <s v="Life Sciences"/>
    <n v="117"/>
    <n v="3"/>
    <s v="Male"/>
    <n v="99"/>
    <n v="2"/>
    <n v="2"/>
    <x v="4"/>
    <x v="0"/>
    <s v="Married"/>
    <n v="4152"/>
    <x v="0"/>
    <n v="15830"/>
    <n v="1"/>
    <x v="1"/>
    <n v="19"/>
    <n v="3"/>
    <n v="1"/>
    <n v="3"/>
    <n v="11"/>
    <n v="3"/>
    <n v="3"/>
    <n v="11"/>
    <x v="3"/>
    <n v="10"/>
    <n v="10"/>
    <n v="8"/>
  </r>
  <r>
    <n v="46"/>
    <x v="0"/>
    <s v="Travel_Rarely"/>
    <n v="669"/>
    <x v="0"/>
    <n v="9"/>
    <n v="2"/>
    <s v="Medical"/>
    <n v="118"/>
    <n v="3"/>
    <s v="Male"/>
    <n v="64"/>
    <n v="2"/>
    <n v="3"/>
    <x v="0"/>
    <x v="0"/>
    <s v="Single"/>
    <n v="9619"/>
    <x v="2"/>
    <n v="13596"/>
    <n v="1"/>
    <x v="1"/>
    <n v="16"/>
    <n v="3"/>
    <n v="4"/>
    <n v="0"/>
    <n v="9"/>
    <n v="3"/>
    <n v="3"/>
    <n v="9"/>
    <x v="0"/>
    <n v="8"/>
    <n v="4"/>
    <n v="7"/>
  </r>
  <r>
    <n v="40"/>
    <x v="1"/>
    <s v="Travel_Frequently"/>
    <n v="530"/>
    <x v="1"/>
    <n v="1"/>
    <n v="4"/>
    <s v="Life Sciences"/>
    <n v="119"/>
    <n v="3"/>
    <s v="Male"/>
    <n v="78"/>
    <n v="2"/>
    <n v="4"/>
    <x v="4"/>
    <x v="1"/>
    <s v="Married"/>
    <n v="13503"/>
    <x v="2"/>
    <n v="14115"/>
    <n v="1"/>
    <x v="1"/>
    <n v="22"/>
    <n v="4"/>
    <n v="4"/>
    <n v="1"/>
    <n v="22"/>
    <n v="3"/>
    <n v="2"/>
    <n v="22"/>
    <x v="3"/>
    <n v="3"/>
    <n v="11"/>
    <n v="11"/>
  </r>
  <r>
    <n v="51"/>
    <x v="1"/>
    <s v="Travel_Rarely"/>
    <n v="632"/>
    <x v="0"/>
    <n v="21"/>
    <n v="4"/>
    <s v="Marketing"/>
    <n v="120"/>
    <n v="3"/>
    <s v="Male"/>
    <n v="71"/>
    <n v="3"/>
    <n v="2"/>
    <x v="0"/>
    <x v="0"/>
    <s v="Single"/>
    <n v="5441"/>
    <x v="0"/>
    <n v="8423"/>
    <n v="0"/>
    <x v="0"/>
    <n v="22"/>
    <n v="4"/>
    <n v="4"/>
    <n v="0"/>
    <n v="11"/>
    <n v="2"/>
    <n v="1"/>
    <n v="10"/>
    <x v="0"/>
    <n v="7"/>
    <n v="1"/>
    <n v="0"/>
  </r>
  <r>
    <n v="30"/>
    <x v="1"/>
    <s v="Travel_Rarely"/>
    <n v="1334"/>
    <x v="0"/>
    <n v="4"/>
    <n v="2"/>
    <s v="Medical"/>
    <n v="121"/>
    <n v="3"/>
    <s v="Female"/>
    <n v="63"/>
    <n v="2"/>
    <n v="2"/>
    <x v="0"/>
    <x v="1"/>
    <s v="Divorced"/>
    <n v="5209"/>
    <x v="0"/>
    <n v="19760"/>
    <n v="1"/>
    <x v="0"/>
    <n v="12"/>
    <n v="3"/>
    <n v="2"/>
    <n v="3"/>
    <n v="11"/>
    <n v="4"/>
    <n v="2"/>
    <n v="11"/>
    <x v="3"/>
    <n v="8"/>
    <n v="2"/>
    <n v="7"/>
  </r>
  <r>
    <n v="46"/>
    <x v="1"/>
    <s v="Travel_Frequently"/>
    <n v="638"/>
    <x v="1"/>
    <n v="1"/>
    <n v="3"/>
    <s v="Medical"/>
    <n v="124"/>
    <n v="3"/>
    <s v="Male"/>
    <n v="40"/>
    <n v="2"/>
    <n v="3"/>
    <x v="4"/>
    <x v="3"/>
    <s v="Married"/>
    <n v="10673"/>
    <x v="2"/>
    <n v="3142"/>
    <n v="2"/>
    <x v="0"/>
    <n v="13"/>
    <n v="3"/>
    <n v="3"/>
    <n v="1"/>
    <n v="21"/>
    <n v="5"/>
    <n v="2"/>
    <n v="10"/>
    <x v="0"/>
    <n v="9"/>
    <n v="9"/>
    <n v="5"/>
  </r>
  <r>
    <n v="32"/>
    <x v="1"/>
    <s v="Travel_Rarely"/>
    <n v="1093"/>
    <x v="0"/>
    <n v="6"/>
    <n v="4"/>
    <s v="Medical"/>
    <n v="125"/>
    <n v="2"/>
    <s v="Male"/>
    <n v="87"/>
    <n v="3"/>
    <n v="2"/>
    <x v="0"/>
    <x v="2"/>
    <s v="Single"/>
    <n v="5010"/>
    <x v="0"/>
    <n v="24301"/>
    <n v="1"/>
    <x v="1"/>
    <n v="16"/>
    <n v="3"/>
    <n v="1"/>
    <n v="0"/>
    <n v="12"/>
    <n v="0"/>
    <n v="3"/>
    <n v="11"/>
    <x v="3"/>
    <n v="8"/>
    <n v="5"/>
    <n v="7"/>
  </r>
  <r>
    <n v="54"/>
    <x v="1"/>
    <s v="Travel_Rarely"/>
    <n v="1217"/>
    <x v="1"/>
    <n v="2"/>
    <n v="4"/>
    <s v="Technical Degree"/>
    <n v="126"/>
    <n v="1"/>
    <s v="Female"/>
    <n v="60"/>
    <n v="3"/>
    <n v="3"/>
    <x v="7"/>
    <x v="2"/>
    <s v="Married"/>
    <n v="13549"/>
    <x v="2"/>
    <n v="24001"/>
    <n v="9"/>
    <x v="1"/>
    <n v="12"/>
    <n v="3"/>
    <n v="1"/>
    <n v="1"/>
    <n v="16"/>
    <n v="5"/>
    <n v="1"/>
    <n v="4"/>
    <x v="2"/>
    <n v="3"/>
    <n v="0"/>
    <n v="3"/>
  </r>
  <r>
    <n v="24"/>
    <x v="1"/>
    <s v="Travel_Rarely"/>
    <n v="1353"/>
    <x v="0"/>
    <n v="3"/>
    <n v="2"/>
    <s v="Other"/>
    <n v="128"/>
    <n v="1"/>
    <s v="Female"/>
    <n v="33"/>
    <n v="3"/>
    <n v="2"/>
    <x v="0"/>
    <x v="2"/>
    <s v="Married"/>
    <n v="4999"/>
    <x v="0"/>
    <n v="17519"/>
    <n v="0"/>
    <x v="1"/>
    <n v="21"/>
    <n v="4"/>
    <n v="1"/>
    <n v="1"/>
    <n v="4"/>
    <n v="2"/>
    <n v="2"/>
    <n v="3"/>
    <x v="2"/>
    <n v="2"/>
    <n v="0"/>
    <n v="2"/>
  </r>
  <r>
    <n v="28"/>
    <x v="1"/>
    <s v="Non-Travel"/>
    <n v="120"/>
    <x v="0"/>
    <n v="4"/>
    <n v="3"/>
    <s v="Medical"/>
    <n v="129"/>
    <n v="2"/>
    <s v="Male"/>
    <n v="43"/>
    <n v="3"/>
    <n v="2"/>
    <x v="0"/>
    <x v="2"/>
    <s v="Married"/>
    <n v="4221"/>
    <x v="0"/>
    <n v="8863"/>
    <n v="1"/>
    <x v="1"/>
    <n v="15"/>
    <n v="3"/>
    <n v="2"/>
    <n v="0"/>
    <n v="5"/>
    <n v="3"/>
    <n v="4"/>
    <n v="5"/>
    <x v="2"/>
    <n v="4"/>
    <n v="0"/>
    <n v="4"/>
  </r>
  <r>
    <n v="58"/>
    <x v="1"/>
    <s v="Travel_Rarely"/>
    <n v="682"/>
    <x v="0"/>
    <n v="10"/>
    <n v="4"/>
    <s v="Medical"/>
    <n v="131"/>
    <n v="4"/>
    <s v="Male"/>
    <n v="37"/>
    <n v="3"/>
    <n v="4"/>
    <x v="0"/>
    <x v="2"/>
    <s v="Single"/>
    <n v="13872"/>
    <x v="2"/>
    <n v="24409"/>
    <n v="0"/>
    <x v="1"/>
    <n v="13"/>
    <n v="3"/>
    <n v="3"/>
    <n v="0"/>
    <n v="38"/>
    <n v="1"/>
    <n v="2"/>
    <n v="37"/>
    <x v="3"/>
    <n v="10"/>
    <n v="1"/>
    <n v="8"/>
  </r>
  <r>
    <n v="44"/>
    <x v="1"/>
    <s v="Non-Travel"/>
    <n v="489"/>
    <x v="1"/>
    <n v="23"/>
    <n v="3"/>
    <s v="Medical"/>
    <n v="132"/>
    <n v="2"/>
    <s v="Male"/>
    <n v="67"/>
    <n v="3"/>
    <n v="2"/>
    <x v="2"/>
    <x v="1"/>
    <s v="Married"/>
    <n v="2042"/>
    <x v="1"/>
    <n v="25043"/>
    <n v="4"/>
    <x v="1"/>
    <n v="12"/>
    <n v="3"/>
    <n v="3"/>
    <n v="1"/>
    <n v="17"/>
    <n v="3"/>
    <n v="4"/>
    <n v="3"/>
    <x v="2"/>
    <n v="2"/>
    <n v="1"/>
    <n v="2"/>
  </r>
  <r>
    <n v="37"/>
    <x v="0"/>
    <s v="Travel_Rarely"/>
    <n v="807"/>
    <x v="2"/>
    <n v="6"/>
    <n v="4"/>
    <s v="Human Resources"/>
    <n v="133"/>
    <n v="3"/>
    <s v="Male"/>
    <n v="63"/>
    <n v="3"/>
    <n v="1"/>
    <x v="8"/>
    <x v="3"/>
    <s v="Divorced"/>
    <n v="2073"/>
    <x v="1"/>
    <n v="23648"/>
    <n v="4"/>
    <x v="0"/>
    <n v="22"/>
    <n v="4"/>
    <n v="4"/>
    <n v="0"/>
    <n v="7"/>
    <n v="3"/>
    <n v="3"/>
    <n v="3"/>
    <x v="2"/>
    <n v="2"/>
    <n v="0"/>
    <n v="2"/>
  </r>
  <r>
    <n v="32"/>
    <x v="1"/>
    <s v="Travel_Rarely"/>
    <n v="827"/>
    <x v="1"/>
    <n v="1"/>
    <n v="1"/>
    <s v="Life Sciences"/>
    <n v="134"/>
    <n v="4"/>
    <s v="Male"/>
    <n v="71"/>
    <n v="3"/>
    <n v="1"/>
    <x v="1"/>
    <x v="3"/>
    <s v="Single"/>
    <n v="2956"/>
    <x v="1"/>
    <n v="15178"/>
    <n v="1"/>
    <x v="1"/>
    <n v="13"/>
    <n v="3"/>
    <n v="4"/>
    <n v="0"/>
    <n v="1"/>
    <n v="2"/>
    <n v="3"/>
    <n v="1"/>
    <x v="1"/>
    <n v="0"/>
    <n v="0"/>
    <n v="0"/>
  </r>
  <r>
    <n v="20"/>
    <x v="0"/>
    <s v="Travel_Frequently"/>
    <n v="871"/>
    <x v="1"/>
    <n v="6"/>
    <n v="3"/>
    <s v="Life Sciences"/>
    <n v="137"/>
    <n v="4"/>
    <s v="Female"/>
    <n v="66"/>
    <n v="2"/>
    <n v="1"/>
    <x v="2"/>
    <x v="0"/>
    <s v="Single"/>
    <n v="2926"/>
    <x v="1"/>
    <n v="19783"/>
    <n v="1"/>
    <x v="0"/>
    <n v="18"/>
    <n v="3"/>
    <n v="2"/>
    <n v="0"/>
    <n v="1"/>
    <n v="5"/>
    <n v="3"/>
    <n v="1"/>
    <x v="1"/>
    <n v="0"/>
    <n v="1"/>
    <n v="0"/>
  </r>
  <r>
    <n v="34"/>
    <x v="1"/>
    <s v="Travel_Rarely"/>
    <n v="665"/>
    <x v="1"/>
    <n v="6"/>
    <n v="4"/>
    <s v="Other"/>
    <n v="138"/>
    <n v="1"/>
    <s v="Female"/>
    <n v="41"/>
    <n v="3"/>
    <n v="2"/>
    <x v="1"/>
    <x v="2"/>
    <s v="Single"/>
    <n v="4809"/>
    <x v="0"/>
    <n v="12482"/>
    <n v="1"/>
    <x v="1"/>
    <n v="14"/>
    <n v="3"/>
    <n v="3"/>
    <n v="0"/>
    <n v="16"/>
    <n v="3"/>
    <n v="3"/>
    <n v="16"/>
    <x v="3"/>
    <n v="13"/>
    <n v="2"/>
    <n v="10"/>
  </r>
  <r>
    <n v="37"/>
    <x v="1"/>
    <s v="Non-Travel"/>
    <n v="1040"/>
    <x v="1"/>
    <n v="2"/>
    <n v="2"/>
    <s v="Life Sciences"/>
    <n v="139"/>
    <n v="3"/>
    <s v="Male"/>
    <n v="100"/>
    <n v="2"/>
    <n v="2"/>
    <x v="4"/>
    <x v="0"/>
    <s v="Divorced"/>
    <n v="5163"/>
    <x v="0"/>
    <n v="15850"/>
    <n v="5"/>
    <x v="1"/>
    <n v="14"/>
    <n v="3"/>
    <n v="4"/>
    <n v="1"/>
    <n v="17"/>
    <n v="2"/>
    <n v="4"/>
    <n v="1"/>
    <x v="1"/>
    <n v="0"/>
    <n v="0"/>
    <n v="0"/>
  </r>
  <r>
    <n v="59"/>
    <x v="1"/>
    <s v="Non-Travel"/>
    <n v="1420"/>
    <x v="2"/>
    <n v="2"/>
    <n v="4"/>
    <s v="Human Resources"/>
    <n v="140"/>
    <n v="3"/>
    <s v="Female"/>
    <n v="32"/>
    <n v="2"/>
    <n v="5"/>
    <x v="5"/>
    <x v="0"/>
    <s v="Married"/>
    <n v="18844"/>
    <x v="2"/>
    <n v="21922"/>
    <n v="9"/>
    <x v="1"/>
    <n v="21"/>
    <n v="4"/>
    <n v="4"/>
    <n v="1"/>
    <n v="30"/>
    <n v="3"/>
    <n v="3"/>
    <n v="3"/>
    <x v="2"/>
    <n v="2"/>
    <n v="2"/>
    <n v="2"/>
  </r>
  <r>
    <n v="50"/>
    <x v="1"/>
    <s v="Travel_Frequently"/>
    <n v="1115"/>
    <x v="1"/>
    <n v="1"/>
    <n v="3"/>
    <s v="Life Sciences"/>
    <n v="141"/>
    <n v="1"/>
    <s v="Female"/>
    <n v="73"/>
    <n v="3"/>
    <n v="5"/>
    <x v="7"/>
    <x v="1"/>
    <s v="Married"/>
    <n v="18172"/>
    <x v="2"/>
    <n v="9755"/>
    <n v="3"/>
    <x v="0"/>
    <n v="19"/>
    <n v="3"/>
    <n v="1"/>
    <n v="0"/>
    <n v="28"/>
    <n v="1"/>
    <n v="2"/>
    <n v="8"/>
    <x v="0"/>
    <n v="3"/>
    <n v="0"/>
    <n v="7"/>
  </r>
  <r>
    <n v="25"/>
    <x v="0"/>
    <s v="Travel_Rarely"/>
    <n v="240"/>
    <x v="0"/>
    <n v="5"/>
    <n v="3"/>
    <s v="Marketing"/>
    <n v="142"/>
    <n v="3"/>
    <s v="Male"/>
    <n v="46"/>
    <n v="2"/>
    <n v="2"/>
    <x v="0"/>
    <x v="2"/>
    <s v="Single"/>
    <n v="5744"/>
    <x v="0"/>
    <n v="26959"/>
    <n v="1"/>
    <x v="0"/>
    <n v="11"/>
    <n v="3"/>
    <n v="4"/>
    <n v="0"/>
    <n v="6"/>
    <n v="1"/>
    <n v="3"/>
    <n v="6"/>
    <x v="0"/>
    <n v="4"/>
    <n v="0"/>
    <n v="3"/>
  </r>
  <r>
    <n v="25"/>
    <x v="1"/>
    <s v="Travel_Rarely"/>
    <n v="1280"/>
    <x v="1"/>
    <n v="7"/>
    <n v="1"/>
    <s v="Medical"/>
    <n v="143"/>
    <n v="4"/>
    <s v="Male"/>
    <n v="64"/>
    <n v="2"/>
    <n v="1"/>
    <x v="1"/>
    <x v="0"/>
    <s v="Married"/>
    <n v="2889"/>
    <x v="1"/>
    <n v="26897"/>
    <n v="1"/>
    <x v="1"/>
    <n v="11"/>
    <n v="3"/>
    <n v="3"/>
    <n v="2"/>
    <n v="2"/>
    <n v="2"/>
    <n v="3"/>
    <n v="2"/>
    <x v="1"/>
    <n v="2"/>
    <n v="2"/>
    <n v="1"/>
  </r>
  <r>
    <n v="22"/>
    <x v="1"/>
    <s v="Travel_Rarely"/>
    <n v="534"/>
    <x v="1"/>
    <n v="15"/>
    <n v="3"/>
    <s v="Medical"/>
    <n v="144"/>
    <n v="2"/>
    <s v="Female"/>
    <n v="59"/>
    <n v="3"/>
    <n v="1"/>
    <x v="2"/>
    <x v="0"/>
    <s v="Single"/>
    <n v="2871"/>
    <x v="1"/>
    <n v="23785"/>
    <n v="1"/>
    <x v="1"/>
    <n v="15"/>
    <n v="3"/>
    <n v="3"/>
    <n v="0"/>
    <n v="1"/>
    <n v="5"/>
    <n v="3"/>
    <n v="0"/>
    <x v="1"/>
    <n v="0"/>
    <n v="0"/>
    <n v="0"/>
  </r>
  <r>
    <n v="51"/>
    <x v="1"/>
    <s v="Travel_Frequently"/>
    <n v="1456"/>
    <x v="1"/>
    <n v="1"/>
    <n v="4"/>
    <s v="Medical"/>
    <n v="145"/>
    <n v="1"/>
    <s v="Female"/>
    <n v="30"/>
    <n v="2"/>
    <n v="3"/>
    <x v="4"/>
    <x v="3"/>
    <s v="Single"/>
    <n v="7484"/>
    <x v="2"/>
    <n v="25796"/>
    <n v="3"/>
    <x v="1"/>
    <n v="20"/>
    <n v="4"/>
    <n v="3"/>
    <n v="0"/>
    <n v="23"/>
    <n v="1"/>
    <n v="2"/>
    <n v="13"/>
    <x v="3"/>
    <n v="12"/>
    <n v="12"/>
    <n v="8"/>
  </r>
  <r>
    <n v="34"/>
    <x v="0"/>
    <s v="Travel_Frequently"/>
    <n v="658"/>
    <x v="1"/>
    <n v="7"/>
    <n v="3"/>
    <s v="Life Sciences"/>
    <n v="147"/>
    <n v="1"/>
    <s v="Male"/>
    <n v="66"/>
    <n v="1"/>
    <n v="2"/>
    <x v="2"/>
    <x v="2"/>
    <s v="Single"/>
    <n v="6074"/>
    <x v="0"/>
    <n v="22887"/>
    <n v="1"/>
    <x v="0"/>
    <n v="24"/>
    <n v="4"/>
    <n v="4"/>
    <n v="0"/>
    <n v="9"/>
    <n v="3"/>
    <n v="3"/>
    <n v="9"/>
    <x v="0"/>
    <n v="7"/>
    <n v="0"/>
    <n v="6"/>
  </r>
  <r>
    <n v="54"/>
    <x v="1"/>
    <s v="Non-Travel"/>
    <n v="142"/>
    <x v="2"/>
    <n v="26"/>
    <n v="3"/>
    <s v="Human Resources"/>
    <n v="148"/>
    <n v="4"/>
    <s v="Female"/>
    <n v="30"/>
    <n v="4"/>
    <n v="4"/>
    <x v="5"/>
    <x v="0"/>
    <s v="Single"/>
    <n v="17328"/>
    <x v="2"/>
    <n v="13871"/>
    <n v="2"/>
    <x v="0"/>
    <n v="12"/>
    <n v="3"/>
    <n v="3"/>
    <n v="0"/>
    <n v="23"/>
    <n v="3"/>
    <n v="3"/>
    <n v="5"/>
    <x v="2"/>
    <n v="3"/>
    <n v="4"/>
    <n v="4"/>
  </r>
  <r>
    <n v="24"/>
    <x v="1"/>
    <s v="Travel_Rarely"/>
    <n v="1127"/>
    <x v="1"/>
    <n v="18"/>
    <n v="1"/>
    <s v="Life Sciences"/>
    <n v="150"/>
    <n v="2"/>
    <s v="Male"/>
    <n v="52"/>
    <n v="3"/>
    <n v="1"/>
    <x v="2"/>
    <x v="2"/>
    <s v="Married"/>
    <n v="2774"/>
    <x v="1"/>
    <n v="13257"/>
    <n v="0"/>
    <x v="1"/>
    <n v="12"/>
    <n v="3"/>
    <n v="3"/>
    <n v="1"/>
    <n v="6"/>
    <n v="2"/>
    <n v="3"/>
    <n v="5"/>
    <x v="2"/>
    <n v="3"/>
    <n v="1"/>
    <n v="2"/>
  </r>
  <r>
    <n v="34"/>
    <x v="1"/>
    <s v="Travel_Rarely"/>
    <n v="1031"/>
    <x v="1"/>
    <n v="6"/>
    <n v="4"/>
    <s v="Life Sciences"/>
    <n v="151"/>
    <n v="3"/>
    <s v="Female"/>
    <n v="45"/>
    <n v="2"/>
    <n v="2"/>
    <x v="1"/>
    <x v="1"/>
    <s v="Divorced"/>
    <n v="4505"/>
    <x v="0"/>
    <n v="15000"/>
    <n v="6"/>
    <x v="1"/>
    <n v="15"/>
    <n v="3"/>
    <n v="3"/>
    <n v="1"/>
    <n v="12"/>
    <n v="3"/>
    <n v="3"/>
    <n v="1"/>
    <x v="1"/>
    <n v="0"/>
    <n v="0"/>
    <n v="0"/>
  </r>
  <r>
    <n v="37"/>
    <x v="1"/>
    <s v="Travel_Rarely"/>
    <n v="1189"/>
    <x v="0"/>
    <n v="3"/>
    <n v="3"/>
    <s v="Life Sciences"/>
    <n v="152"/>
    <n v="3"/>
    <s v="Male"/>
    <n v="87"/>
    <n v="3"/>
    <n v="3"/>
    <x v="0"/>
    <x v="0"/>
    <s v="Single"/>
    <n v="7428"/>
    <x v="2"/>
    <n v="14506"/>
    <n v="2"/>
    <x v="1"/>
    <n v="12"/>
    <n v="3"/>
    <n v="1"/>
    <n v="0"/>
    <n v="12"/>
    <n v="3"/>
    <n v="3"/>
    <n v="5"/>
    <x v="2"/>
    <n v="3"/>
    <n v="1"/>
    <n v="3"/>
  </r>
  <r>
    <n v="34"/>
    <x v="1"/>
    <s v="Travel_Rarely"/>
    <n v="1354"/>
    <x v="1"/>
    <n v="5"/>
    <n v="3"/>
    <s v="Medical"/>
    <n v="153"/>
    <n v="3"/>
    <s v="Female"/>
    <n v="45"/>
    <n v="2"/>
    <n v="3"/>
    <x v="5"/>
    <x v="3"/>
    <s v="Single"/>
    <n v="11631"/>
    <x v="2"/>
    <n v="5615"/>
    <n v="2"/>
    <x v="1"/>
    <n v="12"/>
    <n v="3"/>
    <n v="4"/>
    <n v="0"/>
    <n v="14"/>
    <n v="6"/>
    <n v="3"/>
    <n v="11"/>
    <x v="3"/>
    <n v="10"/>
    <n v="5"/>
    <n v="8"/>
  </r>
  <r>
    <n v="36"/>
    <x v="1"/>
    <s v="Travel_Frequently"/>
    <n v="1467"/>
    <x v="0"/>
    <n v="11"/>
    <n v="2"/>
    <s v="Technical Degree"/>
    <n v="154"/>
    <n v="2"/>
    <s v="Female"/>
    <n v="92"/>
    <n v="3"/>
    <n v="3"/>
    <x v="0"/>
    <x v="0"/>
    <s v="Married"/>
    <n v="9738"/>
    <x v="2"/>
    <n v="22952"/>
    <n v="0"/>
    <x v="1"/>
    <n v="14"/>
    <n v="3"/>
    <n v="3"/>
    <n v="1"/>
    <n v="10"/>
    <n v="6"/>
    <n v="3"/>
    <n v="9"/>
    <x v="0"/>
    <n v="7"/>
    <n v="2"/>
    <n v="8"/>
  </r>
  <r>
    <n v="36"/>
    <x v="1"/>
    <s v="Travel_Rarely"/>
    <n v="922"/>
    <x v="1"/>
    <n v="3"/>
    <n v="2"/>
    <s v="Life Sciences"/>
    <n v="155"/>
    <n v="1"/>
    <s v="Female"/>
    <n v="39"/>
    <n v="3"/>
    <n v="1"/>
    <x v="2"/>
    <x v="0"/>
    <s v="Divorced"/>
    <n v="2835"/>
    <x v="1"/>
    <n v="2561"/>
    <n v="5"/>
    <x v="1"/>
    <n v="22"/>
    <n v="4"/>
    <n v="1"/>
    <n v="1"/>
    <n v="7"/>
    <n v="2"/>
    <n v="3"/>
    <n v="1"/>
    <x v="1"/>
    <n v="0"/>
    <n v="0"/>
    <n v="0"/>
  </r>
  <r>
    <n v="43"/>
    <x v="1"/>
    <s v="Travel_Frequently"/>
    <n v="394"/>
    <x v="0"/>
    <n v="26"/>
    <n v="2"/>
    <s v="Life Sciences"/>
    <n v="158"/>
    <n v="3"/>
    <s v="Male"/>
    <n v="92"/>
    <n v="3"/>
    <n v="4"/>
    <x v="5"/>
    <x v="0"/>
    <s v="Married"/>
    <n v="16959"/>
    <x v="2"/>
    <n v="19494"/>
    <n v="1"/>
    <x v="0"/>
    <n v="12"/>
    <n v="3"/>
    <n v="4"/>
    <n v="2"/>
    <n v="25"/>
    <n v="3"/>
    <n v="4"/>
    <n v="25"/>
    <x v="3"/>
    <n v="12"/>
    <n v="4"/>
    <n v="12"/>
  </r>
  <r>
    <n v="30"/>
    <x v="1"/>
    <s v="Travel_Frequently"/>
    <n v="1312"/>
    <x v="1"/>
    <n v="23"/>
    <n v="3"/>
    <s v="Life Sciences"/>
    <n v="159"/>
    <n v="1"/>
    <s v="Male"/>
    <n v="96"/>
    <n v="1"/>
    <n v="1"/>
    <x v="1"/>
    <x v="2"/>
    <s v="Divorced"/>
    <n v="2613"/>
    <x v="1"/>
    <n v="22310"/>
    <n v="1"/>
    <x v="1"/>
    <n v="25"/>
    <n v="4"/>
    <n v="3"/>
    <n v="3"/>
    <n v="10"/>
    <n v="2"/>
    <n v="2"/>
    <n v="10"/>
    <x v="0"/>
    <n v="7"/>
    <n v="0"/>
    <n v="9"/>
  </r>
  <r>
    <n v="33"/>
    <x v="1"/>
    <s v="Non-Travel"/>
    <n v="750"/>
    <x v="0"/>
    <n v="22"/>
    <n v="2"/>
    <s v="Marketing"/>
    <n v="160"/>
    <n v="3"/>
    <s v="Male"/>
    <n v="95"/>
    <n v="3"/>
    <n v="2"/>
    <x v="0"/>
    <x v="1"/>
    <s v="Married"/>
    <n v="6146"/>
    <x v="0"/>
    <n v="15480"/>
    <n v="0"/>
    <x v="1"/>
    <n v="13"/>
    <n v="3"/>
    <n v="1"/>
    <n v="1"/>
    <n v="8"/>
    <n v="2"/>
    <n v="4"/>
    <n v="7"/>
    <x v="0"/>
    <n v="7"/>
    <n v="0"/>
    <n v="7"/>
  </r>
  <r>
    <n v="56"/>
    <x v="0"/>
    <s v="Travel_Rarely"/>
    <n v="441"/>
    <x v="1"/>
    <n v="14"/>
    <n v="4"/>
    <s v="Life Sciences"/>
    <n v="161"/>
    <n v="2"/>
    <s v="Female"/>
    <n v="72"/>
    <n v="3"/>
    <n v="1"/>
    <x v="1"/>
    <x v="1"/>
    <s v="Married"/>
    <n v="4963"/>
    <x v="0"/>
    <n v="4510"/>
    <n v="9"/>
    <x v="0"/>
    <n v="18"/>
    <n v="3"/>
    <n v="1"/>
    <n v="3"/>
    <n v="7"/>
    <n v="2"/>
    <n v="3"/>
    <n v="5"/>
    <x v="2"/>
    <n v="4"/>
    <n v="4"/>
    <n v="3"/>
  </r>
  <r>
    <n v="51"/>
    <x v="1"/>
    <s v="Travel_Rarely"/>
    <n v="684"/>
    <x v="1"/>
    <n v="6"/>
    <n v="3"/>
    <s v="Life Sciences"/>
    <n v="162"/>
    <n v="1"/>
    <s v="Male"/>
    <n v="51"/>
    <n v="3"/>
    <n v="5"/>
    <x v="7"/>
    <x v="2"/>
    <s v="Single"/>
    <n v="19537"/>
    <x v="2"/>
    <n v="6462"/>
    <n v="7"/>
    <x v="1"/>
    <n v="13"/>
    <n v="3"/>
    <n v="3"/>
    <n v="0"/>
    <n v="23"/>
    <n v="5"/>
    <n v="3"/>
    <n v="20"/>
    <x v="3"/>
    <n v="18"/>
    <n v="15"/>
    <n v="15"/>
  </r>
  <r>
    <n v="31"/>
    <x v="0"/>
    <s v="Travel_Rarely"/>
    <n v="249"/>
    <x v="0"/>
    <n v="6"/>
    <n v="4"/>
    <s v="Life Sciences"/>
    <n v="163"/>
    <n v="2"/>
    <s v="Male"/>
    <n v="76"/>
    <n v="1"/>
    <n v="2"/>
    <x v="0"/>
    <x v="2"/>
    <s v="Married"/>
    <n v="6172"/>
    <x v="0"/>
    <n v="20739"/>
    <n v="4"/>
    <x v="0"/>
    <n v="18"/>
    <n v="3"/>
    <n v="2"/>
    <n v="0"/>
    <n v="12"/>
    <n v="3"/>
    <n v="2"/>
    <n v="7"/>
    <x v="0"/>
    <n v="7"/>
    <n v="7"/>
    <n v="7"/>
  </r>
  <r>
    <n v="26"/>
    <x v="1"/>
    <s v="Travel_Rarely"/>
    <n v="841"/>
    <x v="1"/>
    <n v="6"/>
    <n v="3"/>
    <s v="Other"/>
    <n v="164"/>
    <n v="3"/>
    <s v="Female"/>
    <n v="46"/>
    <n v="2"/>
    <n v="1"/>
    <x v="1"/>
    <x v="1"/>
    <s v="Married"/>
    <n v="2368"/>
    <x v="1"/>
    <n v="23300"/>
    <n v="1"/>
    <x v="1"/>
    <n v="19"/>
    <n v="3"/>
    <n v="3"/>
    <n v="0"/>
    <n v="5"/>
    <n v="3"/>
    <n v="2"/>
    <n v="5"/>
    <x v="2"/>
    <n v="4"/>
    <n v="4"/>
    <n v="3"/>
  </r>
  <r>
    <n v="58"/>
    <x v="0"/>
    <s v="Travel_Rarely"/>
    <n v="147"/>
    <x v="1"/>
    <n v="23"/>
    <n v="4"/>
    <s v="Medical"/>
    <n v="165"/>
    <n v="4"/>
    <s v="Female"/>
    <n v="94"/>
    <n v="3"/>
    <n v="3"/>
    <x v="4"/>
    <x v="0"/>
    <s v="Married"/>
    <n v="10312"/>
    <x v="2"/>
    <n v="3465"/>
    <n v="1"/>
    <x v="1"/>
    <n v="12"/>
    <n v="3"/>
    <n v="4"/>
    <n v="1"/>
    <n v="40"/>
    <n v="3"/>
    <n v="2"/>
    <n v="40"/>
    <x v="3"/>
    <n v="10"/>
    <n v="15"/>
    <n v="6"/>
  </r>
  <r>
    <n v="19"/>
    <x v="0"/>
    <s v="Travel_Rarely"/>
    <n v="528"/>
    <x v="0"/>
    <n v="22"/>
    <n v="1"/>
    <s v="Marketing"/>
    <n v="167"/>
    <n v="4"/>
    <s v="Male"/>
    <n v="50"/>
    <n v="3"/>
    <n v="1"/>
    <x v="6"/>
    <x v="2"/>
    <s v="Single"/>
    <n v="1675"/>
    <x v="1"/>
    <n v="26820"/>
    <n v="1"/>
    <x v="0"/>
    <n v="19"/>
    <n v="3"/>
    <n v="4"/>
    <n v="0"/>
    <n v="0"/>
    <n v="2"/>
    <n v="2"/>
    <n v="0"/>
    <x v="1"/>
    <n v="0"/>
    <n v="0"/>
    <n v="0"/>
  </r>
  <r>
    <n v="22"/>
    <x v="1"/>
    <s v="Travel_Rarely"/>
    <n v="594"/>
    <x v="1"/>
    <n v="2"/>
    <n v="1"/>
    <s v="Technical Degree"/>
    <n v="169"/>
    <n v="3"/>
    <s v="Male"/>
    <n v="100"/>
    <n v="3"/>
    <n v="1"/>
    <x v="2"/>
    <x v="0"/>
    <s v="Married"/>
    <n v="2523"/>
    <x v="1"/>
    <n v="19299"/>
    <n v="0"/>
    <x v="1"/>
    <n v="14"/>
    <n v="3"/>
    <n v="3"/>
    <n v="1"/>
    <n v="3"/>
    <n v="2"/>
    <n v="3"/>
    <n v="2"/>
    <x v="1"/>
    <n v="1"/>
    <n v="2"/>
    <n v="1"/>
  </r>
  <r>
    <n v="49"/>
    <x v="1"/>
    <s v="Travel_Rarely"/>
    <n v="470"/>
    <x v="1"/>
    <n v="20"/>
    <n v="4"/>
    <s v="Medical"/>
    <n v="170"/>
    <n v="3"/>
    <s v="Female"/>
    <n v="96"/>
    <n v="3"/>
    <n v="2"/>
    <x v="3"/>
    <x v="3"/>
    <s v="Married"/>
    <n v="6567"/>
    <x v="0"/>
    <n v="5549"/>
    <n v="1"/>
    <x v="1"/>
    <n v="14"/>
    <n v="3"/>
    <n v="3"/>
    <n v="0"/>
    <n v="16"/>
    <n v="2"/>
    <n v="2"/>
    <n v="15"/>
    <x v="3"/>
    <n v="11"/>
    <n v="5"/>
    <n v="11"/>
  </r>
  <r>
    <n v="43"/>
    <x v="1"/>
    <s v="Travel_Frequently"/>
    <n v="957"/>
    <x v="1"/>
    <n v="28"/>
    <n v="3"/>
    <s v="Medical"/>
    <n v="171"/>
    <n v="2"/>
    <s v="Female"/>
    <n v="72"/>
    <n v="4"/>
    <n v="1"/>
    <x v="1"/>
    <x v="2"/>
    <s v="Single"/>
    <n v="4739"/>
    <x v="0"/>
    <n v="16090"/>
    <n v="4"/>
    <x v="1"/>
    <n v="12"/>
    <n v="3"/>
    <n v="4"/>
    <n v="0"/>
    <n v="18"/>
    <n v="2"/>
    <n v="3"/>
    <n v="3"/>
    <x v="2"/>
    <n v="2"/>
    <n v="1"/>
    <n v="2"/>
  </r>
  <r>
    <n v="50"/>
    <x v="1"/>
    <s v="Travel_Frequently"/>
    <n v="809"/>
    <x v="0"/>
    <n v="12"/>
    <n v="3"/>
    <s v="Marketing"/>
    <n v="174"/>
    <n v="3"/>
    <s v="Female"/>
    <n v="77"/>
    <n v="3"/>
    <n v="3"/>
    <x v="0"/>
    <x v="0"/>
    <s v="Single"/>
    <n v="9208"/>
    <x v="2"/>
    <n v="6645"/>
    <n v="4"/>
    <x v="1"/>
    <n v="11"/>
    <n v="3"/>
    <n v="4"/>
    <n v="0"/>
    <n v="16"/>
    <n v="3"/>
    <n v="3"/>
    <n v="2"/>
    <x v="1"/>
    <n v="2"/>
    <n v="2"/>
    <n v="1"/>
  </r>
  <r>
    <n v="31"/>
    <x v="0"/>
    <s v="Travel_Rarely"/>
    <n v="542"/>
    <x v="0"/>
    <n v="20"/>
    <n v="3"/>
    <s v="Life Sciences"/>
    <n v="175"/>
    <n v="2"/>
    <s v="Female"/>
    <n v="71"/>
    <n v="1"/>
    <n v="2"/>
    <x v="0"/>
    <x v="2"/>
    <s v="Married"/>
    <n v="4559"/>
    <x v="0"/>
    <n v="24788"/>
    <n v="3"/>
    <x v="0"/>
    <n v="11"/>
    <n v="3"/>
    <n v="3"/>
    <n v="1"/>
    <n v="4"/>
    <n v="2"/>
    <n v="3"/>
    <n v="2"/>
    <x v="1"/>
    <n v="2"/>
    <n v="2"/>
    <n v="2"/>
  </r>
  <r>
    <n v="41"/>
    <x v="1"/>
    <s v="Travel_Rarely"/>
    <n v="802"/>
    <x v="0"/>
    <n v="9"/>
    <n v="1"/>
    <s v="Life Sciences"/>
    <n v="176"/>
    <n v="3"/>
    <s v="Male"/>
    <n v="96"/>
    <n v="3"/>
    <n v="3"/>
    <x v="0"/>
    <x v="2"/>
    <s v="Divorced"/>
    <n v="8189"/>
    <x v="2"/>
    <n v="21196"/>
    <n v="3"/>
    <x v="0"/>
    <n v="13"/>
    <n v="3"/>
    <n v="3"/>
    <n v="1"/>
    <n v="12"/>
    <n v="2"/>
    <n v="3"/>
    <n v="9"/>
    <x v="0"/>
    <n v="7"/>
    <n v="0"/>
    <n v="7"/>
  </r>
  <r>
    <n v="26"/>
    <x v="1"/>
    <s v="Travel_Rarely"/>
    <n v="1355"/>
    <x v="2"/>
    <n v="25"/>
    <n v="1"/>
    <s v="Life Sciences"/>
    <n v="177"/>
    <n v="3"/>
    <s v="Female"/>
    <n v="61"/>
    <n v="3"/>
    <n v="1"/>
    <x v="8"/>
    <x v="2"/>
    <s v="Married"/>
    <n v="2942"/>
    <x v="1"/>
    <n v="8916"/>
    <n v="1"/>
    <x v="1"/>
    <n v="23"/>
    <n v="4"/>
    <n v="4"/>
    <n v="1"/>
    <n v="8"/>
    <n v="3"/>
    <n v="3"/>
    <n v="8"/>
    <x v="0"/>
    <n v="7"/>
    <n v="5"/>
    <n v="7"/>
  </r>
  <r>
    <n v="36"/>
    <x v="1"/>
    <s v="Travel_Rarely"/>
    <n v="216"/>
    <x v="1"/>
    <n v="6"/>
    <n v="2"/>
    <s v="Medical"/>
    <n v="178"/>
    <n v="2"/>
    <s v="Male"/>
    <n v="84"/>
    <n v="3"/>
    <n v="2"/>
    <x v="3"/>
    <x v="1"/>
    <s v="Divorced"/>
    <n v="4941"/>
    <x v="0"/>
    <n v="2819"/>
    <n v="6"/>
    <x v="1"/>
    <n v="20"/>
    <n v="4"/>
    <n v="4"/>
    <n v="2"/>
    <n v="7"/>
    <n v="0"/>
    <n v="3"/>
    <n v="3"/>
    <x v="2"/>
    <n v="2"/>
    <n v="0"/>
    <n v="1"/>
  </r>
  <r>
    <n v="51"/>
    <x v="0"/>
    <s v="Travel_Frequently"/>
    <n v="1150"/>
    <x v="1"/>
    <n v="8"/>
    <n v="4"/>
    <s v="Life Sciences"/>
    <n v="179"/>
    <n v="1"/>
    <s v="Male"/>
    <n v="53"/>
    <n v="1"/>
    <n v="3"/>
    <x v="3"/>
    <x v="0"/>
    <s v="Single"/>
    <n v="10650"/>
    <x v="2"/>
    <n v="25150"/>
    <n v="2"/>
    <x v="1"/>
    <n v="15"/>
    <n v="3"/>
    <n v="4"/>
    <n v="0"/>
    <n v="18"/>
    <n v="2"/>
    <n v="3"/>
    <n v="4"/>
    <x v="2"/>
    <n v="2"/>
    <n v="0"/>
    <n v="3"/>
  </r>
  <r>
    <n v="39"/>
    <x v="1"/>
    <s v="Travel_Rarely"/>
    <n v="1329"/>
    <x v="0"/>
    <n v="4"/>
    <n v="4"/>
    <s v="Life Sciences"/>
    <n v="182"/>
    <n v="4"/>
    <s v="Female"/>
    <n v="47"/>
    <n v="2"/>
    <n v="2"/>
    <x v="0"/>
    <x v="2"/>
    <s v="Married"/>
    <n v="5902"/>
    <x v="0"/>
    <n v="14590"/>
    <n v="4"/>
    <x v="1"/>
    <n v="14"/>
    <n v="3"/>
    <n v="3"/>
    <n v="1"/>
    <n v="17"/>
    <n v="1"/>
    <n v="4"/>
    <n v="15"/>
    <x v="3"/>
    <n v="11"/>
    <n v="5"/>
    <n v="9"/>
  </r>
  <r>
    <n v="25"/>
    <x v="1"/>
    <s v="Travel_Rarely"/>
    <n v="959"/>
    <x v="0"/>
    <n v="28"/>
    <n v="3"/>
    <s v="Life Sciences"/>
    <n v="183"/>
    <n v="1"/>
    <s v="Male"/>
    <n v="41"/>
    <n v="2"/>
    <n v="2"/>
    <x v="0"/>
    <x v="2"/>
    <s v="Married"/>
    <n v="8639"/>
    <x v="2"/>
    <n v="24835"/>
    <n v="2"/>
    <x v="1"/>
    <n v="18"/>
    <n v="3"/>
    <n v="4"/>
    <n v="0"/>
    <n v="6"/>
    <n v="3"/>
    <n v="3"/>
    <n v="2"/>
    <x v="1"/>
    <n v="2"/>
    <n v="2"/>
    <n v="2"/>
  </r>
  <r>
    <n v="30"/>
    <x v="1"/>
    <s v="Travel_Rarely"/>
    <n v="1240"/>
    <x v="2"/>
    <n v="9"/>
    <n v="3"/>
    <s v="Human Resources"/>
    <n v="184"/>
    <n v="3"/>
    <s v="Male"/>
    <n v="48"/>
    <n v="3"/>
    <n v="2"/>
    <x v="8"/>
    <x v="0"/>
    <s v="Married"/>
    <n v="6347"/>
    <x v="0"/>
    <n v="13982"/>
    <n v="0"/>
    <x v="0"/>
    <n v="19"/>
    <n v="3"/>
    <n v="4"/>
    <n v="0"/>
    <n v="12"/>
    <n v="2"/>
    <n v="1"/>
    <n v="11"/>
    <x v="3"/>
    <n v="9"/>
    <n v="4"/>
    <n v="7"/>
  </r>
  <r>
    <n v="32"/>
    <x v="0"/>
    <s v="Travel_Rarely"/>
    <n v="1033"/>
    <x v="1"/>
    <n v="9"/>
    <n v="3"/>
    <s v="Medical"/>
    <n v="190"/>
    <n v="1"/>
    <s v="Female"/>
    <n v="41"/>
    <n v="3"/>
    <n v="1"/>
    <x v="2"/>
    <x v="3"/>
    <s v="Single"/>
    <n v="4200"/>
    <x v="0"/>
    <n v="10224"/>
    <n v="7"/>
    <x v="1"/>
    <n v="22"/>
    <n v="4"/>
    <n v="1"/>
    <n v="0"/>
    <n v="10"/>
    <n v="2"/>
    <n v="4"/>
    <n v="5"/>
    <x v="2"/>
    <n v="4"/>
    <n v="0"/>
    <n v="4"/>
  </r>
  <r>
    <n v="45"/>
    <x v="1"/>
    <s v="Travel_Rarely"/>
    <n v="1316"/>
    <x v="1"/>
    <n v="29"/>
    <n v="3"/>
    <s v="Medical"/>
    <n v="192"/>
    <n v="3"/>
    <s v="Male"/>
    <n v="83"/>
    <n v="3"/>
    <n v="1"/>
    <x v="1"/>
    <x v="0"/>
    <s v="Single"/>
    <n v="3452"/>
    <x v="0"/>
    <n v="9752"/>
    <n v="5"/>
    <x v="1"/>
    <n v="13"/>
    <n v="3"/>
    <n v="2"/>
    <n v="0"/>
    <n v="9"/>
    <n v="2"/>
    <n v="2"/>
    <n v="6"/>
    <x v="0"/>
    <n v="5"/>
    <n v="0"/>
    <n v="3"/>
  </r>
  <r>
    <n v="38"/>
    <x v="1"/>
    <s v="Travel_Rarely"/>
    <n v="364"/>
    <x v="1"/>
    <n v="3"/>
    <n v="5"/>
    <s v="Technical Degree"/>
    <n v="193"/>
    <n v="4"/>
    <s v="Female"/>
    <n v="32"/>
    <n v="3"/>
    <n v="2"/>
    <x v="1"/>
    <x v="2"/>
    <s v="Single"/>
    <n v="4317"/>
    <x v="0"/>
    <n v="2302"/>
    <n v="3"/>
    <x v="0"/>
    <n v="20"/>
    <n v="4"/>
    <n v="2"/>
    <n v="0"/>
    <n v="19"/>
    <n v="2"/>
    <n v="3"/>
    <n v="3"/>
    <x v="2"/>
    <n v="2"/>
    <n v="2"/>
    <n v="2"/>
  </r>
  <r>
    <n v="30"/>
    <x v="1"/>
    <s v="Travel_Rarely"/>
    <n v="438"/>
    <x v="1"/>
    <n v="18"/>
    <n v="3"/>
    <s v="Life Sciences"/>
    <n v="194"/>
    <n v="1"/>
    <s v="Female"/>
    <n v="75"/>
    <n v="3"/>
    <n v="1"/>
    <x v="1"/>
    <x v="2"/>
    <s v="Single"/>
    <n v="2632"/>
    <x v="1"/>
    <n v="23910"/>
    <n v="1"/>
    <x v="1"/>
    <n v="14"/>
    <n v="3"/>
    <n v="3"/>
    <n v="0"/>
    <n v="5"/>
    <n v="4"/>
    <n v="2"/>
    <n v="5"/>
    <x v="2"/>
    <n v="4"/>
    <n v="0"/>
    <n v="4"/>
  </r>
  <r>
    <n v="32"/>
    <x v="1"/>
    <s v="Travel_Frequently"/>
    <n v="689"/>
    <x v="0"/>
    <n v="9"/>
    <n v="2"/>
    <s v="Medical"/>
    <n v="195"/>
    <n v="4"/>
    <s v="Male"/>
    <n v="35"/>
    <n v="1"/>
    <n v="2"/>
    <x v="0"/>
    <x v="0"/>
    <s v="Divorced"/>
    <n v="4668"/>
    <x v="0"/>
    <n v="22812"/>
    <n v="0"/>
    <x v="1"/>
    <n v="17"/>
    <n v="3"/>
    <n v="4"/>
    <n v="3"/>
    <n v="9"/>
    <n v="2"/>
    <n v="4"/>
    <n v="8"/>
    <x v="0"/>
    <n v="7"/>
    <n v="0"/>
    <n v="7"/>
  </r>
  <r>
    <n v="30"/>
    <x v="1"/>
    <s v="Travel_Rarely"/>
    <n v="201"/>
    <x v="1"/>
    <n v="5"/>
    <n v="3"/>
    <s v="Technical Degree"/>
    <n v="197"/>
    <n v="4"/>
    <s v="Female"/>
    <n v="84"/>
    <n v="3"/>
    <n v="1"/>
    <x v="1"/>
    <x v="3"/>
    <s v="Divorced"/>
    <n v="3204"/>
    <x v="0"/>
    <n v="10415"/>
    <n v="5"/>
    <x v="1"/>
    <n v="14"/>
    <n v="3"/>
    <n v="4"/>
    <n v="1"/>
    <n v="8"/>
    <n v="3"/>
    <n v="3"/>
    <n v="3"/>
    <x v="2"/>
    <n v="2"/>
    <n v="2"/>
    <n v="2"/>
  </r>
  <r>
    <n v="30"/>
    <x v="1"/>
    <s v="Travel_Rarely"/>
    <n v="1427"/>
    <x v="1"/>
    <n v="2"/>
    <n v="1"/>
    <s v="Medical"/>
    <n v="198"/>
    <n v="2"/>
    <s v="Male"/>
    <n v="35"/>
    <n v="2"/>
    <n v="1"/>
    <x v="2"/>
    <x v="0"/>
    <s v="Single"/>
    <n v="2720"/>
    <x v="1"/>
    <n v="11162"/>
    <n v="0"/>
    <x v="1"/>
    <n v="13"/>
    <n v="3"/>
    <n v="4"/>
    <n v="0"/>
    <n v="6"/>
    <n v="3"/>
    <n v="3"/>
    <n v="5"/>
    <x v="2"/>
    <n v="3"/>
    <n v="1"/>
    <n v="2"/>
  </r>
  <r>
    <n v="41"/>
    <x v="1"/>
    <s v="Travel_Frequently"/>
    <n v="857"/>
    <x v="1"/>
    <n v="10"/>
    <n v="3"/>
    <s v="Life Sciences"/>
    <n v="199"/>
    <n v="4"/>
    <s v="Male"/>
    <n v="91"/>
    <n v="2"/>
    <n v="4"/>
    <x v="5"/>
    <x v="3"/>
    <s v="Divorced"/>
    <n v="17181"/>
    <x v="2"/>
    <n v="12888"/>
    <n v="4"/>
    <x v="1"/>
    <n v="13"/>
    <n v="3"/>
    <n v="2"/>
    <n v="1"/>
    <n v="21"/>
    <n v="2"/>
    <n v="2"/>
    <n v="7"/>
    <x v="0"/>
    <n v="6"/>
    <n v="7"/>
    <n v="7"/>
  </r>
  <r>
    <n v="41"/>
    <x v="1"/>
    <s v="Travel_Rarely"/>
    <n v="933"/>
    <x v="1"/>
    <n v="9"/>
    <n v="4"/>
    <s v="Life Sciences"/>
    <n v="200"/>
    <n v="3"/>
    <s v="Male"/>
    <n v="94"/>
    <n v="3"/>
    <n v="1"/>
    <x v="2"/>
    <x v="3"/>
    <s v="Married"/>
    <n v="2238"/>
    <x v="1"/>
    <n v="6961"/>
    <n v="2"/>
    <x v="1"/>
    <n v="21"/>
    <n v="4"/>
    <n v="4"/>
    <n v="1"/>
    <n v="7"/>
    <n v="2"/>
    <n v="3"/>
    <n v="5"/>
    <x v="2"/>
    <n v="0"/>
    <n v="1"/>
    <n v="4"/>
  </r>
  <r>
    <n v="19"/>
    <x v="1"/>
    <s v="Travel_Rarely"/>
    <n v="1181"/>
    <x v="1"/>
    <n v="3"/>
    <n v="1"/>
    <s v="Medical"/>
    <n v="201"/>
    <n v="2"/>
    <s v="Female"/>
    <n v="79"/>
    <n v="3"/>
    <n v="1"/>
    <x v="2"/>
    <x v="1"/>
    <s v="Single"/>
    <n v="1483"/>
    <x v="1"/>
    <n v="16102"/>
    <n v="1"/>
    <x v="1"/>
    <n v="14"/>
    <n v="3"/>
    <n v="4"/>
    <n v="0"/>
    <n v="1"/>
    <n v="3"/>
    <n v="3"/>
    <n v="1"/>
    <x v="1"/>
    <n v="0"/>
    <n v="0"/>
    <n v="0"/>
  </r>
  <r>
    <n v="40"/>
    <x v="1"/>
    <s v="Travel_Frequently"/>
    <n v="1395"/>
    <x v="1"/>
    <n v="26"/>
    <n v="3"/>
    <s v="Medical"/>
    <n v="202"/>
    <n v="2"/>
    <s v="Female"/>
    <n v="54"/>
    <n v="3"/>
    <n v="2"/>
    <x v="1"/>
    <x v="1"/>
    <s v="Divorced"/>
    <n v="5605"/>
    <x v="0"/>
    <n v="8504"/>
    <n v="1"/>
    <x v="1"/>
    <n v="11"/>
    <n v="3"/>
    <n v="1"/>
    <n v="1"/>
    <n v="20"/>
    <n v="2"/>
    <n v="3"/>
    <n v="20"/>
    <x v="3"/>
    <n v="7"/>
    <n v="2"/>
    <n v="13"/>
  </r>
  <r>
    <n v="35"/>
    <x v="1"/>
    <s v="Travel_Rarely"/>
    <n v="662"/>
    <x v="0"/>
    <n v="1"/>
    <n v="5"/>
    <s v="Marketing"/>
    <n v="204"/>
    <n v="3"/>
    <s v="Male"/>
    <n v="94"/>
    <n v="3"/>
    <n v="3"/>
    <x v="0"/>
    <x v="1"/>
    <s v="Married"/>
    <n v="7295"/>
    <x v="2"/>
    <n v="11439"/>
    <n v="1"/>
    <x v="1"/>
    <n v="13"/>
    <n v="3"/>
    <n v="1"/>
    <n v="2"/>
    <n v="10"/>
    <n v="3"/>
    <n v="3"/>
    <n v="10"/>
    <x v="0"/>
    <n v="8"/>
    <n v="0"/>
    <n v="6"/>
  </r>
  <r>
    <n v="53"/>
    <x v="1"/>
    <s v="Travel_Rarely"/>
    <n v="1436"/>
    <x v="0"/>
    <n v="6"/>
    <n v="2"/>
    <s v="Marketing"/>
    <n v="205"/>
    <n v="2"/>
    <s v="Male"/>
    <n v="34"/>
    <n v="3"/>
    <n v="2"/>
    <x v="6"/>
    <x v="2"/>
    <s v="Married"/>
    <n v="2306"/>
    <x v="1"/>
    <n v="16047"/>
    <n v="2"/>
    <x v="0"/>
    <n v="20"/>
    <n v="4"/>
    <n v="4"/>
    <n v="1"/>
    <n v="13"/>
    <n v="3"/>
    <n v="1"/>
    <n v="7"/>
    <x v="0"/>
    <n v="7"/>
    <n v="4"/>
    <n v="5"/>
  </r>
  <r>
    <n v="45"/>
    <x v="1"/>
    <s v="Travel_Rarely"/>
    <n v="194"/>
    <x v="1"/>
    <n v="9"/>
    <n v="3"/>
    <s v="Life Sciences"/>
    <n v="206"/>
    <n v="2"/>
    <s v="Male"/>
    <n v="60"/>
    <n v="3"/>
    <n v="2"/>
    <x v="2"/>
    <x v="1"/>
    <s v="Divorced"/>
    <n v="2348"/>
    <x v="1"/>
    <n v="10901"/>
    <n v="8"/>
    <x v="1"/>
    <n v="18"/>
    <n v="3"/>
    <n v="3"/>
    <n v="1"/>
    <n v="20"/>
    <n v="2"/>
    <n v="1"/>
    <n v="17"/>
    <x v="3"/>
    <n v="9"/>
    <n v="0"/>
    <n v="15"/>
  </r>
  <r>
    <n v="32"/>
    <x v="1"/>
    <s v="Travel_Frequently"/>
    <n v="967"/>
    <x v="0"/>
    <n v="8"/>
    <n v="3"/>
    <s v="Marketing"/>
    <n v="207"/>
    <n v="2"/>
    <s v="Female"/>
    <n v="43"/>
    <n v="3"/>
    <n v="3"/>
    <x v="0"/>
    <x v="0"/>
    <s v="Single"/>
    <n v="8998"/>
    <x v="2"/>
    <n v="15589"/>
    <n v="1"/>
    <x v="1"/>
    <n v="14"/>
    <n v="3"/>
    <n v="4"/>
    <n v="0"/>
    <n v="9"/>
    <n v="2"/>
    <n v="3"/>
    <n v="9"/>
    <x v="0"/>
    <n v="8"/>
    <n v="3"/>
    <n v="7"/>
  </r>
  <r>
    <n v="29"/>
    <x v="1"/>
    <s v="Non-Travel"/>
    <n v="1496"/>
    <x v="1"/>
    <n v="1"/>
    <n v="1"/>
    <s v="Technical Degree"/>
    <n v="208"/>
    <n v="4"/>
    <s v="Male"/>
    <n v="41"/>
    <n v="3"/>
    <n v="2"/>
    <x v="3"/>
    <x v="2"/>
    <s v="Married"/>
    <n v="4319"/>
    <x v="0"/>
    <n v="26283"/>
    <n v="1"/>
    <x v="1"/>
    <n v="13"/>
    <n v="3"/>
    <n v="1"/>
    <n v="1"/>
    <n v="10"/>
    <n v="1"/>
    <n v="3"/>
    <n v="10"/>
    <x v="0"/>
    <n v="7"/>
    <n v="0"/>
    <n v="9"/>
  </r>
  <r>
    <n v="51"/>
    <x v="1"/>
    <s v="Travel_Rarely"/>
    <n v="1169"/>
    <x v="1"/>
    <n v="7"/>
    <n v="4"/>
    <s v="Medical"/>
    <n v="211"/>
    <n v="2"/>
    <s v="Male"/>
    <n v="34"/>
    <n v="2"/>
    <n v="2"/>
    <x v="3"/>
    <x v="2"/>
    <s v="Married"/>
    <n v="6132"/>
    <x v="0"/>
    <n v="13983"/>
    <n v="2"/>
    <x v="1"/>
    <n v="17"/>
    <n v="3"/>
    <n v="3"/>
    <n v="0"/>
    <n v="10"/>
    <n v="2"/>
    <n v="3"/>
    <n v="1"/>
    <x v="1"/>
    <n v="0"/>
    <n v="0"/>
    <n v="0"/>
  </r>
  <r>
    <n v="58"/>
    <x v="1"/>
    <s v="Travel_Rarely"/>
    <n v="1145"/>
    <x v="1"/>
    <n v="9"/>
    <n v="3"/>
    <s v="Medical"/>
    <n v="214"/>
    <n v="2"/>
    <s v="Female"/>
    <n v="75"/>
    <n v="2"/>
    <n v="1"/>
    <x v="1"/>
    <x v="1"/>
    <s v="Married"/>
    <n v="3346"/>
    <x v="0"/>
    <n v="11873"/>
    <n v="4"/>
    <x v="0"/>
    <n v="20"/>
    <n v="4"/>
    <n v="2"/>
    <n v="1"/>
    <n v="9"/>
    <n v="3"/>
    <n v="2"/>
    <n v="1"/>
    <x v="1"/>
    <n v="0"/>
    <n v="0"/>
    <n v="0"/>
  </r>
  <r>
    <n v="40"/>
    <x v="1"/>
    <s v="Travel_Rarely"/>
    <n v="630"/>
    <x v="0"/>
    <n v="4"/>
    <n v="4"/>
    <s v="Marketing"/>
    <n v="215"/>
    <n v="3"/>
    <s v="Male"/>
    <n v="67"/>
    <n v="2"/>
    <n v="3"/>
    <x v="0"/>
    <x v="0"/>
    <s v="Married"/>
    <n v="10855"/>
    <x v="2"/>
    <n v="8552"/>
    <n v="7"/>
    <x v="1"/>
    <n v="11"/>
    <n v="3"/>
    <n v="1"/>
    <n v="1"/>
    <n v="15"/>
    <n v="2"/>
    <n v="2"/>
    <n v="12"/>
    <x v="3"/>
    <n v="11"/>
    <n v="2"/>
    <n v="11"/>
  </r>
  <r>
    <n v="34"/>
    <x v="1"/>
    <s v="Travel_Frequently"/>
    <n v="303"/>
    <x v="0"/>
    <n v="2"/>
    <n v="4"/>
    <s v="Marketing"/>
    <n v="216"/>
    <n v="3"/>
    <s v="Female"/>
    <n v="75"/>
    <n v="3"/>
    <n v="1"/>
    <x v="6"/>
    <x v="2"/>
    <s v="Married"/>
    <n v="2231"/>
    <x v="1"/>
    <n v="11314"/>
    <n v="6"/>
    <x v="1"/>
    <n v="18"/>
    <n v="3"/>
    <n v="4"/>
    <n v="1"/>
    <n v="6"/>
    <n v="3"/>
    <n v="3"/>
    <n v="4"/>
    <x v="2"/>
    <n v="3"/>
    <n v="1"/>
    <n v="2"/>
  </r>
  <r>
    <n v="22"/>
    <x v="1"/>
    <s v="Travel_Rarely"/>
    <n v="1256"/>
    <x v="1"/>
    <n v="19"/>
    <n v="1"/>
    <s v="Medical"/>
    <n v="217"/>
    <n v="3"/>
    <s v="Male"/>
    <n v="80"/>
    <n v="3"/>
    <n v="1"/>
    <x v="1"/>
    <x v="0"/>
    <s v="Married"/>
    <n v="2323"/>
    <x v="1"/>
    <n v="11992"/>
    <n v="1"/>
    <x v="1"/>
    <n v="24"/>
    <n v="4"/>
    <n v="1"/>
    <n v="2"/>
    <n v="2"/>
    <n v="6"/>
    <n v="3"/>
    <n v="2"/>
    <x v="1"/>
    <n v="2"/>
    <n v="2"/>
    <n v="2"/>
  </r>
  <r>
    <n v="27"/>
    <x v="1"/>
    <s v="Non-Travel"/>
    <n v="691"/>
    <x v="1"/>
    <n v="9"/>
    <n v="3"/>
    <s v="Medical"/>
    <n v="218"/>
    <n v="4"/>
    <s v="Male"/>
    <n v="57"/>
    <n v="3"/>
    <n v="1"/>
    <x v="1"/>
    <x v="1"/>
    <s v="Divorced"/>
    <n v="2024"/>
    <x v="1"/>
    <n v="5970"/>
    <n v="6"/>
    <x v="1"/>
    <n v="18"/>
    <n v="3"/>
    <n v="4"/>
    <n v="1"/>
    <n v="6"/>
    <n v="1"/>
    <n v="1"/>
    <n v="2"/>
    <x v="1"/>
    <n v="2"/>
    <n v="2"/>
    <n v="2"/>
  </r>
  <r>
    <n v="28"/>
    <x v="1"/>
    <s v="Travel_Rarely"/>
    <n v="440"/>
    <x v="1"/>
    <n v="21"/>
    <n v="3"/>
    <s v="Medical"/>
    <n v="221"/>
    <n v="3"/>
    <s v="Male"/>
    <n v="42"/>
    <n v="3"/>
    <n v="1"/>
    <x v="1"/>
    <x v="0"/>
    <s v="Married"/>
    <n v="2713"/>
    <x v="1"/>
    <n v="6672"/>
    <n v="1"/>
    <x v="1"/>
    <n v="11"/>
    <n v="3"/>
    <n v="3"/>
    <n v="1"/>
    <n v="5"/>
    <n v="2"/>
    <n v="1"/>
    <n v="5"/>
    <x v="2"/>
    <n v="2"/>
    <n v="0"/>
    <n v="2"/>
  </r>
  <r>
    <n v="57"/>
    <x v="1"/>
    <s v="Travel_Rarely"/>
    <n v="334"/>
    <x v="1"/>
    <n v="24"/>
    <n v="2"/>
    <s v="Life Sciences"/>
    <n v="223"/>
    <n v="3"/>
    <s v="Male"/>
    <n v="83"/>
    <n v="4"/>
    <n v="3"/>
    <x v="4"/>
    <x v="0"/>
    <s v="Divorced"/>
    <n v="9439"/>
    <x v="2"/>
    <n v="23402"/>
    <n v="3"/>
    <x v="0"/>
    <n v="16"/>
    <n v="3"/>
    <n v="2"/>
    <n v="1"/>
    <n v="12"/>
    <n v="2"/>
    <n v="1"/>
    <n v="5"/>
    <x v="2"/>
    <n v="3"/>
    <n v="1"/>
    <n v="4"/>
  </r>
  <r>
    <n v="27"/>
    <x v="1"/>
    <s v="Non-Travel"/>
    <n v="1450"/>
    <x v="1"/>
    <n v="3"/>
    <n v="3"/>
    <s v="Medical"/>
    <n v="224"/>
    <n v="3"/>
    <s v="Male"/>
    <n v="79"/>
    <n v="2"/>
    <n v="1"/>
    <x v="1"/>
    <x v="2"/>
    <s v="Divorced"/>
    <n v="2566"/>
    <x v="1"/>
    <n v="25326"/>
    <n v="1"/>
    <x v="0"/>
    <n v="15"/>
    <n v="3"/>
    <n v="4"/>
    <n v="1"/>
    <n v="1"/>
    <n v="2"/>
    <n v="2"/>
    <n v="1"/>
    <x v="1"/>
    <n v="1"/>
    <n v="0"/>
    <n v="1"/>
  </r>
  <r>
    <n v="50"/>
    <x v="1"/>
    <s v="Travel_Rarely"/>
    <n v="1452"/>
    <x v="1"/>
    <n v="11"/>
    <n v="3"/>
    <s v="Life Sciences"/>
    <n v="226"/>
    <n v="3"/>
    <s v="Female"/>
    <n v="53"/>
    <n v="3"/>
    <n v="5"/>
    <x v="5"/>
    <x v="1"/>
    <s v="Single"/>
    <n v="19926"/>
    <x v="2"/>
    <n v="17053"/>
    <n v="3"/>
    <x v="1"/>
    <n v="15"/>
    <n v="3"/>
    <n v="2"/>
    <n v="0"/>
    <n v="21"/>
    <n v="5"/>
    <n v="3"/>
    <n v="5"/>
    <x v="2"/>
    <n v="4"/>
    <n v="4"/>
    <n v="4"/>
  </r>
  <r>
    <n v="41"/>
    <x v="1"/>
    <s v="Travel_Rarely"/>
    <n v="465"/>
    <x v="1"/>
    <n v="14"/>
    <n v="3"/>
    <s v="Life Sciences"/>
    <n v="227"/>
    <n v="1"/>
    <s v="Male"/>
    <n v="56"/>
    <n v="3"/>
    <n v="1"/>
    <x v="1"/>
    <x v="2"/>
    <s v="Divorced"/>
    <n v="2451"/>
    <x v="1"/>
    <n v="4609"/>
    <n v="4"/>
    <x v="1"/>
    <n v="12"/>
    <n v="3"/>
    <n v="1"/>
    <n v="1"/>
    <n v="13"/>
    <n v="2"/>
    <n v="3"/>
    <n v="9"/>
    <x v="0"/>
    <n v="8"/>
    <n v="1"/>
    <n v="8"/>
  </r>
  <r>
    <n v="30"/>
    <x v="1"/>
    <s v="Travel_Rarely"/>
    <n v="1339"/>
    <x v="0"/>
    <n v="5"/>
    <n v="3"/>
    <s v="Life Sciences"/>
    <n v="228"/>
    <n v="2"/>
    <s v="Female"/>
    <n v="41"/>
    <n v="3"/>
    <n v="3"/>
    <x v="0"/>
    <x v="0"/>
    <s v="Married"/>
    <n v="9419"/>
    <x v="2"/>
    <n v="8053"/>
    <n v="2"/>
    <x v="1"/>
    <n v="12"/>
    <n v="3"/>
    <n v="3"/>
    <n v="1"/>
    <n v="12"/>
    <n v="2"/>
    <n v="3"/>
    <n v="10"/>
    <x v="0"/>
    <n v="9"/>
    <n v="7"/>
    <n v="4"/>
  </r>
  <r>
    <n v="38"/>
    <x v="1"/>
    <s v="Travel_Rarely"/>
    <n v="702"/>
    <x v="0"/>
    <n v="1"/>
    <n v="4"/>
    <s v="Life Sciences"/>
    <n v="230"/>
    <n v="1"/>
    <s v="Female"/>
    <n v="59"/>
    <n v="2"/>
    <n v="2"/>
    <x v="0"/>
    <x v="0"/>
    <s v="Single"/>
    <n v="8686"/>
    <x v="2"/>
    <n v="12930"/>
    <n v="4"/>
    <x v="1"/>
    <n v="22"/>
    <n v="4"/>
    <n v="3"/>
    <n v="0"/>
    <n v="12"/>
    <n v="2"/>
    <n v="4"/>
    <n v="8"/>
    <x v="0"/>
    <n v="3"/>
    <n v="0"/>
    <n v="7"/>
  </r>
  <r>
    <n v="32"/>
    <x v="1"/>
    <s v="Travel_Rarely"/>
    <n v="120"/>
    <x v="1"/>
    <n v="6"/>
    <n v="5"/>
    <s v="Life Sciences"/>
    <n v="231"/>
    <n v="3"/>
    <s v="Male"/>
    <n v="43"/>
    <n v="3"/>
    <n v="1"/>
    <x v="1"/>
    <x v="2"/>
    <s v="Single"/>
    <n v="3038"/>
    <x v="0"/>
    <n v="12430"/>
    <n v="3"/>
    <x v="1"/>
    <n v="20"/>
    <n v="4"/>
    <n v="1"/>
    <n v="0"/>
    <n v="8"/>
    <n v="2"/>
    <n v="3"/>
    <n v="5"/>
    <x v="2"/>
    <n v="4"/>
    <n v="1"/>
    <n v="4"/>
  </r>
  <r>
    <n v="27"/>
    <x v="1"/>
    <s v="Travel_Rarely"/>
    <n v="1157"/>
    <x v="1"/>
    <n v="17"/>
    <n v="3"/>
    <s v="Technical Degree"/>
    <n v="233"/>
    <n v="3"/>
    <s v="Male"/>
    <n v="51"/>
    <n v="3"/>
    <n v="1"/>
    <x v="1"/>
    <x v="1"/>
    <s v="Married"/>
    <n v="3058"/>
    <x v="0"/>
    <n v="13364"/>
    <n v="0"/>
    <x v="0"/>
    <n v="16"/>
    <n v="3"/>
    <n v="4"/>
    <n v="1"/>
    <n v="6"/>
    <n v="3"/>
    <n v="2"/>
    <n v="5"/>
    <x v="2"/>
    <n v="2"/>
    <n v="1"/>
    <n v="1"/>
  </r>
  <r>
    <n v="19"/>
    <x v="0"/>
    <s v="Travel_Frequently"/>
    <n v="602"/>
    <x v="0"/>
    <n v="1"/>
    <n v="1"/>
    <s v="Technical Degree"/>
    <n v="235"/>
    <n v="3"/>
    <s v="Female"/>
    <n v="100"/>
    <n v="1"/>
    <n v="1"/>
    <x v="6"/>
    <x v="3"/>
    <s v="Single"/>
    <n v="2325"/>
    <x v="1"/>
    <n v="20989"/>
    <n v="0"/>
    <x v="1"/>
    <n v="21"/>
    <n v="4"/>
    <n v="1"/>
    <n v="0"/>
    <n v="1"/>
    <n v="5"/>
    <n v="4"/>
    <n v="0"/>
    <x v="1"/>
    <n v="0"/>
    <n v="0"/>
    <n v="0"/>
  </r>
  <r>
    <n v="36"/>
    <x v="1"/>
    <s v="Travel_Frequently"/>
    <n v="1480"/>
    <x v="1"/>
    <n v="3"/>
    <n v="2"/>
    <s v="Medical"/>
    <n v="238"/>
    <n v="4"/>
    <s v="Male"/>
    <n v="30"/>
    <n v="3"/>
    <n v="1"/>
    <x v="2"/>
    <x v="1"/>
    <s v="Single"/>
    <n v="2088"/>
    <x v="1"/>
    <n v="15062"/>
    <n v="4"/>
    <x v="1"/>
    <n v="12"/>
    <n v="3"/>
    <n v="3"/>
    <n v="0"/>
    <n v="13"/>
    <n v="3"/>
    <n v="2"/>
    <n v="8"/>
    <x v="0"/>
    <n v="7"/>
    <n v="7"/>
    <n v="2"/>
  </r>
  <r>
    <n v="30"/>
    <x v="1"/>
    <s v="Non-Travel"/>
    <n v="111"/>
    <x v="1"/>
    <n v="9"/>
    <n v="3"/>
    <s v="Medical"/>
    <n v="239"/>
    <n v="3"/>
    <s v="Male"/>
    <n v="66"/>
    <n v="3"/>
    <n v="2"/>
    <x v="2"/>
    <x v="3"/>
    <s v="Divorced"/>
    <n v="3072"/>
    <x v="0"/>
    <n v="11012"/>
    <n v="1"/>
    <x v="1"/>
    <n v="11"/>
    <n v="3"/>
    <n v="3"/>
    <n v="2"/>
    <n v="12"/>
    <n v="4"/>
    <n v="3"/>
    <n v="12"/>
    <x v="3"/>
    <n v="9"/>
    <n v="6"/>
    <n v="10"/>
  </r>
  <r>
    <n v="45"/>
    <x v="1"/>
    <s v="Travel_Rarely"/>
    <n v="1268"/>
    <x v="0"/>
    <n v="4"/>
    <n v="2"/>
    <s v="Life Sciences"/>
    <n v="240"/>
    <n v="3"/>
    <s v="Female"/>
    <n v="30"/>
    <n v="3"/>
    <n v="2"/>
    <x v="0"/>
    <x v="3"/>
    <s v="Divorced"/>
    <n v="5006"/>
    <x v="0"/>
    <n v="6319"/>
    <n v="4"/>
    <x v="0"/>
    <n v="11"/>
    <n v="3"/>
    <n v="1"/>
    <n v="1"/>
    <n v="9"/>
    <n v="3"/>
    <n v="4"/>
    <n v="5"/>
    <x v="2"/>
    <n v="4"/>
    <n v="0"/>
    <n v="3"/>
  </r>
  <r>
    <n v="56"/>
    <x v="1"/>
    <s v="Travel_Rarely"/>
    <n v="713"/>
    <x v="1"/>
    <n v="8"/>
    <n v="3"/>
    <s v="Life Sciences"/>
    <n v="241"/>
    <n v="3"/>
    <s v="Female"/>
    <n v="67"/>
    <n v="3"/>
    <n v="1"/>
    <x v="1"/>
    <x v="3"/>
    <s v="Divorced"/>
    <n v="4257"/>
    <x v="0"/>
    <n v="13939"/>
    <n v="4"/>
    <x v="0"/>
    <n v="18"/>
    <n v="3"/>
    <n v="3"/>
    <n v="1"/>
    <n v="19"/>
    <n v="3"/>
    <n v="3"/>
    <n v="2"/>
    <x v="1"/>
    <n v="2"/>
    <n v="2"/>
    <n v="2"/>
  </r>
  <r>
    <n v="33"/>
    <x v="1"/>
    <s v="Travel_Rarely"/>
    <n v="134"/>
    <x v="1"/>
    <n v="2"/>
    <n v="3"/>
    <s v="Life Sciences"/>
    <n v="242"/>
    <n v="3"/>
    <s v="Male"/>
    <n v="90"/>
    <n v="3"/>
    <n v="1"/>
    <x v="1"/>
    <x v="0"/>
    <s v="Single"/>
    <n v="2500"/>
    <x v="1"/>
    <n v="10515"/>
    <n v="0"/>
    <x v="1"/>
    <n v="14"/>
    <n v="3"/>
    <n v="1"/>
    <n v="0"/>
    <n v="4"/>
    <n v="2"/>
    <n v="4"/>
    <n v="3"/>
    <x v="2"/>
    <n v="1"/>
    <n v="0"/>
    <n v="2"/>
  </r>
  <r>
    <n v="19"/>
    <x v="0"/>
    <s v="Travel_Rarely"/>
    <n v="303"/>
    <x v="1"/>
    <n v="2"/>
    <n v="3"/>
    <s v="Life Sciences"/>
    <n v="243"/>
    <n v="2"/>
    <s v="Male"/>
    <n v="47"/>
    <n v="2"/>
    <n v="1"/>
    <x v="2"/>
    <x v="0"/>
    <s v="Single"/>
    <n v="1102"/>
    <x v="1"/>
    <n v="9241"/>
    <n v="1"/>
    <x v="1"/>
    <n v="22"/>
    <n v="4"/>
    <n v="3"/>
    <n v="0"/>
    <n v="1"/>
    <n v="3"/>
    <n v="2"/>
    <n v="1"/>
    <x v="1"/>
    <n v="0"/>
    <n v="1"/>
    <n v="0"/>
  </r>
  <r>
    <n v="46"/>
    <x v="1"/>
    <s v="Travel_Rarely"/>
    <n v="526"/>
    <x v="0"/>
    <n v="1"/>
    <n v="2"/>
    <s v="Marketing"/>
    <n v="244"/>
    <n v="2"/>
    <s v="Female"/>
    <n v="92"/>
    <n v="3"/>
    <n v="3"/>
    <x v="0"/>
    <x v="3"/>
    <s v="Divorced"/>
    <n v="10453"/>
    <x v="2"/>
    <n v="2137"/>
    <n v="1"/>
    <x v="1"/>
    <n v="25"/>
    <n v="4"/>
    <n v="3"/>
    <n v="3"/>
    <n v="24"/>
    <n v="2"/>
    <n v="3"/>
    <n v="24"/>
    <x v="3"/>
    <n v="13"/>
    <n v="15"/>
    <n v="7"/>
  </r>
  <r>
    <n v="38"/>
    <x v="1"/>
    <s v="Travel_Rarely"/>
    <n v="1380"/>
    <x v="1"/>
    <n v="9"/>
    <n v="2"/>
    <s v="Life Sciences"/>
    <n v="245"/>
    <n v="3"/>
    <s v="Female"/>
    <n v="75"/>
    <n v="3"/>
    <n v="1"/>
    <x v="2"/>
    <x v="0"/>
    <s v="Single"/>
    <n v="2288"/>
    <x v="1"/>
    <n v="6319"/>
    <n v="1"/>
    <x v="1"/>
    <n v="12"/>
    <n v="3"/>
    <n v="3"/>
    <n v="0"/>
    <n v="2"/>
    <n v="3"/>
    <n v="3"/>
    <n v="2"/>
    <x v="1"/>
    <n v="2"/>
    <n v="2"/>
    <n v="1"/>
  </r>
  <r>
    <n v="31"/>
    <x v="1"/>
    <s v="Travel_Rarely"/>
    <n v="140"/>
    <x v="1"/>
    <n v="12"/>
    <n v="1"/>
    <s v="Medical"/>
    <n v="246"/>
    <n v="3"/>
    <s v="Female"/>
    <n v="95"/>
    <n v="3"/>
    <n v="1"/>
    <x v="1"/>
    <x v="0"/>
    <s v="Married"/>
    <n v="3929"/>
    <x v="0"/>
    <n v="6984"/>
    <n v="8"/>
    <x v="0"/>
    <n v="23"/>
    <n v="4"/>
    <n v="3"/>
    <n v="1"/>
    <n v="7"/>
    <n v="0"/>
    <n v="3"/>
    <n v="4"/>
    <x v="2"/>
    <n v="2"/>
    <n v="0"/>
    <n v="2"/>
  </r>
  <r>
    <n v="34"/>
    <x v="1"/>
    <s v="Travel_Rarely"/>
    <n v="629"/>
    <x v="1"/>
    <n v="27"/>
    <n v="2"/>
    <s v="Medical"/>
    <n v="247"/>
    <n v="4"/>
    <s v="Female"/>
    <n v="95"/>
    <n v="3"/>
    <n v="1"/>
    <x v="1"/>
    <x v="1"/>
    <s v="Single"/>
    <n v="2311"/>
    <x v="1"/>
    <n v="5711"/>
    <n v="2"/>
    <x v="1"/>
    <n v="15"/>
    <n v="3"/>
    <n v="4"/>
    <n v="0"/>
    <n v="9"/>
    <n v="3"/>
    <n v="3"/>
    <n v="3"/>
    <x v="2"/>
    <n v="2"/>
    <n v="1"/>
    <n v="2"/>
  </r>
  <r>
    <n v="41"/>
    <x v="0"/>
    <s v="Travel_Rarely"/>
    <n v="1356"/>
    <x v="0"/>
    <n v="20"/>
    <n v="2"/>
    <s v="Marketing"/>
    <n v="248"/>
    <n v="2"/>
    <s v="Female"/>
    <n v="70"/>
    <n v="3"/>
    <n v="1"/>
    <x v="6"/>
    <x v="1"/>
    <s v="Single"/>
    <n v="3140"/>
    <x v="0"/>
    <n v="21728"/>
    <n v="1"/>
    <x v="0"/>
    <n v="22"/>
    <n v="4"/>
    <n v="4"/>
    <n v="0"/>
    <n v="4"/>
    <n v="5"/>
    <n v="2"/>
    <n v="4"/>
    <x v="2"/>
    <n v="3"/>
    <n v="0"/>
    <n v="2"/>
  </r>
  <r>
    <n v="50"/>
    <x v="1"/>
    <s v="Travel_Rarely"/>
    <n v="328"/>
    <x v="1"/>
    <n v="1"/>
    <n v="3"/>
    <s v="Medical"/>
    <n v="249"/>
    <n v="3"/>
    <s v="Male"/>
    <n v="86"/>
    <n v="2"/>
    <n v="1"/>
    <x v="2"/>
    <x v="2"/>
    <s v="Married"/>
    <n v="3690"/>
    <x v="0"/>
    <n v="3425"/>
    <n v="2"/>
    <x v="1"/>
    <n v="15"/>
    <n v="3"/>
    <n v="4"/>
    <n v="1"/>
    <n v="5"/>
    <n v="2"/>
    <n v="2"/>
    <n v="3"/>
    <x v="2"/>
    <n v="2"/>
    <n v="0"/>
    <n v="2"/>
  </r>
  <r>
    <n v="53"/>
    <x v="1"/>
    <s v="Travel_Rarely"/>
    <n v="1084"/>
    <x v="1"/>
    <n v="13"/>
    <n v="2"/>
    <s v="Medical"/>
    <n v="250"/>
    <n v="4"/>
    <s v="Female"/>
    <n v="57"/>
    <n v="4"/>
    <n v="2"/>
    <x v="3"/>
    <x v="3"/>
    <s v="Divorced"/>
    <n v="4450"/>
    <x v="0"/>
    <n v="26250"/>
    <n v="1"/>
    <x v="1"/>
    <n v="11"/>
    <n v="3"/>
    <n v="3"/>
    <n v="2"/>
    <n v="5"/>
    <n v="3"/>
    <n v="3"/>
    <n v="4"/>
    <x v="2"/>
    <n v="2"/>
    <n v="1"/>
    <n v="3"/>
  </r>
  <r>
    <n v="33"/>
    <x v="1"/>
    <s v="Travel_Rarely"/>
    <n v="931"/>
    <x v="1"/>
    <n v="14"/>
    <n v="3"/>
    <s v="Medical"/>
    <n v="252"/>
    <n v="4"/>
    <s v="Female"/>
    <n v="72"/>
    <n v="3"/>
    <n v="1"/>
    <x v="1"/>
    <x v="1"/>
    <s v="Married"/>
    <n v="2756"/>
    <x v="1"/>
    <n v="4673"/>
    <n v="1"/>
    <x v="1"/>
    <n v="13"/>
    <n v="3"/>
    <n v="4"/>
    <n v="1"/>
    <n v="8"/>
    <n v="5"/>
    <n v="3"/>
    <n v="8"/>
    <x v="0"/>
    <n v="7"/>
    <n v="1"/>
    <n v="6"/>
  </r>
  <r>
    <n v="40"/>
    <x v="1"/>
    <s v="Travel_Rarely"/>
    <n v="989"/>
    <x v="1"/>
    <n v="4"/>
    <n v="1"/>
    <s v="Medical"/>
    <n v="253"/>
    <n v="4"/>
    <s v="Female"/>
    <n v="46"/>
    <n v="3"/>
    <n v="5"/>
    <x v="5"/>
    <x v="2"/>
    <s v="Married"/>
    <n v="19033"/>
    <x v="2"/>
    <n v="6499"/>
    <n v="1"/>
    <x v="1"/>
    <n v="14"/>
    <n v="3"/>
    <n v="2"/>
    <n v="1"/>
    <n v="21"/>
    <n v="2"/>
    <n v="3"/>
    <n v="20"/>
    <x v="3"/>
    <n v="8"/>
    <n v="9"/>
    <n v="9"/>
  </r>
  <r>
    <n v="55"/>
    <x v="1"/>
    <s v="Travel_Rarely"/>
    <n v="692"/>
    <x v="1"/>
    <n v="14"/>
    <n v="4"/>
    <s v="Medical"/>
    <n v="254"/>
    <n v="3"/>
    <s v="Male"/>
    <n v="61"/>
    <n v="4"/>
    <n v="5"/>
    <x v="7"/>
    <x v="1"/>
    <s v="Single"/>
    <n v="18722"/>
    <x v="2"/>
    <n v="13339"/>
    <n v="8"/>
    <x v="1"/>
    <n v="11"/>
    <n v="3"/>
    <n v="4"/>
    <n v="0"/>
    <n v="36"/>
    <n v="3"/>
    <n v="3"/>
    <n v="24"/>
    <x v="3"/>
    <n v="15"/>
    <n v="2"/>
    <n v="15"/>
  </r>
  <r>
    <n v="34"/>
    <x v="1"/>
    <s v="Travel_Frequently"/>
    <n v="1069"/>
    <x v="1"/>
    <n v="2"/>
    <n v="1"/>
    <s v="Life Sciences"/>
    <n v="256"/>
    <n v="4"/>
    <s v="Male"/>
    <n v="45"/>
    <n v="2"/>
    <n v="2"/>
    <x v="3"/>
    <x v="2"/>
    <s v="Married"/>
    <n v="9547"/>
    <x v="2"/>
    <n v="14074"/>
    <n v="1"/>
    <x v="1"/>
    <n v="17"/>
    <n v="3"/>
    <n v="3"/>
    <n v="0"/>
    <n v="10"/>
    <n v="2"/>
    <n v="2"/>
    <n v="10"/>
    <x v="0"/>
    <n v="9"/>
    <n v="1"/>
    <n v="9"/>
  </r>
  <r>
    <n v="51"/>
    <x v="1"/>
    <s v="Travel_Rarely"/>
    <n v="313"/>
    <x v="1"/>
    <n v="3"/>
    <n v="3"/>
    <s v="Medical"/>
    <n v="258"/>
    <n v="4"/>
    <s v="Female"/>
    <n v="98"/>
    <n v="3"/>
    <n v="4"/>
    <x v="4"/>
    <x v="1"/>
    <s v="Single"/>
    <n v="13734"/>
    <x v="2"/>
    <n v="7192"/>
    <n v="3"/>
    <x v="1"/>
    <n v="18"/>
    <n v="3"/>
    <n v="3"/>
    <n v="0"/>
    <n v="21"/>
    <n v="6"/>
    <n v="3"/>
    <n v="7"/>
    <x v="0"/>
    <n v="7"/>
    <n v="1"/>
    <n v="0"/>
  </r>
  <r>
    <n v="52"/>
    <x v="1"/>
    <s v="Travel_Rarely"/>
    <n v="699"/>
    <x v="1"/>
    <n v="1"/>
    <n v="4"/>
    <s v="Life Sciences"/>
    <n v="259"/>
    <n v="3"/>
    <s v="Male"/>
    <n v="65"/>
    <n v="2"/>
    <n v="5"/>
    <x v="5"/>
    <x v="2"/>
    <s v="Married"/>
    <n v="19999"/>
    <x v="2"/>
    <n v="5678"/>
    <n v="0"/>
    <x v="1"/>
    <n v="14"/>
    <n v="3"/>
    <n v="1"/>
    <n v="1"/>
    <n v="34"/>
    <n v="5"/>
    <n v="3"/>
    <n v="33"/>
    <x v="3"/>
    <n v="18"/>
    <n v="11"/>
    <n v="9"/>
  </r>
  <r>
    <n v="27"/>
    <x v="1"/>
    <s v="Travel_Rarely"/>
    <n v="894"/>
    <x v="1"/>
    <n v="9"/>
    <n v="3"/>
    <s v="Medical"/>
    <n v="260"/>
    <n v="4"/>
    <s v="Female"/>
    <n v="99"/>
    <n v="3"/>
    <n v="1"/>
    <x v="1"/>
    <x v="1"/>
    <s v="Single"/>
    <n v="2279"/>
    <x v="1"/>
    <n v="11781"/>
    <n v="1"/>
    <x v="1"/>
    <n v="16"/>
    <n v="3"/>
    <n v="4"/>
    <n v="0"/>
    <n v="7"/>
    <n v="2"/>
    <n v="2"/>
    <n v="7"/>
    <x v="0"/>
    <n v="7"/>
    <n v="0"/>
    <n v="3"/>
  </r>
  <r>
    <n v="35"/>
    <x v="0"/>
    <s v="Travel_Rarely"/>
    <n v="556"/>
    <x v="1"/>
    <n v="23"/>
    <n v="2"/>
    <s v="Life Sciences"/>
    <n v="261"/>
    <n v="2"/>
    <s v="Male"/>
    <n v="50"/>
    <n v="2"/>
    <n v="2"/>
    <x v="3"/>
    <x v="2"/>
    <s v="Married"/>
    <n v="5916"/>
    <x v="0"/>
    <n v="15497"/>
    <n v="3"/>
    <x v="0"/>
    <n v="13"/>
    <n v="3"/>
    <n v="1"/>
    <n v="0"/>
    <n v="8"/>
    <n v="1"/>
    <n v="3"/>
    <n v="1"/>
    <x v="1"/>
    <n v="0"/>
    <n v="0"/>
    <n v="1"/>
  </r>
  <r>
    <n v="43"/>
    <x v="1"/>
    <s v="Non-Travel"/>
    <n v="1344"/>
    <x v="1"/>
    <n v="7"/>
    <n v="3"/>
    <s v="Medical"/>
    <n v="262"/>
    <n v="4"/>
    <s v="Male"/>
    <n v="37"/>
    <n v="4"/>
    <n v="1"/>
    <x v="1"/>
    <x v="0"/>
    <s v="Divorced"/>
    <n v="2089"/>
    <x v="1"/>
    <n v="5228"/>
    <n v="4"/>
    <x v="1"/>
    <n v="14"/>
    <n v="3"/>
    <n v="4"/>
    <n v="3"/>
    <n v="7"/>
    <n v="3"/>
    <n v="4"/>
    <n v="5"/>
    <x v="2"/>
    <n v="4"/>
    <n v="2"/>
    <n v="2"/>
  </r>
  <r>
    <n v="45"/>
    <x v="1"/>
    <s v="Non-Travel"/>
    <n v="1195"/>
    <x v="1"/>
    <n v="2"/>
    <n v="2"/>
    <s v="Medical"/>
    <n v="264"/>
    <n v="1"/>
    <s v="Male"/>
    <n v="65"/>
    <n v="2"/>
    <n v="4"/>
    <x v="5"/>
    <x v="0"/>
    <s v="Married"/>
    <n v="16792"/>
    <x v="2"/>
    <n v="20462"/>
    <n v="9"/>
    <x v="1"/>
    <n v="23"/>
    <n v="4"/>
    <n v="4"/>
    <n v="1"/>
    <n v="22"/>
    <n v="1"/>
    <n v="3"/>
    <n v="20"/>
    <x v="3"/>
    <n v="8"/>
    <n v="11"/>
    <n v="8"/>
  </r>
  <r>
    <n v="37"/>
    <x v="1"/>
    <s v="Travel_Rarely"/>
    <n v="290"/>
    <x v="1"/>
    <n v="21"/>
    <n v="3"/>
    <s v="Life Sciences"/>
    <n v="267"/>
    <n v="2"/>
    <s v="Male"/>
    <n v="65"/>
    <n v="4"/>
    <n v="1"/>
    <x v="1"/>
    <x v="3"/>
    <s v="Married"/>
    <n v="3564"/>
    <x v="0"/>
    <n v="22977"/>
    <n v="1"/>
    <x v="0"/>
    <n v="12"/>
    <n v="3"/>
    <n v="1"/>
    <n v="1"/>
    <n v="8"/>
    <n v="3"/>
    <n v="2"/>
    <n v="8"/>
    <x v="0"/>
    <n v="7"/>
    <n v="1"/>
    <n v="7"/>
  </r>
  <r>
    <n v="35"/>
    <x v="1"/>
    <s v="Travel_Frequently"/>
    <n v="138"/>
    <x v="1"/>
    <n v="2"/>
    <n v="3"/>
    <s v="Medical"/>
    <n v="269"/>
    <n v="2"/>
    <s v="Female"/>
    <n v="37"/>
    <n v="3"/>
    <n v="2"/>
    <x v="2"/>
    <x v="1"/>
    <s v="Single"/>
    <n v="4425"/>
    <x v="0"/>
    <n v="15986"/>
    <n v="5"/>
    <x v="1"/>
    <n v="11"/>
    <n v="3"/>
    <n v="4"/>
    <n v="0"/>
    <n v="10"/>
    <n v="5"/>
    <n v="3"/>
    <n v="6"/>
    <x v="0"/>
    <n v="2"/>
    <n v="1"/>
    <n v="2"/>
  </r>
  <r>
    <n v="42"/>
    <x v="1"/>
    <s v="Non-Travel"/>
    <n v="926"/>
    <x v="1"/>
    <n v="21"/>
    <n v="2"/>
    <s v="Medical"/>
    <n v="270"/>
    <n v="3"/>
    <s v="Female"/>
    <n v="36"/>
    <n v="3"/>
    <n v="2"/>
    <x v="3"/>
    <x v="2"/>
    <s v="Divorced"/>
    <n v="5265"/>
    <x v="0"/>
    <n v="16439"/>
    <n v="2"/>
    <x v="1"/>
    <n v="16"/>
    <n v="3"/>
    <n v="2"/>
    <n v="1"/>
    <n v="11"/>
    <n v="5"/>
    <n v="3"/>
    <n v="5"/>
    <x v="2"/>
    <n v="3"/>
    <n v="0"/>
    <n v="2"/>
  </r>
  <r>
    <n v="38"/>
    <x v="1"/>
    <s v="Travel_Rarely"/>
    <n v="1261"/>
    <x v="1"/>
    <n v="2"/>
    <n v="4"/>
    <s v="Life Sciences"/>
    <n v="271"/>
    <n v="4"/>
    <s v="Male"/>
    <n v="88"/>
    <n v="3"/>
    <n v="2"/>
    <x v="3"/>
    <x v="2"/>
    <s v="Married"/>
    <n v="6553"/>
    <x v="0"/>
    <n v="7259"/>
    <n v="9"/>
    <x v="1"/>
    <n v="14"/>
    <n v="3"/>
    <n v="2"/>
    <n v="0"/>
    <n v="14"/>
    <n v="3"/>
    <n v="3"/>
    <n v="1"/>
    <x v="1"/>
    <n v="0"/>
    <n v="0"/>
    <n v="0"/>
  </r>
  <r>
    <n v="38"/>
    <x v="1"/>
    <s v="Travel_Rarely"/>
    <n v="1084"/>
    <x v="1"/>
    <n v="29"/>
    <n v="3"/>
    <s v="Technical Degree"/>
    <n v="273"/>
    <n v="4"/>
    <s v="Male"/>
    <n v="54"/>
    <n v="3"/>
    <n v="2"/>
    <x v="3"/>
    <x v="0"/>
    <s v="Married"/>
    <n v="6261"/>
    <x v="0"/>
    <n v="4185"/>
    <n v="3"/>
    <x v="1"/>
    <n v="18"/>
    <n v="3"/>
    <n v="1"/>
    <n v="1"/>
    <n v="9"/>
    <n v="3"/>
    <n v="1"/>
    <n v="7"/>
    <x v="0"/>
    <n v="7"/>
    <n v="1"/>
    <n v="7"/>
  </r>
  <r>
    <n v="27"/>
    <x v="1"/>
    <s v="Travel_Frequently"/>
    <n v="472"/>
    <x v="1"/>
    <n v="1"/>
    <n v="1"/>
    <s v="Technical Degree"/>
    <n v="274"/>
    <n v="3"/>
    <s v="Male"/>
    <n v="60"/>
    <n v="2"/>
    <n v="2"/>
    <x v="3"/>
    <x v="3"/>
    <s v="Married"/>
    <n v="4298"/>
    <x v="0"/>
    <n v="9679"/>
    <n v="5"/>
    <x v="1"/>
    <n v="19"/>
    <n v="3"/>
    <n v="3"/>
    <n v="1"/>
    <n v="6"/>
    <n v="1"/>
    <n v="3"/>
    <n v="2"/>
    <x v="1"/>
    <n v="2"/>
    <n v="2"/>
    <n v="0"/>
  </r>
  <r>
    <n v="49"/>
    <x v="1"/>
    <s v="Non-Travel"/>
    <n v="1002"/>
    <x v="1"/>
    <n v="18"/>
    <n v="4"/>
    <s v="Life Sciences"/>
    <n v="275"/>
    <n v="4"/>
    <s v="Male"/>
    <n v="92"/>
    <n v="3"/>
    <n v="2"/>
    <x v="3"/>
    <x v="0"/>
    <s v="Divorced"/>
    <n v="6804"/>
    <x v="0"/>
    <n v="23793"/>
    <n v="1"/>
    <x v="0"/>
    <n v="15"/>
    <n v="3"/>
    <n v="1"/>
    <n v="2"/>
    <n v="7"/>
    <n v="0"/>
    <n v="3"/>
    <n v="7"/>
    <x v="0"/>
    <n v="7"/>
    <n v="1"/>
    <n v="7"/>
  </r>
  <r>
    <n v="34"/>
    <x v="1"/>
    <s v="Travel_Frequently"/>
    <n v="878"/>
    <x v="1"/>
    <n v="10"/>
    <n v="4"/>
    <s v="Medical"/>
    <n v="277"/>
    <n v="4"/>
    <s v="Male"/>
    <n v="43"/>
    <n v="3"/>
    <n v="1"/>
    <x v="1"/>
    <x v="2"/>
    <s v="Divorced"/>
    <n v="3815"/>
    <x v="0"/>
    <n v="5972"/>
    <n v="1"/>
    <x v="0"/>
    <n v="17"/>
    <n v="3"/>
    <n v="4"/>
    <n v="1"/>
    <n v="5"/>
    <n v="4"/>
    <n v="4"/>
    <n v="5"/>
    <x v="2"/>
    <n v="3"/>
    <n v="2"/>
    <n v="0"/>
  </r>
  <r>
    <n v="40"/>
    <x v="1"/>
    <s v="Travel_Rarely"/>
    <n v="905"/>
    <x v="1"/>
    <n v="19"/>
    <n v="2"/>
    <s v="Medical"/>
    <n v="281"/>
    <n v="3"/>
    <s v="Male"/>
    <n v="99"/>
    <n v="3"/>
    <n v="2"/>
    <x v="2"/>
    <x v="0"/>
    <s v="Married"/>
    <n v="2741"/>
    <x v="1"/>
    <n v="16523"/>
    <n v="8"/>
    <x v="0"/>
    <n v="15"/>
    <n v="3"/>
    <n v="3"/>
    <n v="1"/>
    <n v="15"/>
    <n v="2"/>
    <n v="4"/>
    <n v="7"/>
    <x v="0"/>
    <n v="2"/>
    <n v="3"/>
    <n v="7"/>
  </r>
  <r>
    <n v="38"/>
    <x v="0"/>
    <s v="Travel_Rarely"/>
    <n v="1180"/>
    <x v="1"/>
    <n v="29"/>
    <n v="1"/>
    <s v="Medical"/>
    <n v="282"/>
    <n v="2"/>
    <s v="Male"/>
    <n v="70"/>
    <n v="3"/>
    <n v="2"/>
    <x v="4"/>
    <x v="3"/>
    <s v="Married"/>
    <n v="6673"/>
    <x v="0"/>
    <n v="11354"/>
    <n v="7"/>
    <x v="0"/>
    <n v="19"/>
    <n v="3"/>
    <n v="2"/>
    <n v="0"/>
    <n v="17"/>
    <n v="2"/>
    <n v="3"/>
    <n v="1"/>
    <x v="1"/>
    <n v="0"/>
    <n v="0"/>
    <n v="0"/>
  </r>
  <r>
    <n v="29"/>
    <x v="0"/>
    <s v="Travel_Rarely"/>
    <n v="121"/>
    <x v="0"/>
    <n v="27"/>
    <n v="3"/>
    <s v="Marketing"/>
    <n v="283"/>
    <n v="2"/>
    <s v="Female"/>
    <n v="35"/>
    <n v="3"/>
    <n v="3"/>
    <x v="0"/>
    <x v="0"/>
    <s v="Married"/>
    <n v="7639"/>
    <x v="2"/>
    <n v="24525"/>
    <n v="1"/>
    <x v="1"/>
    <n v="22"/>
    <n v="4"/>
    <n v="4"/>
    <n v="3"/>
    <n v="10"/>
    <n v="3"/>
    <n v="2"/>
    <n v="10"/>
    <x v="0"/>
    <n v="4"/>
    <n v="1"/>
    <n v="9"/>
  </r>
  <r>
    <n v="22"/>
    <x v="1"/>
    <s v="Travel_Rarely"/>
    <n v="1136"/>
    <x v="1"/>
    <n v="5"/>
    <n v="3"/>
    <s v="Life Sciences"/>
    <n v="284"/>
    <n v="4"/>
    <s v="Male"/>
    <n v="60"/>
    <n v="4"/>
    <n v="1"/>
    <x v="1"/>
    <x v="1"/>
    <s v="Divorced"/>
    <n v="2328"/>
    <x v="1"/>
    <n v="12392"/>
    <n v="1"/>
    <x v="0"/>
    <n v="16"/>
    <n v="3"/>
    <n v="1"/>
    <n v="1"/>
    <n v="4"/>
    <n v="2"/>
    <n v="2"/>
    <n v="4"/>
    <x v="2"/>
    <n v="2"/>
    <n v="2"/>
    <n v="2"/>
  </r>
  <r>
    <n v="36"/>
    <x v="1"/>
    <s v="Travel_Frequently"/>
    <n v="635"/>
    <x v="1"/>
    <n v="18"/>
    <n v="1"/>
    <s v="Medical"/>
    <n v="286"/>
    <n v="2"/>
    <s v="Female"/>
    <n v="73"/>
    <n v="3"/>
    <n v="1"/>
    <x v="2"/>
    <x v="0"/>
    <s v="Single"/>
    <n v="2153"/>
    <x v="1"/>
    <n v="7703"/>
    <n v="1"/>
    <x v="1"/>
    <n v="13"/>
    <n v="3"/>
    <n v="1"/>
    <n v="0"/>
    <n v="8"/>
    <n v="2"/>
    <n v="3"/>
    <n v="8"/>
    <x v="0"/>
    <n v="1"/>
    <n v="1"/>
    <n v="7"/>
  </r>
  <r>
    <n v="40"/>
    <x v="1"/>
    <s v="Non-Travel"/>
    <n v="1151"/>
    <x v="1"/>
    <n v="9"/>
    <n v="5"/>
    <s v="Life Sciences"/>
    <n v="287"/>
    <n v="4"/>
    <s v="Male"/>
    <n v="63"/>
    <n v="2"/>
    <n v="2"/>
    <x v="4"/>
    <x v="0"/>
    <s v="Married"/>
    <n v="4876"/>
    <x v="0"/>
    <n v="14242"/>
    <n v="9"/>
    <x v="1"/>
    <n v="14"/>
    <n v="3"/>
    <n v="4"/>
    <n v="1"/>
    <n v="5"/>
    <n v="5"/>
    <n v="1"/>
    <n v="3"/>
    <x v="2"/>
    <n v="2"/>
    <n v="0"/>
    <n v="2"/>
  </r>
  <r>
    <n v="46"/>
    <x v="1"/>
    <s v="Travel_Rarely"/>
    <n v="644"/>
    <x v="1"/>
    <n v="1"/>
    <n v="4"/>
    <s v="Medical"/>
    <n v="288"/>
    <n v="4"/>
    <s v="Male"/>
    <n v="97"/>
    <n v="3"/>
    <n v="3"/>
    <x v="4"/>
    <x v="3"/>
    <s v="Divorced"/>
    <n v="9396"/>
    <x v="2"/>
    <n v="12368"/>
    <n v="7"/>
    <x v="1"/>
    <n v="16"/>
    <n v="3"/>
    <n v="3"/>
    <n v="1"/>
    <n v="17"/>
    <n v="3"/>
    <n v="3"/>
    <n v="4"/>
    <x v="2"/>
    <n v="2"/>
    <n v="0"/>
    <n v="3"/>
  </r>
  <r>
    <n v="32"/>
    <x v="0"/>
    <s v="Travel_Rarely"/>
    <n v="1045"/>
    <x v="0"/>
    <n v="4"/>
    <n v="4"/>
    <s v="Medical"/>
    <n v="291"/>
    <n v="4"/>
    <s v="Male"/>
    <n v="32"/>
    <n v="1"/>
    <n v="3"/>
    <x v="0"/>
    <x v="0"/>
    <s v="Married"/>
    <n v="10400"/>
    <x v="2"/>
    <n v="25812"/>
    <n v="1"/>
    <x v="1"/>
    <n v="11"/>
    <n v="3"/>
    <n v="3"/>
    <n v="0"/>
    <n v="14"/>
    <n v="2"/>
    <n v="2"/>
    <n v="14"/>
    <x v="3"/>
    <n v="8"/>
    <n v="9"/>
    <n v="8"/>
  </r>
  <r>
    <n v="30"/>
    <x v="1"/>
    <s v="Non-Travel"/>
    <n v="829"/>
    <x v="1"/>
    <n v="1"/>
    <n v="1"/>
    <s v="Life Sciences"/>
    <n v="292"/>
    <n v="3"/>
    <s v="Male"/>
    <n v="88"/>
    <n v="2"/>
    <n v="3"/>
    <x v="3"/>
    <x v="2"/>
    <s v="Single"/>
    <n v="8474"/>
    <x v="2"/>
    <n v="20925"/>
    <n v="1"/>
    <x v="1"/>
    <n v="22"/>
    <n v="4"/>
    <n v="3"/>
    <n v="0"/>
    <n v="12"/>
    <n v="2"/>
    <n v="3"/>
    <n v="11"/>
    <x v="3"/>
    <n v="8"/>
    <n v="5"/>
    <n v="8"/>
  </r>
  <r>
    <n v="27"/>
    <x v="1"/>
    <s v="Travel_Frequently"/>
    <n v="1242"/>
    <x v="0"/>
    <n v="20"/>
    <n v="3"/>
    <s v="Life Sciences"/>
    <n v="293"/>
    <n v="4"/>
    <s v="Female"/>
    <n v="90"/>
    <n v="3"/>
    <n v="2"/>
    <x v="0"/>
    <x v="2"/>
    <s v="Single"/>
    <n v="9981"/>
    <x v="2"/>
    <n v="12916"/>
    <n v="1"/>
    <x v="1"/>
    <n v="14"/>
    <n v="3"/>
    <n v="4"/>
    <n v="0"/>
    <n v="7"/>
    <n v="2"/>
    <n v="3"/>
    <n v="7"/>
    <x v="0"/>
    <n v="7"/>
    <n v="0"/>
    <n v="7"/>
  </r>
  <r>
    <n v="51"/>
    <x v="1"/>
    <s v="Travel_Rarely"/>
    <n v="1469"/>
    <x v="1"/>
    <n v="8"/>
    <n v="4"/>
    <s v="Life Sciences"/>
    <n v="296"/>
    <n v="2"/>
    <s v="Male"/>
    <n v="81"/>
    <n v="2"/>
    <n v="3"/>
    <x v="7"/>
    <x v="1"/>
    <s v="Married"/>
    <n v="12490"/>
    <x v="2"/>
    <n v="15736"/>
    <n v="5"/>
    <x v="1"/>
    <n v="16"/>
    <n v="3"/>
    <n v="4"/>
    <n v="2"/>
    <n v="16"/>
    <n v="5"/>
    <n v="1"/>
    <n v="10"/>
    <x v="0"/>
    <n v="9"/>
    <n v="4"/>
    <n v="7"/>
  </r>
  <r>
    <n v="30"/>
    <x v="0"/>
    <s v="Travel_Rarely"/>
    <n v="1005"/>
    <x v="1"/>
    <n v="3"/>
    <n v="3"/>
    <s v="Technical Degree"/>
    <n v="297"/>
    <n v="4"/>
    <s v="Female"/>
    <n v="88"/>
    <n v="3"/>
    <n v="1"/>
    <x v="1"/>
    <x v="3"/>
    <s v="Single"/>
    <n v="2657"/>
    <x v="1"/>
    <n v="8556"/>
    <n v="5"/>
    <x v="0"/>
    <n v="11"/>
    <n v="3"/>
    <n v="3"/>
    <n v="0"/>
    <n v="8"/>
    <n v="5"/>
    <n v="3"/>
    <n v="5"/>
    <x v="2"/>
    <n v="2"/>
    <n v="0"/>
    <n v="4"/>
  </r>
  <r>
    <n v="41"/>
    <x v="1"/>
    <s v="Travel_Rarely"/>
    <n v="896"/>
    <x v="0"/>
    <n v="6"/>
    <n v="3"/>
    <s v="Life Sciences"/>
    <n v="298"/>
    <n v="4"/>
    <s v="Female"/>
    <n v="75"/>
    <n v="3"/>
    <n v="3"/>
    <x v="5"/>
    <x v="0"/>
    <s v="Single"/>
    <n v="13591"/>
    <x v="2"/>
    <n v="14674"/>
    <n v="3"/>
    <x v="0"/>
    <n v="18"/>
    <n v="3"/>
    <n v="3"/>
    <n v="0"/>
    <n v="16"/>
    <n v="3"/>
    <n v="3"/>
    <n v="1"/>
    <x v="1"/>
    <n v="0"/>
    <n v="0"/>
    <n v="0"/>
  </r>
  <r>
    <n v="30"/>
    <x v="0"/>
    <s v="Travel_Frequently"/>
    <n v="334"/>
    <x v="0"/>
    <n v="26"/>
    <n v="4"/>
    <s v="Marketing"/>
    <n v="299"/>
    <n v="3"/>
    <s v="Female"/>
    <n v="52"/>
    <n v="2"/>
    <n v="2"/>
    <x v="0"/>
    <x v="3"/>
    <s v="Single"/>
    <n v="6696"/>
    <x v="0"/>
    <n v="22967"/>
    <n v="5"/>
    <x v="1"/>
    <n v="15"/>
    <n v="3"/>
    <n v="3"/>
    <n v="0"/>
    <n v="9"/>
    <n v="5"/>
    <n v="2"/>
    <n v="6"/>
    <x v="0"/>
    <n v="3"/>
    <n v="0"/>
    <n v="1"/>
  </r>
  <r>
    <n v="29"/>
    <x v="0"/>
    <s v="Travel_Rarely"/>
    <n v="992"/>
    <x v="1"/>
    <n v="1"/>
    <n v="3"/>
    <s v="Technical Degree"/>
    <n v="300"/>
    <n v="3"/>
    <s v="Male"/>
    <n v="85"/>
    <n v="3"/>
    <n v="1"/>
    <x v="1"/>
    <x v="2"/>
    <s v="Single"/>
    <n v="2058"/>
    <x v="1"/>
    <n v="19757"/>
    <n v="0"/>
    <x v="1"/>
    <n v="14"/>
    <n v="3"/>
    <n v="4"/>
    <n v="0"/>
    <n v="7"/>
    <n v="1"/>
    <n v="2"/>
    <n v="6"/>
    <x v="0"/>
    <n v="2"/>
    <n v="1"/>
    <n v="5"/>
  </r>
  <r>
    <n v="45"/>
    <x v="1"/>
    <s v="Non-Travel"/>
    <n v="1052"/>
    <x v="0"/>
    <n v="6"/>
    <n v="3"/>
    <s v="Medical"/>
    <n v="302"/>
    <n v="4"/>
    <s v="Female"/>
    <n v="57"/>
    <n v="2"/>
    <n v="3"/>
    <x v="0"/>
    <x v="0"/>
    <s v="Single"/>
    <n v="8865"/>
    <x v="2"/>
    <n v="16840"/>
    <n v="6"/>
    <x v="1"/>
    <n v="12"/>
    <n v="3"/>
    <n v="4"/>
    <n v="0"/>
    <n v="23"/>
    <n v="2"/>
    <n v="3"/>
    <n v="19"/>
    <x v="3"/>
    <n v="7"/>
    <n v="12"/>
    <n v="8"/>
  </r>
  <r>
    <n v="54"/>
    <x v="1"/>
    <s v="Travel_Rarely"/>
    <n v="1147"/>
    <x v="0"/>
    <n v="3"/>
    <n v="3"/>
    <s v="Marketing"/>
    <n v="303"/>
    <n v="4"/>
    <s v="Female"/>
    <n v="52"/>
    <n v="3"/>
    <n v="2"/>
    <x v="0"/>
    <x v="3"/>
    <s v="Married"/>
    <n v="5940"/>
    <x v="0"/>
    <n v="17011"/>
    <n v="2"/>
    <x v="1"/>
    <n v="14"/>
    <n v="3"/>
    <n v="4"/>
    <n v="1"/>
    <n v="16"/>
    <n v="4"/>
    <n v="3"/>
    <n v="6"/>
    <x v="0"/>
    <n v="2"/>
    <n v="0"/>
    <n v="5"/>
  </r>
  <r>
    <n v="36"/>
    <x v="1"/>
    <s v="Travel_Rarely"/>
    <n v="1396"/>
    <x v="1"/>
    <n v="5"/>
    <n v="2"/>
    <s v="Life Sciences"/>
    <n v="304"/>
    <n v="4"/>
    <s v="Male"/>
    <n v="62"/>
    <n v="3"/>
    <n v="2"/>
    <x v="2"/>
    <x v="1"/>
    <s v="Single"/>
    <n v="5914"/>
    <x v="0"/>
    <n v="9945"/>
    <n v="8"/>
    <x v="1"/>
    <n v="16"/>
    <n v="3"/>
    <n v="4"/>
    <n v="0"/>
    <n v="16"/>
    <n v="3"/>
    <n v="4"/>
    <n v="13"/>
    <x v="3"/>
    <n v="11"/>
    <n v="3"/>
    <n v="7"/>
  </r>
  <r>
    <n v="33"/>
    <x v="1"/>
    <s v="Travel_Rarely"/>
    <n v="147"/>
    <x v="1"/>
    <n v="4"/>
    <n v="4"/>
    <s v="Medical"/>
    <n v="305"/>
    <n v="3"/>
    <s v="Female"/>
    <n v="47"/>
    <n v="2"/>
    <n v="1"/>
    <x v="1"/>
    <x v="1"/>
    <s v="Married"/>
    <n v="2622"/>
    <x v="1"/>
    <n v="13248"/>
    <n v="6"/>
    <x v="1"/>
    <n v="21"/>
    <n v="4"/>
    <n v="4"/>
    <n v="0"/>
    <n v="7"/>
    <n v="3"/>
    <n v="3"/>
    <n v="3"/>
    <x v="2"/>
    <n v="2"/>
    <n v="1"/>
    <n v="1"/>
  </r>
  <r>
    <n v="37"/>
    <x v="1"/>
    <s v="Travel_Frequently"/>
    <n v="663"/>
    <x v="1"/>
    <n v="11"/>
    <n v="3"/>
    <s v="Other"/>
    <n v="306"/>
    <n v="2"/>
    <s v="Male"/>
    <n v="47"/>
    <n v="3"/>
    <n v="3"/>
    <x v="7"/>
    <x v="0"/>
    <s v="Divorced"/>
    <n v="12185"/>
    <x v="2"/>
    <n v="10056"/>
    <n v="1"/>
    <x v="0"/>
    <n v="14"/>
    <n v="3"/>
    <n v="3"/>
    <n v="3"/>
    <n v="10"/>
    <n v="1"/>
    <n v="3"/>
    <n v="10"/>
    <x v="0"/>
    <n v="8"/>
    <n v="0"/>
    <n v="7"/>
  </r>
  <r>
    <n v="38"/>
    <x v="1"/>
    <s v="Travel_Rarely"/>
    <n v="119"/>
    <x v="0"/>
    <n v="3"/>
    <n v="3"/>
    <s v="Life Sciences"/>
    <n v="307"/>
    <n v="1"/>
    <s v="Male"/>
    <n v="76"/>
    <n v="3"/>
    <n v="3"/>
    <x v="0"/>
    <x v="2"/>
    <s v="Divorced"/>
    <n v="10609"/>
    <x v="2"/>
    <n v="9647"/>
    <n v="0"/>
    <x v="1"/>
    <n v="12"/>
    <n v="3"/>
    <n v="3"/>
    <n v="2"/>
    <n v="17"/>
    <n v="6"/>
    <n v="2"/>
    <n v="16"/>
    <x v="3"/>
    <n v="10"/>
    <n v="5"/>
    <n v="13"/>
  </r>
  <r>
    <n v="31"/>
    <x v="1"/>
    <s v="Non-Travel"/>
    <n v="979"/>
    <x v="1"/>
    <n v="1"/>
    <n v="4"/>
    <s v="Medical"/>
    <n v="308"/>
    <n v="3"/>
    <s v="Male"/>
    <n v="90"/>
    <n v="1"/>
    <n v="2"/>
    <x v="3"/>
    <x v="2"/>
    <s v="Married"/>
    <n v="4345"/>
    <x v="0"/>
    <n v="4381"/>
    <n v="0"/>
    <x v="1"/>
    <n v="12"/>
    <n v="3"/>
    <n v="4"/>
    <n v="1"/>
    <n v="6"/>
    <n v="2"/>
    <n v="3"/>
    <n v="5"/>
    <x v="2"/>
    <n v="4"/>
    <n v="1"/>
    <n v="4"/>
  </r>
  <r>
    <n v="59"/>
    <x v="1"/>
    <s v="Travel_Rarely"/>
    <n v="142"/>
    <x v="1"/>
    <n v="3"/>
    <n v="3"/>
    <s v="Life Sciences"/>
    <n v="309"/>
    <n v="3"/>
    <s v="Male"/>
    <n v="70"/>
    <n v="2"/>
    <n v="1"/>
    <x v="1"/>
    <x v="0"/>
    <s v="Married"/>
    <n v="2177"/>
    <x v="1"/>
    <n v="8456"/>
    <n v="3"/>
    <x v="1"/>
    <n v="17"/>
    <n v="3"/>
    <n v="1"/>
    <n v="1"/>
    <n v="7"/>
    <n v="6"/>
    <n v="3"/>
    <n v="1"/>
    <x v="1"/>
    <n v="0"/>
    <n v="0"/>
    <n v="0"/>
  </r>
  <r>
    <n v="37"/>
    <x v="1"/>
    <s v="Travel_Frequently"/>
    <n v="319"/>
    <x v="0"/>
    <n v="4"/>
    <n v="4"/>
    <s v="Marketing"/>
    <n v="311"/>
    <n v="1"/>
    <s v="Male"/>
    <n v="41"/>
    <n v="3"/>
    <n v="1"/>
    <x v="6"/>
    <x v="0"/>
    <s v="Divorced"/>
    <n v="2793"/>
    <x v="1"/>
    <n v="2539"/>
    <n v="4"/>
    <x v="1"/>
    <n v="17"/>
    <n v="3"/>
    <n v="3"/>
    <n v="1"/>
    <n v="13"/>
    <n v="2"/>
    <n v="3"/>
    <n v="9"/>
    <x v="0"/>
    <n v="8"/>
    <n v="5"/>
    <n v="8"/>
  </r>
  <r>
    <n v="29"/>
    <x v="1"/>
    <s v="Travel_Frequently"/>
    <n v="1413"/>
    <x v="0"/>
    <n v="1"/>
    <n v="1"/>
    <s v="Medical"/>
    <n v="312"/>
    <n v="2"/>
    <s v="Female"/>
    <n v="42"/>
    <n v="3"/>
    <n v="3"/>
    <x v="0"/>
    <x v="0"/>
    <s v="Married"/>
    <n v="7918"/>
    <x v="2"/>
    <n v="6599"/>
    <n v="1"/>
    <x v="1"/>
    <n v="14"/>
    <n v="3"/>
    <n v="4"/>
    <n v="1"/>
    <n v="11"/>
    <n v="5"/>
    <n v="3"/>
    <n v="11"/>
    <x v="3"/>
    <n v="10"/>
    <n v="4"/>
    <n v="1"/>
  </r>
  <r>
    <n v="35"/>
    <x v="1"/>
    <s v="Travel_Frequently"/>
    <n v="944"/>
    <x v="0"/>
    <n v="1"/>
    <n v="3"/>
    <s v="Marketing"/>
    <n v="314"/>
    <n v="3"/>
    <s v="Female"/>
    <n v="92"/>
    <n v="3"/>
    <n v="3"/>
    <x v="0"/>
    <x v="2"/>
    <s v="Single"/>
    <n v="8789"/>
    <x v="2"/>
    <n v="9096"/>
    <n v="1"/>
    <x v="1"/>
    <n v="14"/>
    <n v="3"/>
    <n v="1"/>
    <n v="0"/>
    <n v="10"/>
    <n v="3"/>
    <n v="4"/>
    <n v="10"/>
    <x v="0"/>
    <n v="7"/>
    <n v="0"/>
    <n v="8"/>
  </r>
  <r>
    <n v="29"/>
    <x v="0"/>
    <s v="Travel_Rarely"/>
    <n v="896"/>
    <x v="1"/>
    <n v="18"/>
    <n v="1"/>
    <s v="Medical"/>
    <n v="315"/>
    <n v="3"/>
    <s v="Male"/>
    <n v="86"/>
    <n v="2"/>
    <n v="1"/>
    <x v="1"/>
    <x v="0"/>
    <s v="Single"/>
    <n v="2389"/>
    <x v="1"/>
    <n v="14961"/>
    <n v="1"/>
    <x v="0"/>
    <n v="13"/>
    <n v="3"/>
    <n v="3"/>
    <n v="0"/>
    <n v="4"/>
    <n v="3"/>
    <n v="2"/>
    <n v="4"/>
    <x v="2"/>
    <n v="3"/>
    <n v="0"/>
    <n v="1"/>
  </r>
  <r>
    <n v="52"/>
    <x v="1"/>
    <s v="Travel_Rarely"/>
    <n v="1323"/>
    <x v="1"/>
    <n v="2"/>
    <n v="3"/>
    <s v="Life Sciences"/>
    <n v="316"/>
    <n v="3"/>
    <s v="Female"/>
    <n v="89"/>
    <n v="2"/>
    <n v="1"/>
    <x v="2"/>
    <x v="0"/>
    <s v="Single"/>
    <n v="3212"/>
    <x v="0"/>
    <n v="3300"/>
    <n v="7"/>
    <x v="1"/>
    <n v="15"/>
    <n v="3"/>
    <n v="2"/>
    <n v="0"/>
    <n v="6"/>
    <n v="3"/>
    <n v="2"/>
    <n v="2"/>
    <x v="1"/>
    <n v="2"/>
    <n v="2"/>
    <n v="2"/>
  </r>
  <r>
    <n v="42"/>
    <x v="1"/>
    <s v="Travel_Rarely"/>
    <n v="532"/>
    <x v="1"/>
    <n v="4"/>
    <n v="2"/>
    <s v="Technical Degree"/>
    <n v="319"/>
    <n v="3"/>
    <s v="Male"/>
    <n v="58"/>
    <n v="3"/>
    <n v="5"/>
    <x v="5"/>
    <x v="0"/>
    <s v="Married"/>
    <n v="19232"/>
    <x v="2"/>
    <n v="4933"/>
    <n v="1"/>
    <x v="1"/>
    <n v="11"/>
    <n v="3"/>
    <n v="4"/>
    <n v="0"/>
    <n v="22"/>
    <n v="3"/>
    <n v="3"/>
    <n v="22"/>
    <x v="3"/>
    <n v="17"/>
    <n v="11"/>
    <n v="15"/>
  </r>
  <r>
    <n v="59"/>
    <x v="1"/>
    <s v="Travel_Rarely"/>
    <n v="818"/>
    <x v="2"/>
    <n v="6"/>
    <n v="2"/>
    <s v="Medical"/>
    <n v="321"/>
    <n v="2"/>
    <s v="Male"/>
    <n v="52"/>
    <n v="3"/>
    <n v="1"/>
    <x v="8"/>
    <x v="2"/>
    <s v="Married"/>
    <n v="2267"/>
    <x v="1"/>
    <n v="25657"/>
    <n v="8"/>
    <x v="1"/>
    <n v="17"/>
    <n v="3"/>
    <n v="4"/>
    <n v="0"/>
    <n v="7"/>
    <n v="2"/>
    <n v="2"/>
    <n v="2"/>
    <x v="1"/>
    <n v="2"/>
    <n v="2"/>
    <n v="2"/>
  </r>
  <r>
    <n v="50"/>
    <x v="1"/>
    <s v="Travel_Rarely"/>
    <n v="854"/>
    <x v="0"/>
    <n v="1"/>
    <n v="4"/>
    <s v="Medical"/>
    <n v="323"/>
    <n v="4"/>
    <s v="Female"/>
    <n v="68"/>
    <n v="3"/>
    <n v="5"/>
    <x v="5"/>
    <x v="0"/>
    <s v="Divorced"/>
    <n v="19517"/>
    <x v="2"/>
    <n v="24118"/>
    <n v="3"/>
    <x v="1"/>
    <n v="11"/>
    <n v="3"/>
    <n v="3"/>
    <n v="1"/>
    <n v="32"/>
    <n v="3"/>
    <n v="2"/>
    <n v="7"/>
    <x v="0"/>
    <n v="0"/>
    <n v="0"/>
    <n v="6"/>
  </r>
  <r>
    <n v="33"/>
    <x v="0"/>
    <s v="Travel_Rarely"/>
    <n v="813"/>
    <x v="1"/>
    <n v="14"/>
    <n v="3"/>
    <s v="Medical"/>
    <n v="325"/>
    <n v="3"/>
    <s v="Male"/>
    <n v="58"/>
    <n v="3"/>
    <n v="1"/>
    <x v="2"/>
    <x v="0"/>
    <s v="Married"/>
    <n v="2436"/>
    <x v="1"/>
    <n v="22149"/>
    <n v="5"/>
    <x v="0"/>
    <n v="13"/>
    <n v="3"/>
    <n v="3"/>
    <n v="1"/>
    <n v="8"/>
    <n v="2"/>
    <n v="1"/>
    <n v="5"/>
    <x v="2"/>
    <n v="4"/>
    <n v="0"/>
    <n v="4"/>
  </r>
  <r>
    <n v="43"/>
    <x v="1"/>
    <s v="Travel_Rarely"/>
    <n v="1034"/>
    <x v="0"/>
    <n v="16"/>
    <n v="3"/>
    <s v="Marketing"/>
    <n v="327"/>
    <n v="4"/>
    <s v="Female"/>
    <n v="80"/>
    <n v="3"/>
    <n v="4"/>
    <x v="5"/>
    <x v="0"/>
    <s v="Married"/>
    <n v="16064"/>
    <x v="2"/>
    <n v="7744"/>
    <n v="5"/>
    <x v="0"/>
    <n v="22"/>
    <n v="4"/>
    <n v="3"/>
    <n v="1"/>
    <n v="22"/>
    <n v="3"/>
    <n v="3"/>
    <n v="17"/>
    <x v="3"/>
    <n v="13"/>
    <n v="1"/>
    <n v="9"/>
  </r>
  <r>
    <n v="33"/>
    <x v="0"/>
    <s v="Travel_Rarely"/>
    <n v="465"/>
    <x v="1"/>
    <n v="2"/>
    <n v="2"/>
    <s v="Life Sciences"/>
    <n v="328"/>
    <n v="1"/>
    <s v="Female"/>
    <n v="39"/>
    <n v="3"/>
    <n v="1"/>
    <x v="2"/>
    <x v="3"/>
    <s v="Married"/>
    <n v="2707"/>
    <x v="1"/>
    <n v="21509"/>
    <n v="7"/>
    <x v="1"/>
    <n v="20"/>
    <n v="4"/>
    <n v="1"/>
    <n v="0"/>
    <n v="13"/>
    <n v="3"/>
    <n v="4"/>
    <n v="9"/>
    <x v="0"/>
    <n v="7"/>
    <n v="1"/>
    <n v="7"/>
  </r>
  <r>
    <n v="52"/>
    <x v="1"/>
    <s v="Non-Travel"/>
    <n v="771"/>
    <x v="0"/>
    <n v="2"/>
    <n v="4"/>
    <s v="Life Sciences"/>
    <n v="329"/>
    <n v="1"/>
    <s v="Male"/>
    <n v="79"/>
    <n v="2"/>
    <n v="5"/>
    <x v="5"/>
    <x v="2"/>
    <s v="Single"/>
    <n v="19068"/>
    <x v="2"/>
    <n v="21030"/>
    <n v="1"/>
    <x v="0"/>
    <n v="18"/>
    <n v="3"/>
    <n v="4"/>
    <n v="0"/>
    <n v="33"/>
    <n v="2"/>
    <n v="4"/>
    <n v="33"/>
    <x v="3"/>
    <n v="7"/>
    <n v="15"/>
    <n v="12"/>
  </r>
  <r>
    <n v="32"/>
    <x v="1"/>
    <s v="Travel_Rarely"/>
    <n v="1401"/>
    <x v="0"/>
    <n v="4"/>
    <n v="2"/>
    <s v="Life Sciences"/>
    <n v="330"/>
    <n v="3"/>
    <s v="Female"/>
    <n v="56"/>
    <n v="3"/>
    <n v="1"/>
    <x v="6"/>
    <x v="1"/>
    <s v="Married"/>
    <n v="3931"/>
    <x v="0"/>
    <n v="20990"/>
    <n v="2"/>
    <x v="1"/>
    <n v="11"/>
    <n v="3"/>
    <n v="1"/>
    <n v="1"/>
    <n v="6"/>
    <n v="5"/>
    <n v="3"/>
    <n v="4"/>
    <x v="2"/>
    <n v="3"/>
    <n v="1"/>
    <n v="2"/>
  </r>
  <r>
    <n v="32"/>
    <x v="0"/>
    <s v="Travel_Rarely"/>
    <n v="515"/>
    <x v="1"/>
    <n v="1"/>
    <n v="3"/>
    <s v="Life Sciences"/>
    <n v="331"/>
    <n v="4"/>
    <s v="Male"/>
    <n v="62"/>
    <n v="2"/>
    <n v="1"/>
    <x v="2"/>
    <x v="2"/>
    <s v="Single"/>
    <n v="3730"/>
    <x v="0"/>
    <n v="9571"/>
    <n v="0"/>
    <x v="0"/>
    <n v="14"/>
    <n v="3"/>
    <n v="4"/>
    <n v="0"/>
    <n v="4"/>
    <n v="2"/>
    <n v="1"/>
    <n v="3"/>
    <x v="2"/>
    <n v="2"/>
    <n v="1"/>
    <n v="2"/>
  </r>
  <r>
    <n v="39"/>
    <x v="1"/>
    <s v="Travel_Rarely"/>
    <n v="1431"/>
    <x v="1"/>
    <n v="1"/>
    <n v="4"/>
    <s v="Medical"/>
    <n v="332"/>
    <n v="3"/>
    <s v="Female"/>
    <n v="96"/>
    <n v="3"/>
    <n v="1"/>
    <x v="2"/>
    <x v="2"/>
    <s v="Divorced"/>
    <n v="2232"/>
    <x v="1"/>
    <n v="15417"/>
    <n v="7"/>
    <x v="1"/>
    <n v="14"/>
    <n v="3"/>
    <n v="3"/>
    <n v="3"/>
    <n v="7"/>
    <n v="1"/>
    <n v="3"/>
    <n v="3"/>
    <x v="2"/>
    <n v="2"/>
    <n v="1"/>
    <n v="2"/>
  </r>
  <r>
    <n v="32"/>
    <x v="1"/>
    <s v="Non-Travel"/>
    <n v="976"/>
    <x v="0"/>
    <n v="26"/>
    <n v="4"/>
    <s v="Marketing"/>
    <n v="333"/>
    <n v="3"/>
    <s v="Male"/>
    <n v="100"/>
    <n v="3"/>
    <n v="2"/>
    <x v="0"/>
    <x v="0"/>
    <s v="Married"/>
    <n v="4465"/>
    <x v="0"/>
    <n v="12069"/>
    <n v="0"/>
    <x v="1"/>
    <n v="18"/>
    <n v="3"/>
    <n v="1"/>
    <n v="0"/>
    <n v="4"/>
    <n v="2"/>
    <n v="3"/>
    <n v="3"/>
    <x v="2"/>
    <n v="2"/>
    <n v="2"/>
    <n v="2"/>
  </r>
  <r>
    <n v="41"/>
    <x v="1"/>
    <s v="Travel_Rarely"/>
    <n v="1411"/>
    <x v="1"/>
    <n v="19"/>
    <n v="2"/>
    <s v="Life Sciences"/>
    <n v="334"/>
    <n v="3"/>
    <s v="Male"/>
    <n v="36"/>
    <n v="3"/>
    <n v="2"/>
    <x v="1"/>
    <x v="3"/>
    <s v="Divorced"/>
    <n v="3072"/>
    <x v="0"/>
    <n v="19877"/>
    <n v="2"/>
    <x v="1"/>
    <n v="16"/>
    <n v="3"/>
    <n v="1"/>
    <n v="2"/>
    <n v="17"/>
    <n v="2"/>
    <n v="2"/>
    <n v="1"/>
    <x v="1"/>
    <n v="0"/>
    <n v="0"/>
    <n v="0"/>
  </r>
  <r>
    <n v="40"/>
    <x v="1"/>
    <s v="Travel_Rarely"/>
    <n v="1300"/>
    <x v="1"/>
    <n v="24"/>
    <n v="2"/>
    <s v="Technical Degree"/>
    <n v="335"/>
    <n v="1"/>
    <s v="Male"/>
    <n v="62"/>
    <n v="3"/>
    <n v="2"/>
    <x v="1"/>
    <x v="0"/>
    <s v="Divorced"/>
    <n v="3319"/>
    <x v="0"/>
    <n v="24447"/>
    <n v="1"/>
    <x v="1"/>
    <n v="17"/>
    <n v="3"/>
    <n v="1"/>
    <n v="2"/>
    <n v="9"/>
    <n v="3"/>
    <n v="3"/>
    <n v="9"/>
    <x v="0"/>
    <n v="8"/>
    <n v="4"/>
    <n v="7"/>
  </r>
  <r>
    <n v="45"/>
    <x v="1"/>
    <s v="Travel_Rarely"/>
    <n v="252"/>
    <x v="1"/>
    <n v="1"/>
    <n v="3"/>
    <s v="Other"/>
    <n v="336"/>
    <n v="3"/>
    <s v="Male"/>
    <n v="70"/>
    <n v="4"/>
    <n v="5"/>
    <x v="5"/>
    <x v="0"/>
    <s v="Married"/>
    <n v="19202"/>
    <x v="2"/>
    <n v="15970"/>
    <n v="0"/>
    <x v="1"/>
    <n v="11"/>
    <n v="3"/>
    <n v="3"/>
    <n v="1"/>
    <n v="25"/>
    <n v="2"/>
    <n v="3"/>
    <n v="24"/>
    <x v="3"/>
    <n v="0"/>
    <n v="1"/>
    <n v="7"/>
  </r>
  <r>
    <n v="31"/>
    <x v="1"/>
    <s v="Travel_Frequently"/>
    <n v="1327"/>
    <x v="1"/>
    <n v="3"/>
    <n v="4"/>
    <s v="Medical"/>
    <n v="337"/>
    <n v="2"/>
    <s v="Male"/>
    <n v="73"/>
    <n v="3"/>
    <n v="3"/>
    <x v="7"/>
    <x v="2"/>
    <s v="Divorced"/>
    <n v="13675"/>
    <x v="2"/>
    <n v="13523"/>
    <n v="9"/>
    <x v="1"/>
    <n v="12"/>
    <n v="3"/>
    <n v="1"/>
    <n v="1"/>
    <n v="9"/>
    <n v="3"/>
    <n v="3"/>
    <n v="2"/>
    <x v="1"/>
    <n v="2"/>
    <n v="2"/>
    <n v="2"/>
  </r>
  <r>
    <n v="33"/>
    <x v="1"/>
    <s v="Travel_Rarely"/>
    <n v="832"/>
    <x v="1"/>
    <n v="5"/>
    <n v="4"/>
    <s v="Life Sciences"/>
    <n v="338"/>
    <n v="3"/>
    <s v="Female"/>
    <n v="63"/>
    <n v="2"/>
    <n v="1"/>
    <x v="1"/>
    <x v="0"/>
    <s v="Married"/>
    <n v="2911"/>
    <x v="1"/>
    <n v="14776"/>
    <n v="1"/>
    <x v="1"/>
    <n v="13"/>
    <n v="3"/>
    <n v="3"/>
    <n v="1"/>
    <n v="2"/>
    <n v="2"/>
    <n v="2"/>
    <n v="2"/>
    <x v="1"/>
    <n v="2"/>
    <n v="0"/>
    <n v="2"/>
  </r>
  <r>
    <n v="34"/>
    <x v="1"/>
    <s v="Travel_Rarely"/>
    <n v="470"/>
    <x v="1"/>
    <n v="2"/>
    <n v="4"/>
    <s v="Life Sciences"/>
    <n v="339"/>
    <n v="4"/>
    <s v="Male"/>
    <n v="84"/>
    <n v="2"/>
    <n v="2"/>
    <x v="3"/>
    <x v="3"/>
    <s v="Married"/>
    <n v="5957"/>
    <x v="0"/>
    <n v="23687"/>
    <n v="6"/>
    <x v="1"/>
    <n v="13"/>
    <n v="3"/>
    <n v="2"/>
    <n v="1"/>
    <n v="13"/>
    <n v="3"/>
    <n v="3"/>
    <n v="11"/>
    <x v="3"/>
    <n v="9"/>
    <n v="5"/>
    <n v="9"/>
  </r>
  <r>
    <n v="37"/>
    <x v="1"/>
    <s v="Travel_Rarely"/>
    <n v="1017"/>
    <x v="1"/>
    <n v="1"/>
    <n v="2"/>
    <s v="Medical"/>
    <n v="340"/>
    <n v="3"/>
    <s v="Female"/>
    <n v="83"/>
    <n v="2"/>
    <n v="1"/>
    <x v="1"/>
    <x v="3"/>
    <s v="Married"/>
    <n v="3920"/>
    <x v="0"/>
    <n v="18697"/>
    <n v="2"/>
    <x v="1"/>
    <n v="14"/>
    <n v="3"/>
    <n v="1"/>
    <n v="1"/>
    <n v="17"/>
    <n v="2"/>
    <n v="2"/>
    <n v="3"/>
    <x v="2"/>
    <n v="1"/>
    <n v="0"/>
    <n v="2"/>
  </r>
  <r>
    <n v="45"/>
    <x v="1"/>
    <s v="Travel_Frequently"/>
    <n v="1199"/>
    <x v="1"/>
    <n v="7"/>
    <n v="4"/>
    <s v="Life Sciences"/>
    <n v="341"/>
    <n v="1"/>
    <s v="Male"/>
    <n v="77"/>
    <n v="4"/>
    <n v="2"/>
    <x v="3"/>
    <x v="2"/>
    <s v="Married"/>
    <n v="6434"/>
    <x v="0"/>
    <n v="5118"/>
    <n v="4"/>
    <x v="1"/>
    <n v="17"/>
    <n v="3"/>
    <n v="4"/>
    <n v="1"/>
    <n v="9"/>
    <n v="1"/>
    <n v="3"/>
    <n v="3"/>
    <x v="2"/>
    <n v="2"/>
    <n v="0"/>
    <n v="2"/>
  </r>
  <r>
    <n v="37"/>
    <x v="0"/>
    <s v="Travel_Frequently"/>
    <n v="504"/>
    <x v="1"/>
    <n v="10"/>
    <n v="3"/>
    <s v="Medical"/>
    <n v="342"/>
    <n v="1"/>
    <s v="Male"/>
    <n v="61"/>
    <n v="3"/>
    <n v="3"/>
    <x v="3"/>
    <x v="2"/>
    <s v="Divorced"/>
    <n v="10048"/>
    <x v="2"/>
    <n v="22573"/>
    <n v="6"/>
    <x v="1"/>
    <n v="11"/>
    <n v="3"/>
    <n v="2"/>
    <n v="2"/>
    <n v="17"/>
    <n v="5"/>
    <n v="3"/>
    <n v="1"/>
    <x v="1"/>
    <n v="0"/>
    <n v="0"/>
    <n v="0"/>
  </r>
  <r>
    <n v="39"/>
    <x v="1"/>
    <s v="Travel_Frequently"/>
    <n v="505"/>
    <x v="1"/>
    <n v="2"/>
    <n v="4"/>
    <s v="Technical Degree"/>
    <n v="343"/>
    <n v="3"/>
    <s v="Female"/>
    <n v="64"/>
    <n v="3"/>
    <n v="3"/>
    <x v="4"/>
    <x v="2"/>
    <s v="Single"/>
    <n v="10938"/>
    <x v="2"/>
    <n v="6420"/>
    <n v="0"/>
    <x v="1"/>
    <n v="25"/>
    <n v="4"/>
    <n v="4"/>
    <n v="0"/>
    <n v="20"/>
    <n v="1"/>
    <n v="3"/>
    <n v="19"/>
    <x v="3"/>
    <n v="6"/>
    <n v="11"/>
    <n v="8"/>
  </r>
  <r>
    <n v="29"/>
    <x v="1"/>
    <s v="Travel_Rarely"/>
    <n v="665"/>
    <x v="1"/>
    <n v="15"/>
    <n v="3"/>
    <s v="Life Sciences"/>
    <n v="346"/>
    <n v="3"/>
    <s v="Male"/>
    <n v="60"/>
    <n v="3"/>
    <n v="1"/>
    <x v="1"/>
    <x v="0"/>
    <s v="Single"/>
    <n v="2340"/>
    <x v="1"/>
    <n v="22673"/>
    <n v="1"/>
    <x v="1"/>
    <n v="19"/>
    <n v="3"/>
    <n v="1"/>
    <n v="0"/>
    <n v="6"/>
    <n v="1"/>
    <n v="3"/>
    <n v="6"/>
    <x v="0"/>
    <n v="5"/>
    <n v="1"/>
    <n v="5"/>
  </r>
  <r>
    <n v="42"/>
    <x v="1"/>
    <s v="Travel_Rarely"/>
    <n v="916"/>
    <x v="1"/>
    <n v="17"/>
    <n v="2"/>
    <s v="Life Sciences"/>
    <n v="347"/>
    <n v="4"/>
    <s v="Female"/>
    <n v="82"/>
    <n v="4"/>
    <n v="2"/>
    <x v="1"/>
    <x v="3"/>
    <s v="Single"/>
    <n v="6545"/>
    <x v="0"/>
    <n v="23016"/>
    <n v="3"/>
    <x v="0"/>
    <n v="13"/>
    <n v="3"/>
    <n v="3"/>
    <n v="0"/>
    <n v="10"/>
    <n v="1"/>
    <n v="3"/>
    <n v="3"/>
    <x v="2"/>
    <n v="2"/>
    <n v="0"/>
    <n v="2"/>
  </r>
  <r>
    <n v="29"/>
    <x v="1"/>
    <s v="Travel_Rarely"/>
    <n v="1247"/>
    <x v="0"/>
    <n v="20"/>
    <n v="2"/>
    <s v="Marketing"/>
    <n v="349"/>
    <n v="4"/>
    <s v="Male"/>
    <n v="45"/>
    <n v="3"/>
    <n v="2"/>
    <x v="0"/>
    <x v="0"/>
    <s v="Divorced"/>
    <n v="6931"/>
    <x v="0"/>
    <n v="10732"/>
    <n v="2"/>
    <x v="1"/>
    <n v="14"/>
    <n v="3"/>
    <n v="4"/>
    <n v="1"/>
    <n v="10"/>
    <n v="2"/>
    <n v="3"/>
    <n v="3"/>
    <x v="2"/>
    <n v="2"/>
    <n v="0"/>
    <n v="2"/>
  </r>
  <r>
    <n v="25"/>
    <x v="1"/>
    <s v="Travel_Rarely"/>
    <n v="685"/>
    <x v="1"/>
    <n v="1"/>
    <n v="3"/>
    <s v="Life Sciences"/>
    <n v="350"/>
    <n v="1"/>
    <s v="Female"/>
    <n v="62"/>
    <n v="3"/>
    <n v="2"/>
    <x v="3"/>
    <x v="2"/>
    <s v="Married"/>
    <n v="4898"/>
    <x v="0"/>
    <n v="7505"/>
    <n v="0"/>
    <x v="1"/>
    <n v="12"/>
    <n v="3"/>
    <n v="4"/>
    <n v="2"/>
    <n v="5"/>
    <n v="3"/>
    <n v="3"/>
    <n v="4"/>
    <x v="2"/>
    <n v="2"/>
    <n v="1"/>
    <n v="2"/>
  </r>
  <r>
    <n v="42"/>
    <x v="1"/>
    <s v="Travel_Rarely"/>
    <n v="269"/>
    <x v="1"/>
    <n v="2"/>
    <n v="3"/>
    <s v="Medical"/>
    <n v="351"/>
    <n v="4"/>
    <s v="Female"/>
    <n v="56"/>
    <n v="2"/>
    <n v="1"/>
    <x v="2"/>
    <x v="3"/>
    <s v="Divorced"/>
    <n v="2593"/>
    <x v="1"/>
    <n v="8007"/>
    <n v="0"/>
    <x v="0"/>
    <n v="11"/>
    <n v="3"/>
    <n v="3"/>
    <n v="1"/>
    <n v="10"/>
    <n v="4"/>
    <n v="3"/>
    <n v="9"/>
    <x v="0"/>
    <n v="6"/>
    <n v="7"/>
    <n v="8"/>
  </r>
  <r>
    <n v="40"/>
    <x v="1"/>
    <s v="Travel_Rarely"/>
    <n v="1416"/>
    <x v="1"/>
    <n v="2"/>
    <n v="2"/>
    <s v="Medical"/>
    <n v="352"/>
    <n v="1"/>
    <s v="Male"/>
    <n v="49"/>
    <n v="3"/>
    <n v="5"/>
    <x v="7"/>
    <x v="2"/>
    <s v="Divorced"/>
    <n v="19436"/>
    <x v="2"/>
    <n v="5949"/>
    <n v="0"/>
    <x v="1"/>
    <n v="19"/>
    <n v="3"/>
    <n v="4"/>
    <n v="1"/>
    <n v="22"/>
    <n v="5"/>
    <n v="3"/>
    <n v="21"/>
    <x v="3"/>
    <n v="7"/>
    <n v="3"/>
    <n v="9"/>
  </r>
  <r>
    <n v="51"/>
    <x v="1"/>
    <s v="Travel_Rarely"/>
    <n v="833"/>
    <x v="1"/>
    <n v="1"/>
    <n v="3"/>
    <s v="Life Sciences"/>
    <n v="353"/>
    <n v="3"/>
    <s v="Male"/>
    <n v="96"/>
    <n v="3"/>
    <n v="1"/>
    <x v="1"/>
    <x v="0"/>
    <s v="Married"/>
    <n v="2723"/>
    <x v="1"/>
    <n v="23231"/>
    <n v="1"/>
    <x v="1"/>
    <n v="11"/>
    <n v="3"/>
    <n v="2"/>
    <n v="0"/>
    <n v="1"/>
    <n v="0"/>
    <n v="2"/>
    <n v="1"/>
    <x v="1"/>
    <n v="0"/>
    <n v="0"/>
    <n v="0"/>
  </r>
  <r>
    <n v="31"/>
    <x v="0"/>
    <s v="Travel_Frequently"/>
    <n v="307"/>
    <x v="1"/>
    <n v="29"/>
    <n v="2"/>
    <s v="Medical"/>
    <n v="355"/>
    <n v="3"/>
    <s v="Male"/>
    <n v="71"/>
    <n v="2"/>
    <n v="1"/>
    <x v="2"/>
    <x v="1"/>
    <s v="Single"/>
    <n v="3479"/>
    <x v="0"/>
    <n v="11652"/>
    <n v="0"/>
    <x v="1"/>
    <n v="11"/>
    <n v="3"/>
    <n v="2"/>
    <n v="0"/>
    <n v="6"/>
    <n v="2"/>
    <n v="4"/>
    <n v="5"/>
    <x v="2"/>
    <n v="4"/>
    <n v="1"/>
    <n v="4"/>
  </r>
  <r>
    <n v="32"/>
    <x v="1"/>
    <s v="Travel_Frequently"/>
    <n v="1311"/>
    <x v="1"/>
    <n v="7"/>
    <n v="3"/>
    <s v="Life Sciences"/>
    <n v="359"/>
    <n v="2"/>
    <s v="Male"/>
    <n v="100"/>
    <n v="4"/>
    <n v="1"/>
    <x v="2"/>
    <x v="1"/>
    <s v="Married"/>
    <n v="2794"/>
    <x v="1"/>
    <n v="26062"/>
    <n v="1"/>
    <x v="1"/>
    <n v="20"/>
    <n v="4"/>
    <n v="3"/>
    <n v="0"/>
    <n v="5"/>
    <n v="3"/>
    <n v="1"/>
    <n v="5"/>
    <x v="2"/>
    <n v="1"/>
    <n v="0"/>
    <n v="3"/>
  </r>
  <r>
    <n v="38"/>
    <x v="1"/>
    <s v="Non-Travel"/>
    <n v="1327"/>
    <x v="0"/>
    <n v="2"/>
    <n v="2"/>
    <s v="Life Sciences"/>
    <n v="361"/>
    <n v="4"/>
    <s v="Male"/>
    <n v="39"/>
    <n v="2"/>
    <n v="2"/>
    <x v="0"/>
    <x v="0"/>
    <s v="Married"/>
    <n v="5249"/>
    <x v="0"/>
    <n v="19682"/>
    <n v="3"/>
    <x v="1"/>
    <n v="18"/>
    <n v="3"/>
    <n v="4"/>
    <n v="1"/>
    <n v="13"/>
    <n v="0"/>
    <n v="3"/>
    <n v="8"/>
    <x v="0"/>
    <n v="7"/>
    <n v="7"/>
    <n v="5"/>
  </r>
  <r>
    <n v="32"/>
    <x v="1"/>
    <s v="Travel_Rarely"/>
    <n v="128"/>
    <x v="1"/>
    <n v="2"/>
    <n v="1"/>
    <s v="Technical Degree"/>
    <n v="362"/>
    <n v="4"/>
    <s v="Male"/>
    <n v="84"/>
    <n v="2"/>
    <n v="2"/>
    <x v="2"/>
    <x v="3"/>
    <s v="Single"/>
    <n v="2176"/>
    <x v="1"/>
    <n v="19737"/>
    <n v="4"/>
    <x v="1"/>
    <n v="13"/>
    <n v="3"/>
    <n v="4"/>
    <n v="0"/>
    <n v="9"/>
    <n v="5"/>
    <n v="3"/>
    <n v="6"/>
    <x v="0"/>
    <n v="2"/>
    <n v="0"/>
    <n v="4"/>
  </r>
  <r>
    <n v="46"/>
    <x v="1"/>
    <s v="Travel_Rarely"/>
    <n v="488"/>
    <x v="0"/>
    <n v="2"/>
    <n v="3"/>
    <s v="Technical Degree"/>
    <n v="363"/>
    <n v="3"/>
    <s v="Female"/>
    <n v="75"/>
    <n v="1"/>
    <n v="4"/>
    <x v="5"/>
    <x v="1"/>
    <s v="Married"/>
    <n v="16872"/>
    <x v="2"/>
    <n v="14977"/>
    <n v="3"/>
    <x v="0"/>
    <n v="12"/>
    <n v="3"/>
    <n v="2"/>
    <n v="1"/>
    <n v="28"/>
    <n v="2"/>
    <n v="2"/>
    <n v="7"/>
    <x v="0"/>
    <n v="7"/>
    <n v="7"/>
    <n v="7"/>
  </r>
  <r>
    <n v="28"/>
    <x v="0"/>
    <s v="Travel_Rarely"/>
    <n v="529"/>
    <x v="1"/>
    <n v="2"/>
    <n v="4"/>
    <s v="Life Sciences"/>
    <n v="364"/>
    <n v="1"/>
    <s v="Male"/>
    <n v="79"/>
    <n v="3"/>
    <n v="1"/>
    <x v="2"/>
    <x v="2"/>
    <s v="Single"/>
    <n v="3485"/>
    <x v="0"/>
    <n v="14935"/>
    <n v="2"/>
    <x v="1"/>
    <n v="11"/>
    <n v="3"/>
    <n v="3"/>
    <n v="0"/>
    <n v="5"/>
    <n v="5"/>
    <n v="1"/>
    <n v="0"/>
    <x v="1"/>
    <n v="0"/>
    <n v="0"/>
    <n v="0"/>
  </r>
  <r>
    <n v="29"/>
    <x v="1"/>
    <s v="Travel_Rarely"/>
    <n v="1210"/>
    <x v="0"/>
    <n v="2"/>
    <n v="3"/>
    <s v="Medical"/>
    <n v="366"/>
    <n v="1"/>
    <s v="Male"/>
    <n v="78"/>
    <n v="2"/>
    <n v="2"/>
    <x v="0"/>
    <x v="1"/>
    <s v="Married"/>
    <n v="6644"/>
    <x v="0"/>
    <n v="3687"/>
    <n v="2"/>
    <x v="1"/>
    <n v="19"/>
    <n v="3"/>
    <n v="2"/>
    <n v="2"/>
    <n v="10"/>
    <n v="2"/>
    <n v="3"/>
    <n v="0"/>
    <x v="1"/>
    <n v="0"/>
    <n v="0"/>
    <n v="0"/>
  </r>
  <r>
    <n v="31"/>
    <x v="1"/>
    <s v="Travel_Rarely"/>
    <n v="1463"/>
    <x v="1"/>
    <n v="23"/>
    <n v="3"/>
    <s v="Medical"/>
    <n v="367"/>
    <n v="2"/>
    <s v="Male"/>
    <n v="64"/>
    <n v="2"/>
    <n v="2"/>
    <x v="4"/>
    <x v="0"/>
    <s v="Married"/>
    <n v="5582"/>
    <x v="0"/>
    <n v="14408"/>
    <n v="0"/>
    <x v="1"/>
    <n v="21"/>
    <n v="4"/>
    <n v="2"/>
    <n v="1"/>
    <n v="10"/>
    <n v="2"/>
    <n v="3"/>
    <n v="9"/>
    <x v="0"/>
    <n v="0"/>
    <n v="7"/>
    <n v="8"/>
  </r>
  <r>
    <n v="25"/>
    <x v="1"/>
    <s v="Non-Travel"/>
    <n v="675"/>
    <x v="1"/>
    <n v="5"/>
    <n v="2"/>
    <s v="Life Sciences"/>
    <n v="369"/>
    <n v="2"/>
    <s v="Male"/>
    <n v="85"/>
    <n v="4"/>
    <n v="2"/>
    <x v="4"/>
    <x v="3"/>
    <s v="Divorced"/>
    <n v="4000"/>
    <x v="0"/>
    <n v="18384"/>
    <n v="1"/>
    <x v="1"/>
    <n v="12"/>
    <n v="3"/>
    <n v="4"/>
    <n v="2"/>
    <n v="6"/>
    <n v="2"/>
    <n v="3"/>
    <n v="6"/>
    <x v="0"/>
    <n v="3"/>
    <n v="1"/>
    <n v="5"/>
  </r>
  <r>
    <n v="45"/>
    <x v="1"/>
    <s v="Travel_Rarely"/>
    <n v="1385"/>
    <x v="1"/>
    <n v="20"/>
    <n v="2"/>
    <s v="Medical"/>
    <n v="372"/>
    <n v="3"/>
    <s v="Male"/>
    <n v="79"/>
    <n v="3"/>
    <n v="4"/>
    <x v="4"/>
    <x v="0"/>
    <s v="Married"/>
    <n v="13496"/>
    <x v="2"/>
    <n v="7501"/>
    <n v="0"/>
    <x v="0"/>
    <n v="14"/>
    <n v="3"/>
    <n v="2"/>
    <n v="0"/>
    <n v="21"/>
    <n v="2"/>
    <n v="3"/>
    <n v="20"/>
    <x v="3"/>
    <n v="7"/>
    <n v="4"/>
    <n v="10"/>
  </r>
  <r>
    <n v="36"/>
    <x v="1"/>
    <s v="Travel_Rarely"/>
    <n v="1403"/>
    <x v="1"/>
    <n v="6"/>
    <n v="3"/>
    <s v="Life Sciences"/>
    <n v="373"/>
    <n v="4"/>
    <s v="Male"/>
    <n v="47"/>
    <n v="3"/>
    <n v="1"/>
    <x v="2"/>
    <x v="0"/>
    <s v="Married"/>
    <n v="3210"/>
    <x v="0"/>
    <n v="20251"/>
    <n v="0"/>
    <x v="1"/>
    <n v="11"/>
    <n v="3"/>
    <n v="3"/>
    <n v="1"/>
    <n v="16"/>
    <n v="4"/>
    <n v="3"/>
    <n v="15"/>
    <x v="3"/>
    <n v="13"/>
    <n v="10"/>
    <n v="11"/>
  </r>
  <r>
    <n v="55"/>
    <x v="1"/>
    <s v="Travel_Rarely"/>
    <n v="452"/>
    <x v="1"/>
    <n v="1"/>
    <n v="3"/>
    <s v="Medical"/>
    <n v="374"/>
    <n v="4"/>
    <s v="Male"/>
    <n v="81"/>
    <n v="3"/>
    <n v="5"/>
    <x v="5"/>
    <x v="3"/>
    <s v="Single"/>
    <n v="19045"/>
    <x v="2"/>
    <n v="18938"/>
    <n v="0"/>
    <x v="0"/>
    <n v="14"/>
    <n v="3"/>
    <n v="3"/>
    <n v="0"/>
    <n v="37"/>
    <n v="2"/>
    <n v="3"/>
    <n v="36"/>
    <x v="3"/>
    <n v="10"/>
    <n v="4"/>
    <n v="13"/>
  </r>
  <r>
    <n v="47"/>
    <x v="0"/>
    <s v="Non-Travel"/>
    <n v="666"/>
    <x v="1"/>
    <n v="29"/>
    <n v="4"/>
    <s v="Life Sciences"/>
    <n v="376"/>
    <n v="1"/>
    <s v="Male"/>
    <n v="88"/>
    <n v="3"/>
    <n v="3"/>
    <x v="5"/>
    <x v="1"/>
    <s v="Married"/>
    <n v="11849"/>
    <x v="2"/>
    <n v="10268"/>
    <n v="1"/>
    <x v="0"/>
    <n v="12"/>
    <n v="3"/>
    <n v="4"/>
    <n v="1"/>
    <n v="10"/>
    <n v="2"/>
    <n v="2"/>
    <n v="10"/>
    <x v="0"/>
    <n v="7"/>
    <n v="9"/>
    <n v="9"/>
  </r>
  <r>
    <n v="28"/>
    <x v="1"/>
    <s v="Travel_Rarely"/>
    <n v="1158"/>
    <x v="1"/>
    <n v="9"/>
    <n v="3"/>
    <s v="Medical"/>
    <n v="377"/>
    <n v="4"/>
    <s v="Male"/>
    <n v="94"/>
    <n v="3"/>
    <n v="1"/>
    <x v="1"/>
    <x v="0"/>
    <s v="Married"/>
    <n v="2070"/>
    <x v="1"/>
    <n v="2613"/>
    <n v="1"/>
    <x v="1"/>
    <n v="23"/>
    <n v="4"/>
    <n v="4"/>
    <n v="1"/>
    <n v="5"/>
    <n v="3"/>
    <n v="2"/>
    <n v="5"/>
    <x v="2"/>
    <n v="2"/>
    <n v="0"/>
    <n v="4"/>
  </r>
  <r>
    <n v="37"/>
    <x v="1"/>
    <s v="Travel_Rarely"/>
    <n v="228"/>
    <x v="0"/>
    <n v="6"/>
    <n v="4"/>
    <s v="Medical"/>
    <n v="378"/>
    <n v="3"/>
    <s v="Male"/>
    <n v="98"/>
    <n v="3"/>
    <n v="2"/>
    <x v="0"/>
    <x v="0"/>
    <s v="Married"/>
    <n v="6502"/>
    <x v="0"/>
    <n v="22825"/>
    <n v="4"/>
    <x v="1"/>
    <n v="14"/>
    <n v="3"/>
    <n v="2"/>
    <n v="1"/>
    <n v="7"/>
    <n v="5"/>
    <n v="4"/>
    <n v="5"/>
    <x v="2"/>
    <n v="4"/>
    <n v="0"/>
    <n v="1"/>
  </r>
  <r>
    <n v="21"/>
    <x v="1"/>
    <s v="Travel_Rarely"/>
    <n v="996"/>
    <x v="1"/>
    <n v="3"/>
    <n v="2"/>
    <s v="Medical"/>
    <n v="379"/>
    <n v="4"/>
    <s v="Male"/>
    <n v="100"/>
    <n v="2"/>
    <n v="1"/>
    <x v="1"/>
    <x v="2"/>
    <s v="Single"/>
    <n v="3230"/>
    <x v="0"/>
    <n v="10531"/>
    <n v="1"/>
    <x v="1"/>
    <n v="17"/>
    <n v="3"/>
    <n v="1"/>
    <n v="0"/>
    <n v="3"/>
    <n v="4"/>
    <n v="4"/>
    <n v="3"/>
    <x v="2"/>
    <n v="2"/>
    <n v="1"/>
    <n v="0"/>
  </r>
  <r>
    <n v="37"/>
    <x v="1"/>
    <s v="Non-Travel"/>
    <n v="728"/>
    <x v="1"/>
    <n v="1"/>
    <n v="4"/>
    <s v="Medical"/>
    <n v="380"/>
    <n v="1"/>
    <s v="Female"/>
    <n v="80"/>
    <n v="3"/>
    <n v="3"/>
    <x v="7"/>
    <x v="0"/>
    <s v="Divorced"/>
    <n v="13603"/>
    <x v="2"/>
    <n v="11677"/>
    <n v="2"/>
    <x v="0"/>
    <n v="18"/>
    <n v="3"/>
    <n v="1"/>
    <n v="2"/>
    <n v="15"/>
    <n v="2"/>
    <n v="3"/>
    <n v="5"/>
    <x v="2"/>
    <n v="2"/>
    <n v="0"/>
    <n v="2"/>
  </r>
  <r>
    <n v="35"/>
    <x v="1"/>
    <s v="Travel_Rarely"/>
    <n v="1315"/>
    <x v="1"/>
    <n v="22"/>
    <n v="3"/>
    <s v="Life Sciences"/>
    <n v="381"/>
    <n v="2"/>
    <s v="Female"/>
    <n v="71"/>
    <n v="4"/>
    <n v="3"/>
    <x v="5"/>
    <x v="1"/>
    <s v="Divorced"/>
    <n v="11996"/>
    <x v="2"/>
    <n v="19100"/>
    <n v="7"/>
    <x v="1"/>
    <n v="18"/>
    <n v="3"/>
    <n v="2"/>
    <n v="1"/>
    <n v="10"/>
    <n v="6"/>
    <n v="2"/>
    <n v="7"/>
    <x v="0"/>
    <n v="7"/>
    <n v="6"/>
    <n v="2"/>
  </r>
  <r>
    <n v="38"/>
    <x v="1"/>
    <s v="Travel_Rarely"/>
    <n v="322"/>
    <x v="0"/>
    <n v="7"/>
    <n v="2"/>
    <s v="Medical"/>
    <n v="382"/>
    <n v="1"/>
    <s v="Female"/>
    <n v="44"/>
    <n v="4"/>
    <n v="2"/>
    <x v="0"/>
    <x v="3"/>
    <s v="Divorced"/>
    <n v="5605"/>
    <x v="0"/>
    <n v="19191"/>
    <n v="1"/>
    <x v="0"/>
    <n v="24"/>
    <n v="4"/>
    <n v="3"/>
    <n v="1"/>
    <n v="8"/>
    <n v="3"/>
    <n v="3"/>
    <n v="8"/>
    <x v="0"/>
    <n v="0"/>
    <n v="7"/>
    <n v="7"/>
  </r>
  <r>
    <n v="26"/>
    <x v="1"/>
    <s v="Travel_Frequently"/>
    <n v="1479"/>
    <x v="1"/>
    <n v="1"/>
    <n v="3"/>
    <s v="Life Sciences"/>
    <n v="384"/>
    <n v="3"/>
    <s v="Female"/>
    <n v="84"/>
    <n v="3"/>
    <n v="2"/>
    <x v="3"/>
    <x v="1"/>
    <s v="Divorced"/>
    <n v="6397"/>
    <x v="0"/>
    <n v="26767"/>
    <n v="1"/>
    <x v="1"/>
    <n v="20"/>
    <n v="4"/>
    <n v="1"/>
    <n v="1"/>
    <n v="6"/>
    <n v="6"/>
    <n v="1"/>
    <n v="6"/>
    <x v="0"/>
    <n v="5"/>
    <n v="1"/>
    <n v="4"/>
  </r>
  <r>
    <n v="50"/>
    <x v="1"/>
    <s v="Travel_Rarely"/>
    <n v="797"/>
    <x v="1"/>
    <n v="4"/>
    <n v="1"/>
    <s v="Life Sciences"/>
    <n v="385"/>
    <n v="1"/>
    <s v="Male"/>
    <n v="96"/>
    <n v="3"/>
    <n v="5"/>
    <x v="7"/>
    <x v="1"/>
    <s v="Divorced"/>
    <n v="19144"/>
    <x v="2"/>
    <n v="15815"/>
    <n v="3"/>
    <x v="1"/>
    <n v="14"/>
    <n v="3"/>
    <n v="1"/>
    <n v="2"/>
    <n v="28"/>
    <n v="4"/>
    <n v="2"/>
    <n v="10"/>
    <x v="0"/>
    <n v="4"/>
    <n v="1"/>
    <n v="6"/>
  </r>
  <r>
    <n v="53"/>
    <x v="1"/>
    <s v="Travel_Rarely"/>
    <n v="1070"/>
    <x v="1"/>
    <n v="3"/>
    <n v="4"/>
    <s v="Medical"/>
    <n v="386"/>
    <n v="3"/>
    <s v="Male"/>
    <n v="45"/>
    <n v="3"/>
    <n v="4"/>
    <x v="7"/>
    <x v="2"/>
    <s v="Married"/>
    <n v="17584"/>
    <x v="2"/>
    <n v="21016"/>
    <n v="3"/>
    <x v="0"/>
    <n v="16"/>
    <n v="3"/>
    <n v="4"/>
    <n v="3"/>
    <n v="21"/>
    <n v="5"/>
    <n v="2"/>
    <n v="5"/>
    <x v="2"/>
    <n v="3"/>
    <n v="1"/>
    <n v="3"/>
  </r>
  <r>
    <n v="42"/>
    <x v="1"/>
    <s v="Travel_Rarely"/>
    <n v="635"/>
    <x v="0"/>
    <n v="1"/>
    <n v="1"/>
    <s v="Life Sciences"/>
    <n v="387"/>
    <n v="2"/>
    <s v="Male"/>
    <n v="99"/>
    <n v="3"/>
    <n v="2"/>
    <x v="0"/>
    <x v="2"/>
    <s v="Married"/>
    <n v="4907"/>
    <x v="0"/>
    <n v="24532"/>
    <n v="1"/>
    <x v="1"/>
    <n v="25"/>
    <n v="4"/>
    <n v="3"/>
    <n v="0"/>
    <n v="20"/>
    <n v="3"/>
    <n v="3"/>
    <n v="20"/>
    <x v="3"/>
    <n v="16"/>
    <n v="11"/>
    <n v="6"/>
  </r>
  <r>
    <n v="29"/>
    <x v="1"/>
    <s v="Travel_Frequently"/>
    <n v="442"/>
    <x v="0"/>
    <n v="2"/>
    <n v="2"/>
    <s v="Life Sciences"/>
    <n v="388"/>
    <n v="2"/>
    <s v="Male"/>
    <n v="44"/>
    <n v="3"/>
    <n v="2"/>
    <x v="0"/>
    <x v="0"/>
    <s v="Single"/>
    <n v="4554"/>
    <x v="0"/>
    <n v="20260"/>
    <n v="1"/>
    <x v="1"/>
    <n v="18"/>
    <n v="3"/>
    <n v="1"/>
    <n v="0"/>
    <n v="10"/>
    <n v="3"/>
    <n v="2"/>
    <n v="10"/>
    <x v="0"/>
    <n v="7"/>
    <n v="0"/>
    <n v="9"/>
  </r>
  <r>
    <n v="55"/>
    <x v="1"/>
    <s v="Travel_Rarely"/>
    <n v="147"/>
    <x v="1"/>
    <n v="20"/>
    <n v="2"/>
    <s v="Technical Degree"/>
    <n v="389"/>
    <n v="2"/>
    <s v="Male"/>
    <n v="37"/>
    <n v="3"/>
    <n v="2"/>
    <x v="2"/>
    <x v="0"/>
    <s v="Married"/>
    <n v="5415"/>
    <x v="0"/>
    <n v="15972"/>
    <n v="3"/>
    <x v="0"/>
    <n v="19"/>
    <n v="3"/>
    <n v="4"/>
    <n v="1"/>
    <n v="12"/>
    <n v="4"/>
    <n v="3"/>
    <n v="10"/>
    <x v="0"/>
    <n v="7"/>
    <n v="0"/>
    <n v="8"/>
  </r>
  <r>
    <n v="26"/>
    <x v="1"/>
    <s v="Travel_Frequently"/>
    <n v="496"/>
    <x v="1"/>
    <n v="11"/>
    <n v="2"/>
    <s v="Medical"/>
    <n v="390"/>
    <n v="1"/>
    <s v="Male"/>
    <n v="60"/>
    <n v="3"/>
    <n v="2"/>
    <x v="4"/>
    <x v="3"/>
    <s v="Married"/>
    <n v="4741"/>
    <x v="0"/>
    <n v="22722"/>
    <n v="1"/>
    <x v="0"/>
    <n v="13"/>
    <n v="3"/>
    <n v="3"/>
    <n v="1"/>
    <n v="5"/>
    <n v="3"/>
    <n v="3"/>
    <n v="5"/>
    <x v="2"/>
    <n v="3"/>
    <n v="3"/>
    <n v="3"/>
  </r>
  <r>
    <n v="37"/>
    <x v="1"/>
    <s v="Travel_Rarely"/>
    <n v="1372"/>
    <x v="1"/>
    <n v="1"/>
    <n v="3"/>
    <s v="Life Sciences"/>
    <n v="391"/>
    <n v="4"/>
    <s v="Female"/>
    <n v="42"/>
    <n v="3"/>
    <n v="1"/>
    <x v="1"/>
    <x v="0"/>
    <s v="Single"/>
    <n v="2115"/>
    <x v="1"/>
    <n v="15881"/>
    <n v="1"/>
    <x v="1"/>
    <n v="12"/>
    <n v="3"/>
    <n v="2"/>
    <n v="0"/>
    <n v="17"/>
    <n v="3"/>
    <n v="3"/>
    <n v="17"/>
    <x v="3"/>
    <n v="12"/>
    <n v="5"/>
    <n v="7"/>
  </r>
  <r>
    <n v="44"/>
    <x v="0"/>
    <s v="Travel_Frequently"/>
    <n v="920"/>
    <x v="1"/>
    <n v="24"/>
    <n v="3"/>
    <s v="Life Sciences"/>
    <n v="392"/>
    <n v="4"/>
    <s v="Male"/>
    <n v="43"/>
    <n v="3"/>
    <n v="1"/>
    <x v="2"/>
    <x v="2"/>
    <s v="Divorced"/>
    <n v="3161"/>
    <x v="0"/>
    <n v="19920"/>
    <n v="3"/>
    <x v="0"/>
    <n v="22"/>
    <n v="4"/>
    <n v="4"/>
    <n v="1"/>
    <n v="19"/>
    <n v="0"/>
    <n v="1"/>
    <n v="1"/>
    <x v="1"/>
    <n v="0"/>
    <n v="0"/>
    <n v="0"/>
  </r>
  <r>
    <n v="38"/>
    <x v="1"/>
    <s v="Travel_Rarely"/>
    <n v="688"/>
    <x v="1"/>
    <n v="23"/>
    <n v="4"/>
    <s v="Life Sciences"/>
    <n v="393"/>
    <n v="4"/>
    <s v="Male"/>
    <n v="82"/>
    <n v="3"/>
    <n v="2"/>
    <x v="4"/>
    <x v="0"/>
    <s v="Divorced"/>
    <n v="5745"/>
    <x v="0"/>
    <n v="18899"/>
    <n v="9"/>
    <x v="1"/>
    <n v="14"/>
    <n v="3"/>
    <n v="2"/>
    <n v="1"/>
    <n v="10"/>
    <n v="2"/>
    <n v="3"/>
    <n v="2"/>
    <x v="1"/>
    <n v="2"/>
    <n v="1"/>
    <n v="2"/>
  </r>
  <r>
    <n v="26"/>
    <x v="0"/>
    <s v="Travel_Rarely"/>
    <n v="1449"/>
    <x v="1"/>
    <n v="16"/>
    <n v="4"/>
    <s v="Medical"/>
    <n v="394"/>
    <n v="1"/>
    <s v="Male"/>
    <n v="45"/>
    <n v="3"/>
    <n v="1"/>
    <x v="2"/>
    <x v="1"/>
    <s v="Divorced"/>
    <n v="2373"/>
    <x v="1"/>
    <n v="14180"/>
    <n v="2"/>
    <x v="0"/>
    <n v="13"/>
    <n v="3"/>
    <n v="4"/>
    <n v="1"/>
    <n v="5"/>
    <n v="2"/>
    <n v="3"/>
    <n v="3"/>
    <x v="2"/>
    <n v="2"/>
    <n v="0"/>
    <n v="2"/>
  </r>
  <r>
    <n v="28"/>
    <x v="1"/>
    <s v="Travel_Rarely"/>
    <n v="1117"/>
    <x v="1"/>
    <n v="8"/>
    <n v="2"/>
    <s v="Life Sciences"/>
    <n v="395"/>
    <n v="4"/>
    <s v="Female"/>
    <n v="66"/>
    <n v="3"/>
    <n v="1"/>
    <x v="1"/>
    <x v="0"/>
    <s v="Single"/>
    <n v="3310"/>
    <x v="0"/>
    <n v="4488"/>
    <n v="1"/>
    <x v="1"/>
    <n v="21"/>
    <n v="4"/>
    <n v="4"/>
    <n v="0"/>
    <n v="5"/>
    <n v="3"/>
    <n v="3"/>
    <n v="5"/>
    <x v="2"/>
    <n v="3"/>
    <n v="0"/>
    <n v="2"/>
  </r>
  <r>
    <n v="49"/>
    <x v="1"/>
    <s v="Travel_Frequently"/>
    <n v="636"/>
    <x v="1"/>
    <n v="10"/>
    <n v="4"/>
    <s v="Life Sciences"/>
    <n v="396"/>
    <n v="3"/>
    <s v="Female"/>
    <n v="35"/>
    <n v="3"/>
    <n v="5"/>
    <x v="7"/>
    <x v="3"/>
    <s v="Single"/>
    <n v="18665"/>
    <x v="2"/>
    <n v="25594"/>
    <n v="9"/>
    <x v="0"/>
    <n v="11"/>
    <n v="3"/>
    <n v="4"/>
    <n v="0"/>
    <n v="22"/>
    <n v="4"/>
    <n v="3"/>
    <n v="3"/>
    <x v="2"/>
    <n v="2"/>
    <n v="1"/>
    <n v="2"/>
  </r>
  <r>
    <n v="36"/>
    <x v="1"/>
    <s v="Travel_Rarely"/>
    <n v="506"/>
    <x v="1"/>
    <n v="3"/>
    <n v="3"/>
    <s v="Technical Degree"/>
    <n v="397"/>
    <n v="3"/>
    <s v="Male"/>
    <n v="30"/>
    <n v="3"/>
    <n v="2"/>
    <x v="1"/>
    <x v="1"/>
    <s v="Single"/>
    <n v="4485"/>
    <x v="0"/>
    <n v="26285"/>
    <n v="4"/>
    <x v="1"/>
    <n v="12"/>
    <n v="3"/>
    <n v="4"/>
    <n v="0"/>
    <n v="10"/>
    <n v="2"/>
    <n v="3"/>
    <n v="8"/>
    <x v="0"/>
    <n v="0"/>
    <n v="7"/>
    <n v="7"/>
  </r>
  <r>
    <n v="31"/>
    <x v="1"/>
    <s v="Travel_Frequently"/>
    <n v="444"/>
    <x v="0"/>
    <n v="5"/>
    <n v="3"/>
    <s v="Marketing"/>
    <n v="399"/>
    <n v="4"/>
    <s v="Female"/>
    <n v="84"/>
    <n v="3"/>
    <n v="1"/>
    <x v="6"/>
    <x v="1"/>
    <s v="Divorced"/>
    <n v="2789"/>
    <x v="1"/>
    <n v="3909"/>
    <n v="1"/>
    <x v="1"/>
    <n v="11"/>
    <n v="3"/>
    <n v="3"/>
    <n v="1"/>
    <n v="2"/>
    <n v="5"/>
    <n v="2"/>
    <n v="2"/>
    <x v="1"/>
    <n v="2"/>
    <n v="2"/>
    <n v="2"/>
  </r>
  <r>
    <n v="26"/>
    <x v="0"/>
    <s v="Travel_Rarely"/>
    <n v="950"/>
    <x v="0"/>
    <n v="4"/>
    <n v="4"/>
    <s v="Marketing"/>
    <n v="401"/>
    <n v="4"/>
    <s v="Male"/>
    <n v="48"/>
    <n v="2"/>
    <n v="2"/>
    <x v="0"/>
    <x v="0"/>
    <s v="Single"/>
    <n v="5828"/>
    <x v="0"/>
    <n v="8450"/>
    <n v="1"/>
    <x v="0"/>
    <n v="12"/>
    <n v="3"/>
    <n v="2"/>
    <n v="0"/>
    <n v="8"/>
    <n v="0"/>
    <n v="3"/>
    <n v="8"/>
    <x v="0"/>
    <n v="7"/>
    <n v="7"/>
    <n v="4"/>
  </r>
  <r>
    <n v="37"/>
    <x v="1"/>
    <s v="Travel_Frequently"/>
    <n v="889"/>
    <x v="1"/>
    <n v="9"/>
    <n v="3"/>
    <s v="Medical"/>
    <n v="403"/>
    <n v="2"/>
    <s v="Male"/>
    <n v="53"/>
    <n v="3"/>
    <n v="1"/>
    <x v="1"/>
    <x v="0"/>
    <s v="Married"/>
    <n v="2326"/>
    <x v="1"/>
    <n v="11411"/>
    <n v="1"/>
    <x v="0"/>
    <n v="12"/>
    <n v="3"/>
    <n v="3"/>
    <n v="3"/>
    <n v="4"/>
    <n v="3"/>
    <n v="2"/>
    <n v="4"/>
    <x v="2"/>
    <n v="2"/>
    <n v="1"/>
    <n v="2"/>
  </r>
  <r>
    <n v="42"/>
    <x v="1"/>
    <s v="Travel_Frequently"/>
    <n v="555"/>
    <x v="0"/>
    <n v="26"/>
    <n v="3"/>
    <s v="Marketing"/>
    <n v="404"/>
    <n v="3"/>
    <s v="Female"/>
    <n v="77"/>
    <n v="3"/>
    <n v="4"/>
    <x v="0"/>
    <x v="1"/>
    <s v="Married"/>
    <n v="13525"/>
    <x v="2"/>
    <n v="14864"/>
    <n v="5"/>
    <x v="1"/>
    <n v="14"/>
    <n v="3"/>
    <n v="4"/>
    <n v="1"/>
    <n v="23"/>
    <n v="2"/>
    <n v="4"/>
    <n v="20"/>
    <x v="3"/>
    <n v="4"/>
    <n v="4"/>
    <n v="8"/>
  </r>
  <r>
    <n v="18"/>
    <x v="0"/>
    <s v="Travel_Rarely"/>
    <n v="230"/>
    <x v="1"/>
    <n v="3"/>
    <n v="3"/>
    <s v="Life Sciences"/>
    <n v="405"/>
    <n v="3"/>
    <s v="Male"/>
    <n v="54"/>
    <n v="3"/>
    <n v="1"/>
    <x v="2"/>
    <x v="2"/>
    <s v="Single"/>
    <n v="1420"/>
    <x v="1"/>
    <n v="25233"/>
    <n v="1"/>
    <x v="1"/>
    <n v="13"/>
    <n v="3"/>
    <n v="3"/>
    <n v="0"/>
    <n v="0"/>
    <n v="2"/>
    <n v="3"/>
    <n v="0"/>
    <x v="1"/>
    <n v="0"/>
    <n v="0"/>
    <n v="0"/>
  </r>
  <r>
    <n v="35"/>
    <x v="1"/>
    <s v="Travel_Rarely"/>
    <n v="1232"/>
    <x v="0"/>
    <n v="16"/>
    <n v="3"/>
    <s v="Marketing"/>
    <n v="406"/>
    <n v="3"/>
    <s v="Male"/>
    <n v="96"/>
    <n v="3"/>
    <n v="3"/>
    <x v="0"/>
    <x v="1"/>
    <s v="Married"/>
    <n v="8020"/>
    <x v="2"/>
    <n v="5100"/>
    <n v="0"/>
    <x v="1"/>
    <n v="15"/>
    <n v="3"/>
    <n v="3"/>
    <n v="2"/>
    <n v="12"/>
    <n v="3"/>
    <n v="2"/>
    <n v="11"/>
    <x v="3"/>
    <n v="9"/>
    <n v="6"/>
    <n v="9"/>
  </r>
  <r>
    <n v="36"/>
    <x v="1"/>
    <s v="Travel_Frequently"/>
    <n v="566"/>
    <x v="1"/>
    <n v="18"/>
    <n v="4"/>
    <s v="Life Sciences"/>
    <n v="407"/>
    <n v="3"/>
    <s v="Male"/>
    <n v="81"/>
    <n v="4"/>
    <n v="1"/>
    <x v="2"/>
    <x v="0"/>
    <s v="Married"/>
    <n v="3688"/>
    <x v="0"/>
    <n v="7122"/>
    <n v="4"/>
    <x v="1"/>
    <n v="18"/>
    <n v="3"/>
    <n v="4"/>
    <n v="2"/>
    <n v="4"/>
    <n v="2"/>
    <n v="3"/>
    <n v="1"/>
    <x v="1"/>
    <n v="0"/>
    <n v="0"/>
    <n v="0"/>
  </r>
  <r>
    <n v="51"/>
    <x v="1"/>
    <s v="Travel_Rarely"/>
    <n v="1302"/>
    <x v="1"/>
    <n v="2"/>
    <n v="3"/>
    <s v="Medical"/>
    <n v="408"/>
    <n v="4"/>
    <s v="Male"/>
    <n v="84"/>
    <n v="1"/>
    <n v="2"/>
    <x v="3"/>
    <x v="1"/>
    <s v="Divorced"/>
    <n v="5482"/>
    <x v="0"/>
    <n v="16321"/>
    <n v="5"/>
    <x v="1"/>
    <n v="18"/>
    <n v="3"/>
    <n v="4"/>
    <n v="1"/>
    <n v="13"/>
    <n v="3"/>
    <n v="3"/>
    <n v="4"/>
    <x v="2"/>
    <n v="1"/>
    <n v="1"/>
    <n v="2"/>
  </r>
  <r>
    <n v="41"/>
    <x v="1"/>
    <s v="Travel_Rarely"/>
    <n v="334"/>
    <x v="0"/>
    <n v="2"/>
    <n v="4"/>
    <s v="Life Sciences"/>
    <n v="410"/>
    <n v="4"/>
    <s v="Male"/>
    <n v="88"/>
    <n v="3"/>
    <n v="4"/>
    <x v="5"/>
    <x v="1"/>
    <s v="Single"/>
    <n v="16015"/>
    <x v="2"/>
    <n v="15896"/>
    <n v="1"/>
    <x v="1"/>
    <n v="19"/>
    <n v="3"/>
    <n v="2"/>
    <n v="0"/>
    <n v="22"/>
    <n v="2"/>
    <n v="3"/>
    <n v="22"/>
    <x v="3"/>
    <n v="10"/>
    <n v="0"/>
    <n v="4"/>
  </r>
  <r>
    <n v="18"/>
    <x v="1"/>
    <s v="Travel_Rarely"/>
    <n v="812"/>
    <x v="0"/>
    <n v="10"/>
    <n v="3"/>
    <s v="Medical"/>
    <n v="411"/>
    <n v="4"/>
    <s v="Female"/>
    <n v="69"/>
    <n v="2"/>
    <n v="1"/>
    <x v="6"/>
    <x v="2"/>
    <s v="Single"/>
    <n v="1200"/>
    <x v="1"/>
    <n v="9724"/>
    <n v="1"/>
    <x v="1"/>
    <n v="12"/>
    <n v="3"/>
    <n v="1"/>
    <n v="0"/>
    <n v="0"/>
    <n v="2"/>
    <n v="3"/>
    <n v="0"/>
    <x v="1"/>
    <n v="0"/>
    <n v="0"/>
    <n v="0"/>
  </r>
  <r>
    <n v="28"/>
    <x v="1"/>
    <s v="Travel_Rarely"/>
    <n v="1476"/>
    <x v="1"/>
    <n v="16"/>
    <n v="2"/>
    <s v="Medical"/>
    <n v="412"/>
    <n v="2"/>
    <s v="Male"/>
    <n v="68"/>
    <n v="4"/>
    <n v="2"/>
    <x v="4"/>
    <x v="3"/>
    <s v="Single"/>
    <n v="5661"/>
    <x v="0"/>
    <n v="4824"/>
    <n v="0"/>
    <x v="1"/>
    <n v="19"/>
    <n v="3"/>
    <n v="3"/>
    <n v="0"/>
    <n v="9"/>
    <n v="2"/>
    <n v="3"/>
    <n v="8"/>
    <x v="0"/>
    <n v="3"/>
    <n v="0"/>
    <n v="7"/>
  </r>
  <r>
    <n v="31"/>
    <x v="1"/>
    <s v="Travel_Rarely"/>
    <n v="218"/>
    <x v="0"/>
    <n v="7"/>
    <n v="3"/>
    <s v="Technical Degree"/>
    <n v="416"/>
    <n v="2"/>
    <s v="Male"/>
    <n v="100"/>
    <n v="4"/>
    <n v="2"/>
    <x v="0"/>
    <x v="0"/>
    <s v="Married"/>
    <n v="6929"/>
    <x v="0"/>
    <n v="12241"/>
    <n v="4"/>
    <x v="1"/>
    <n v="11"/>
    <n v="3"/>
    <n v="2"/>
    <n v="1"/>
    <n v="10"/>
    <n v="3"/>
    <n v="2"/>
    <n v="8"/>
    <x v="0"/>
    <n v="7"/>
    <n v="7"/>
    <n v="7"/>
  </r>
  <r>
    <n v="39"/>
    <x v="1"/>
    <s v="Travel_Rarely"/>
    <n v="1132"/>
    <x v="1"/>
    <n v="1"/>
    <n v="3"/>
    <s v="Medical"/>
    <n v="417"/>
    <n v="3"/>
    <s v="Male"/>
    <n v="48"/>
    <n v="4"/>
    <n v="3"/>
    <x v="4"/>
    <x v="0"/>
    <s v="Divorced"/>
    <n v="9613"/>
    <x v="2"/>
    <n v="10942"/>
    <n v="0"/>
    <x v="1"/>
    <n v="17"/>
    <n v="3"/>
    <n v="1"/>
    <n v="3"/>
    <n v="19"/>
    <n v="5"/>
    <n v="2"/>
    <n v="18"/>
    <x v="3"/>
    <n v="10"/>
    <n v="3"/>
    <n v="7"/>
  </r>
  <r>
    <n v="36"/>
    <x v="1"/>
    <s v="Non-Travel"/>
    <n v="1105"/>
    <x v="1"/>
    <n v="24"/>
    <n v="4"/>
    <s v="Life Sciences"/>
    <n v="419"/>
    <n v="2"/>
    <s v="Female"/>
    <n v="47"/>
    <n v="3"/>
    <n v="2"/>
    <x v="2"/>
    <x v="1"/>
    <s v="Married"/>
    <n v="5674"/>
    <x v="0"/>
    <n v="6927"/>
    <n v="7"/>
    <x v="1"/>
    <n v="15"/>
    <n v="3"/>
    <n v="3"/>
    <n v="1"/>
    <n v="11"/>
    <n v="3"/>
    <n v="3"/>
    <n v="9"/>
    <x v="0"/>
    <n v="8"/>
    <n v="0"/>
    <n v="8"/>
  </r>
  <r>
    <n v="32"/>
    <x v="1"/>
    <s v="Travel_Rarely"/>
    <n v="906"/>
    <x v="0"/>
    <n v="7"/>
    <n v="3"/>
    <s v="Life Sciences"/>
    <n v="420"/>
    <n v="4"/>
    <s v="Male"/>
    <n v="91"/>
    <n v="2"/>
    <n v="2"/>
    <x v="0"/>
    <x v="2"/>
    <s v="Married"/>
    <n v="5484"/>
    <x v="0"/>
    <n v="16985"/>
    <n v="1"/>
    <x v="1"/>
    <n v="14"/>
    <n v="3"/>
    <n v="3"/>
    <n v="1"/>
    <n v="13"/>
    <n v="3"/>
    <n v="2"/>
    <n v="13"/>
    <x v="3"/>
    <n v="8"/>
    <n v="4"/>
    <n v="8"/>
  </r>
  <r>
    <n v="38"/>
    <x v="1"/>
    <s v="Travel_Rarely"/>
    <n v="849"/>
    <x v="1"/>
    <n v="25"/>
    <n v="2"/>
    <s v="Life Sciences"/>
    <n v="421"/>
    <n v="1"/>
    <s v="Female"/>
    <n v="81"/>
    <n v="2"/>
    <n v="3"/>
    <x v="7"/>
    <x v="1"/>
    <s v="Married"/>
    <n v="12061"/>
    <x v="2"/>
    <n v="26707"/>
    <n v="3"/>
    <x v="1"/>
    <n v="17"/>
    <n v="3"/>
    <n v="3"/>
    <n v="1"/>
    <n v="19"/>
    <n v="2"/>
    <n v="3"/>
    <n v="10"/>
    <x v="0"/>
    <n v="8"/>
    <n v="0"/>
    <n v="1"/>
  </r>
  <r>
    <n v="58"/>
    <x v="1"/>
    <s v="Non-Travel"/>
    <n v="390"/>
    <x v="1"/>
    <n v="1"/>
    <n v="4"/>
    <s v="Life Sciences"/>
    <n v="422"/>
    <n v="4"/>
    <s v="Male"/>
    <n v="32"/>
    <n v="1"/>
    <n v="2"/>
    <x v="4"/>
    <x v="2"/>
    <s v="Divorced"/>
    <n v="5660"/>
    <x v="0"/>
    <n v="17056"/>
    <n v="2"/>
    <x v="0"/>
    <n v="13"/>
    <n v="3"/>
    <n v="4"/>
    <n v="1"/>
    <n v="12"/>
    <n v="2"/>
    <n v="3"/>
    <n v="5"/>
    <x v="2"/>
    <n v="3"/>
    <n v="1"/>
    <n v="2"/>
  </r>
  <r>
    <n v="31"/>
    <x v="1"/>
    <s v="Travel_Rarely"/>
    <n v="691"/>
    <x v="1"/>
    <n v="5"/>
    <n v="4"/>
    <s v="Technical Degree"/>
    <n v="423"/>
    <n v="3"/>
    <s v="Male"/>
    <n v="86"/>
    <n v="3"/>
    <n v="1"/>
    <x v="1"/>
    <x v="0"/>
    <s v="Married"/>
    <n v="4821"/>
    <x v="0"/>
    <n v="10077"/>
    <n v="0"/>
    <x v="0"/>
    <n v="12"/>
    <n v="3"/>
    <n v="3"/>
    <n v="1"/>
    <n v="6"/>
    <n v="4"/>
    <n v="3"/>
    <n v="5"/>
    <x v="2"/>
    <n v="2"/>
    <n v="0"/>
    <n v="3"/>
  </r>
  <r>
    <n v="31"/>
    <x v="1"/>
    <s v="Travel_Rarely"/>
    <n v="106"/>
    <x v="2"/>
    <n v="2"/>
    <n v="3"/>
    <s v="Human Resources"/>
    <n v="424"/>
    <n v="1"/>
    <s v="Male"/>
    <n v="62"/>
    <n v="2"/>
    <n v="2"/>
    <x v="8"/>
    <x v="3"/>
    <s v="Married"/>
    <n v="6410"/>
    <x v="0"/>
    <n v="17822"/>
    <n v="3"/>
    <x v="1"/>
    <n v="12"/>
    <n v="3"/>
    <n v="4"/>
    <n v="0"/>
    <n v="9"/>
    <n v="1"/>
    <n v="3"/>
    <n v="2"/>
    <x v="1"/>
    <n v="2"/>
    <n v="1"/>
    <n v="0"/>
  </r>
  <r>
    <n v="45"/>
    <x v="1"/>
    <s v="Travel_Frequently"/>
    <n v="1249"/>
    <x v="1"/>
    <n v="7"/>
    <n v="3"/>
    <s v="Life Sciences"/>
    <n v="425"/>
    <n v="1"/>
    <s v="Male"/>
    <n v="97"/>
    <n v="3"/>
    <n v="3"/>
    <x v="2"/>
    <x v="3"/>
    <s v="Divorced"/>
    <n v="5210"/>
    <x v="0"/>
    <n v="20308"/>
    <n v="1"/>
    <x v="1"/>
    <n v="18"/>
    <n v="3"/>
    <n v="1"/>
    <n v="1"/>
    <n v="24"/>
    <n v="2"/>
    <n v="3"/>
    <n v="24"/>
    <x v="3"/>
    <n v="9"/>
    <n v="9"/>
    <n v="11"/>
  </r>
  <r>
    <n v="31"/>
    <x v="1"/>
    <s v="Travel_Rarely"/>
    <n v="192"/>
    <x v="1"/>
    <n v="2"/>
    <n v="4"/>
    <s v="Life Sciences"/>
    <n v="426"/>
    <n v="3"/>
    <s v="Male"/>
    <n v="32"/>
    <n v="3"/>
    <n v="1"/>
    <x v="1"/>
    <x v="0"/>
    <s v="Divorced"/>
    <n v="2695"/>
    <x v="1"/>
    <n v="7747"/>
    <n v="0"/>
    <x v="0"/>
    <n v="18"/>
    <n v="3"/>
    <n v="2"/>
    <n v="1"/>
    <n v="3"/>
    <n v="2"/>
    <n v="1"/>
    <n v="2"/>
    <x v="1"/>
    <n v="2"/>
    <n v="2"/>
    <n v="2"/>
  </r>
  <r>
    <n v="33"/>
    <x v="1"/>
    <s v="Travel_Frequently"/>
    <n v="553"/>
    <x v="1"/>
    <n v="5"/>
    <n v="4"/>
    <s v="Life Sciences"/>
    <n v="428"/>
    <n v="4"/>
    <s v="Female"/>
    <n v="74"/>
    <n v="3"/>
    <n v="3"/>
    <x v="5"/>
    <x v="1"/>
    <s v="Married"/>
    <n v="11878"/>
    <x v="2"/>
    <n v="23364"/>
    <n v="6"/>
    <x v="1"/>
    <n v="11"/>
    <n v="3"/>
    <n v="2"/>
    <n v="2"/>
    <n v="12"/>
    <n v="2"/>
    <n v="3"/>
    <n v="10"/>
    <x v="0"/>
    <n v="6"/>
    <n v="8"/>
    <n v="8"/>
  </r>
  <r>
    <n v="39"/>
    <x v="1"/>
    <s v="Travel_Rarely"/>
    <n v="117"/>
    <x v="1"/>
    <n v="10"/>
    <n v="1"/>
    <s v="Medical"/>
    <n v="429"/>
    <n v="3"/>
    <s v="Male"/>
    <n v="99"/>
    <n v="3"/>
    <n v="4"/>
    <x v="5"/>
    <x v="3"/>
    <s v="Married"/>
    <n v="17068"/>
    <x v="2"/>
    <n v="5355"/>
    <n v="1"/>
    <x v="0"/>
    <n v="14"/>
    <n v="3"/>
    <n v="4"/>
    <n v="0"/>
    <n v="21"/>
    <n v="3"/>
    <n v="3"/>
    <n v="21"/>
    <x v="3"/>
    <n v="9"/>
    <n v="11"/>
    <n v="10"/>
  </r>
  <r>
    <n v="43"/>
    <x v="1"/>
    <s v="Travel_Frequently"/>
    <n v="185"/>
    <x v="1"/>
    <n v="10"/>
    <n v="4"/>
    <s v="Life Sciences"/>
    <n v="430"/>
    <n v="3"/>
    <s v="Female"/>
    <n v="33"/>
    <n v="3"/>
    <n v="1"/>
    <x v="2"/>
    <x v="0"/>
    <s v="Single"/>
    <n v="2455"/>
    <x v="1"/>
    <n v="10675"/>
    <n v="0"/>
    <x v="1"/>
    <n v="19"/>
    <n v="3"/>
    <n v="1"/>
    <n v="0"/>
    <n v="9"/>
    <n v="5"/>
    <n v="3"/>
    <n v="8"/>
    <x v="0"/>
    <n v="7"/>
    <n v="1"/>
    <n v="7"/>
  </r>
  <r>
    <n v="49"/>
    <x v="1"/>
    <s v="Travel_Rarely"/>
    <n v="1091"/>
    <x v="1"/>
    <n v="1"/>
    <n v="2"/>
    <s v="Technical Degree"/>
    <n v="431"/>
    <n v="3"/>
    <s v="Female"/>
    <n v="90"/>
    <n v="2"/>
    <n v="4"/>
    <x v="4"/>
    <x v="2"/>
    <s v="Single"/>
    <n v="13964"/>
    <x v="2"/>
    <n v="17810"/>
    <n v="7"/>
    <x v="0"/>
    <n v="12"/>
    <n v="3"/>
    <n v="4"/>
    <n v="0"/>
    <n v="25"/>
    <n v="2"/>
    <n v="3"/>
    <n v="7"/>
    <x v="0"/>
    <n v="1"/>
    <n v="0"/>
    <n v="7"/>
  </r>
  <r>
    <n v="52"/>
    <x v="0"/>
    <s v="Travel_Rarely"/>
    <n v="723"/>
    <x v="1"/>
    <n v="8"/>
    <n v="4"/>
    <s v="Medical"/>
    <n v="433"/>
    <n v="3"/>
    <s v="Male"/>
    <n v="85"/>
    <n v="2"/>
    <n v="2"/>
    <x v="1"/>
    <x v="1"/>
    <s v="Married"/>
    <n v="4941"/>
    <x v="0"/>
    <n v="17747"/>
    <n v="2"/>
    <x v="1"/>
    <n v="15"/>
    <n v="3"/>
    <n v="1"/>
    <n v="0"/>
    <n v="11"/>
    <n v="3"/>
    <n v="2"/>
    <n v="8"/>
    <x v="0"/>
    <n v="2"/>
    <n v="7"/>
    <n v="7"/>
  </r>
  <r>
    <n v="27"/>
    <x v="1"/>
    <s v="Travel_Rarely"/>
    <n v="1220"/>
    <x v="1"/>
    <n v="5"/>
    <n v="3"/>
    <s v="Life Sciences"/>
    <n v="434"/>
    <n v="3"/>
    <s v="Female"/>
    <n v="85"/>
    <n v="3"/>
    <n v="1"/>
    <x v="1"/>
    <x v="1"/>
    <s v="Single"/>
    <n v="2478"/>
    <x v="1"/>
    <n v="20938"/>
    <n v="1"/>
    <x v="0"/>
    <n v="12"/>
    <n v="3"/>
    <n v="2"/>
    <n v="0"/>
    <n v="4"/>
    <n v="2"/>
    <n v="2"/>
    <n v="4"/>
    <x v="2"/>
    <n v="3"/>
    <n v="1"/>
    <n v="2"/>
  </r>
  <r>
    <n v="32"/>
    <x v="1"/>
    <s v="Travel_Rarely"/>
    <n v="588"/>
    <x v="0"/>
    <n v="8"/>
    <n v="2"/>
    <s v="Technical Degree"/>
    <n v="436"/>
    <n v="3"/>
    <s v="Female"/>
    <n v="65"/>
    <n v="2"/>
    <n v="2"/>
    <x v="0"/>
    <x v="1"/>
    <s v="Married"/>
    <n v="5228"/>
    <x v="0"/>
    <n v="24624"/>
    <n v="1"/>
    <x v="0"/>
    <n v="11"/>
    <n v="3"/>
    <n v="4"/>
    <n v="0"/>
    <n v="13"/>
    <n v="2"/>
    <n v="3"/>
    <n v="13"/>
    <x v="3"/>
    <n v="12"/>
    <n v="11"/>
    <n v="9"/>
  </r>
  <r>
    <n v="27"/>
    <x v="1"/>
    <s v="Travel_Rarely"/>
    <n v="1377"/>
    <x v="0"/>
    <n v="2"/>
    <n v="3"/>
    <s v="Life Sciences"/>
    <n v="437"/>
    <n v="4"/>
    <s v="Male"/>
    <n v="74"/>
    <n v="3"/>
    <n v="2"/>
    <x v="0"/>
    <x v="2"/>
    <s v="Single"/>
    <n v="4478"/>
    <x v="0"/>
    <n v="5242"/>
    <n v="1"/>
    <x v="0"/>
    <n v="11"/>
    <n v="3"/>
    <n v="1"/>
    <n v="0"/>
    <n v="5"/>
    <n v="3"/>
    <n v="3"/>
    <n v="5"/>
    <x v="2"/>
    <n v="4"/>
    <n v="0"/>
    <n v="4"/>
  </r>
  <r>
    <n v="31"/>
    <x v="1"/>
    <s v="Travel_Rarely"/>
    <n v="691"/>
    <x v="0"/>
    <n v="7"/>
    <n v="3"/>
    <s v="Marketing"/>
    <n v="438"/>
    <n v="4"/>
    <s v="Male"/>
    <n v="73"/>
    <n v="3"/>
    <n v="2"/>
    <x v="0"/>
    <x v="0"/>
    <s v="Divorced"/>
    <n v="7547"/>
    <x v="2"/>
    <n v="7143"/>
    <n v="4"/>
    <x v="1"/>
    <n v="12"/>
    <n v="3"/>
    <n v="4"/>
    <n v="3"/>
    <n v="13"/>
    <n v="3"/>
    <n v="3"/>
    <n v="7"/>
    <x v="0"/>
    <n v="7"/>
    <n v="1"/>
    <n v="7"/>
  </r>
  <r>
    <n v="32"/>
    <x v="1"/>
    <s v="Travel_Rarely"/>
    <n v="1018"/>
    <x v="1"/>
    <n v="2"/>
    <n v="4"/>
    <s v="Medical"/>
    <n v="439"/>
    <n v="1"/>
    <s v="Female"/>
    <n v="74"/>
    <n v="4"/>
    <n v="2"/>
    <x v="1"/>
    <x v="0"/>
    <s v="Single"/>
    <n v="5055"/>
    <x v="0"/>
    <n v="10557"/>
    <n v="7"/>
    <x v="1"/>
    <n v="16"/>
    <n v="3"/>
    <n v="3"/>
    <n v="0"/>
    <n v="10"/>
    <n v="0"/>
    <n v="2"/>
    <n v="7"/>
    <x v="0"/>
    <n v="7"/>
    <n v="0"/>
    <n v="7"/>
  </r>
  <r>
    <n v="28"/>
    <x v="0"/>
    <s v="Travel_Rarely"/>
    <n v="1157"/>
    <x v="1"/>
    <n v="2"/>
    <n v="4"/>
    <s v="Medical"/>
    <n v="440"/>
    <n v="1"/>
    <s v="Male"/>
    <n v="84"/>
    <n v="1"/>
    <n v="1"/>
    <x v="1"/>
    <x v="0"/>
    <s v="Married"/>
    <n v="3464"/>
    <x v="0"/>
    <n v="24737"/>
    <n v="5"/>
    <x v="0"/>
    <n v="13"/>
    <n v="3"/>
    <n v="4"/>
    <n v="0"/>
    <n v="5"/>
    <n v="4"/>
    <n v="2"/>
    <n v="3"/>
    <x v="2"/>
    <n v="2"/>
    <n v="2"/>
    <n v="2"/>
  </r>
  <r>
    <n v="30"/>
    <x v="1"/>
    <s v="Travel_Rarely"/>
    <n v="1275"/>
    <x v="1"/>
    <n v="28"/>
    <n v="2"/>
    <s v="Medical"/>
    <n v="441"/>
    <n v="4"/>
    <s v="Female"/>
    <n v="64"/>
    <n v="3"/>
    <n v="2"/>
    <x v="1"/>
    <x v="0"/>
    <s v="Married"/>
    <n v="5775"/>
    <x v="0"/>
    <n v="11934"/>
    <n v="1"/>
    <x v="1"/>
    <n v="13"/>
    <n v="3"/>
    <n v="4"/>
    <n v="2"/>
    <n v="11"/>
    <n v="2"/>
    <n v="3"/>
    <n v="10"/>
    <x v="0"/>
    <n v="8"/>
    <n v="1"/>
    <n v="9"/>
  </r>
  <r>
    <n v="31"/>
    <x v="1"/>
    <s v="Travel_Frequently"/>
    <n v="798"/>
    <x v="1"/>
    <n v="7"/>
    <n v="2"/>
    <s v="Life Sciences"/>
    <n v="442"/>
    <n v="3"/>
    <s v="Female"/>
    <n v="48"/>
    <n v="2"/>
    <n v="3"/>
    <x v="3"/>
    <x v="2"/>
    <s v="Married"/>
    <n v="8943"/>
    <x v="2"/>
    <n v="14034"/>
    <n v="1"/>
    <x v="1"/>
    <n v="24"/>
    <n v="4"/>
    <n v="1"/>
    <n v="1"/>
    <n v="10"/>
    <n v="2"/>
    <n v="3"/>
    <n v="10"/>
    <x v="0"/>
    <n v="9"/>
    <n v="8"/>
    <n v="9"/>
  </r>
  <r>
    <n v="39"/>
    <x v="1"/>
    <s v="Travel_Frequently"/>
    <n v="672"/>
    <x v="1"/>
    <n v="7"/>
    <n v="2"/>
    <s v="Medical"/>
    <n v="444"/>
    <n v="3"/>
    <s v="Male"/>
    <n v="54"/>
    <n v="2"/>
    <n v="5"/>
    <x v="5"/>
    <x v="0"/>
    <s v="Married"/>
    <n v="19272"/>
    <x v="2"/>
    <n v="21141"/>
    <n v="1"/>
    <x v="1"/>
    <n v="15"/>
    <n v="3"/>
    <n v="1"/>
    <n v="1"/>
    <n v="21"/>
    <n v="2"/>
    <n v="3"/>
    <n v="21"/>
    <x v="3"/>
    <n v="9"/>
    <n v="13"/>
    <n v="3"/>
  </r>
  <r>
    <n v="39"/>
    <x v="0"/>
    <s v="Travel_Rarely"/>
    <n v="1162"/>
    <x v="0"/>
    <n v="3"/>
    <n v="2"/>
    <s v="Medical"/>
    <n v="445"/>
    <n v="4"/>
    <s v="Female"/>
    <n v="41"/>
    <n v="3"/>
    <n v="2"/>
    <x v="0"/>
    <x v="2"/>
    <s v="Married"/>
    <n v="5238"/>
    <x v="0"/>
    <n v="17778"/>
    <n v="4"/>
    <x v="0"/>
    <n v="18"/>
    <n v="3"/>
    <n v="1"/>
    <n v="0"/>
    <n v="12"/>
    <n v="3"/>
    <n v="2"/>
    <n v="1"/>
    <x v="1"/>
    <n v="0"/>
    <n v="0"/>
    <n v="0"/>
  </r>
  <r>
    <n v="33"/>
    <x v="1"/>
    <s v="Travel_Frequently"/>
    <n v="508"/>
    <x v="0"/>
    <n v="10"/>
    <n v="3"/>
    <s v="Marketing"/>
    <n v="446"/>
    <n v="2"/>
    <s v="Male"/>
    <n v="46"/>
    <n v="2"/>
    <n v="2"/>
    <x v="0"/>
    <x v="0"/>
    <s v="Single"/>
    <n v="4682"/>
    <x v="0"/>
    <n v="4317"/>
    <n v="3"/>
    <x v="1"/>
    <n v="14"/>
    <n v="3"/>
    <n v="3"/>
    <n v="0"/>
    <n v="9"/>
    <n v="6"/>
    <n v="2"/>
    <n v="7"/>
    <x v="0"/>
    <n v="7"/>
    <n v="0"/>
    <n v="1"/>
  </r>
  <r>
    <n v="47"/>
    <x v="1"/>
    <s v="Travel_Rarely"/>
    <n v="1482"/>
    <x v="1"/>
    <n v="5"/>
    <n v="5"/>
    <s v="Life Sciences"/>
    <n v="447"/>
    <n v="4"/>
    <s v="Male"/>
    <n v="42"/>
    <n v="3"/>
    <n v="5"/>
    <x v="7"/>
    <x v="2"/>
    <s v="Married"/>
    <n v="18300"/>
    <x v="2"/>
    <n v="16375"/>
    <n v="4"/>
    <x v="1"/>
    <n v="11"/>
    <n v="3"/>
    <n v="2"/>
    <n v="1"/>
    <n v="21"/>
    <n v="2"/>
    <n v="3"/>
    <n v="3"/>
    <x v="2"/>
    <n v="2"/>
    <n v="1"/>
    <n v="1"/>
  </r>
  <r>
    <n v="43"/>
    <x v="1"/>
    <s v="Travel_Frequently"/>
    <n v="559"/>
    <x v="1"/>
    <n v="10"/>
    <n v="4"/>
    <s v="Life Sciences"/>
    <n v="448"/>
    <n v="3"/>
    <s v="Female"/>
    <n v="82"/>
    <n v="2"/>
    <n v="2"/>
    <x v="2"/>
    <x v="2"/>
    <s v="Divorced"/>
    <n v="5257"/>
    <x v="0"/>
    <n v="6227"/>
    <n v="1"/>
    <x v="1"/>
    <n v="11"/>
    <n v="3"/>
    <n v="2"/>
    <n v="1"/>
    <n v="9"/>
    <n v="3"/>
    <n v="4"/>
    <n v="9"/>
    <x v="0"/>
    <n v="7"/>
    <n v="0"/>
    <n v="0"/>
  </r>
  <r>
    <n v="27"/>
    <x v="1"/>
    <s v="Non-Travel"/>
    <n v="210"/>
    <x v="0"/>
    <n v="1"/>
    <n v="1"/>
    <s v="Marketing"/>
    <n v="449"/>
    <n v="3"/>
    <s v="Male"/>
    <n v="73"/>
    <n v="3"/>
    <n v="2"/>
    <x v="0"/>
    <x v="1"/>
    <s v="Married"/>
    <n v="6349"/>
    <x v="0"/>
    <n v="22107"/>
    <n v="0"/>
    <x v="0"/>
    <n v="13"/>
    <n v="3"/>
    <n v="4"/>
    <n v="1"/>
    <n v="6"/>
    <n v="0"/>
    <n v="3"/>
    <n v="5"/>
    <x v="2"/>
    <n v="4"/>
    <n v="1"/>
    <n v="4"/>
  </r>
  <r>
    <n v="54"/>
    <x v="1"/>
    <s v="Travel_Frequently"/>
    <n v="928"/>
    <x v="1"/>
    <n v="20"/>
    <n v="4"/>
    <s v="Life Sciences"/>
    <n v="450"/>
    <n v="4"/>
    <s v="Female"/>
    <n v="31"/>
    <n v="3"/>
    <n v="2"/>
    <x v="1"/>
    <x v="2"/>
    <s v="Single"/>
    <n v="4869"/>
    <x v="0"/>
    <n v="16885"/>
    <n v="3"/>
    <x v="1"/>
    <n v="12"/>
    <n v="3"/>
    <n v="4"/>
    <n v="0"/>
    <n v="20"/>
    <n v="4"/>
    <n v="2"/>
    <n v="4"/>
    <x v="2"/>
    <n v="3"/>
    <n v="0"/>
    <n v="3"/>
  </r>
  <r>
    <n v="43"/>
    <x v="1"/>
    <s v="Travel_Rarely"/>
    <n v="1001"/>
    <x v="1"/>
    <n v="7"/>
    <n v="3"/>
    <s v="Life Sciences"/>
    <n v="451"/>
    <n v="3"/>
    <s v="Female"/>
    <n v="43"/>
    <n v="3"/>
    <n v="3"/>
    <x v="4"/>
    <x v="3"/>
    <s v="Married"/>
    <n v="9985"/>
    <x v="2"/>
    <n v="9262"/>
    <n v="8"/>
    <x v="1"/>
    <n v="16"/>
    <n v="3"/>
    <n v="1"/>
    <n v="1"/>
    <n v="10"/>
    <n v="1"/>
    <n v="2"/>
    <n v="1"/>
    <x v="1"/>
    <n v="0"/>
    <n v="0"/>
    <n v="0"/>
  </r>
  <r>
    <n v="45"/>
    <x v="1"/>
    <s v="Travel_Rarely"/>
    <n v="549"/>
    <x v="1"/>
    <n v="8"/>
    <n v="4"/>
    <s v="Other"/>
    <n v="452"/>
    <n v="4"/>
    <s v="Male"/>
    <n v="75"/>
    <n v="3"/>
    <n v="2"/>
    <x v="1"/>
    <x v="0"/>
    <s v="Married"/>
    <n v="3697"/>
    <x v="0"/>
    <n v="9278"/>
    <n v="9"/>
    <x v="1"/>
    <n v="14"/>
    <n v="3"/>
    <n v="1"/>
    <n v="2"/>
    <n v="12"/>
    <n v="3"/>
    <n v="3"/>
    <n v="10"/>
    <x v="0"/>
    <n v="9"/>
    <n v="9"/>
    <n v="8"/>
  </r>
  <r>
    <n v="40"/>
    <x v="1"/>
    <s v="Travel_Rarely"/>
    <n v="1124"/>
    <x v="0"/>
    <n v="1"/>
    <n v="2"/>
    <s v="Medical"/>
    <n v="453"/>
    <n v="2"/>
    <s v="Male"/>
    <n v="57"/>
    <n v="1"/>
    <n v="2"/>
    <x v="0"/>
    <x v="0"/>
    <s v="Married"/>
    <n v="7457"/>
    <x v="2"/>
    <n v="13273"/>
    <n v="2"/>
    <x v="0"/>
    <n v="22"/>
    <n v="4"/>
    <n v="3"/>
    <n v="3"/>
    <n v="6"/>
    <n v="2"/>
    <n v="2"/>
    <n v="4"/>
    <x v="2"/>
    <n v="3"/>
    <n v="0"/>
    <n v="2"/>
  </r>
  <r>
    <n v="29"/>
    <x v="0"/>
    <s v="Travel_Rarely"/>
    <n v="318"/>
    <x v="1"/>
    <n v="8"/>
    <n v="4"/>
    <s v="Other"/>
    <n v="454"/>
    <n v="2"/>
    <s v="Male"/>
    <n v="77"/>
    <n v="1"/>
    <n v="1"/>
    <x v="2"/>
    <x v="3"/>
    <s v="Married"/>
    <n v="2119"/>
    <x v="1"/>
    <n v="4759"/>
    <n v="1"/>
    <x v="0"/>
    <n v="11"/>
    <n v="3"/>
    <n v="4"/>
    <n v="0"/>
    <n v="7"/>
    <n v="4"/>
    <n v="2"/>
    <n v="7"/>
    <x v="0"/>
    <n v="7"/>
    <n v="0"/>
    <n v="7"/>
  </r>
  <r>
    <n v="29"/>
    <x v="1"/>
    <s v="Travel_Rarely"/>
    <n v="738"/>
    <x v="1"/>
    <n v="9"/>
    <n v="5"/>
    <s v="Other"/>
    <n v="455"/>
    <n v="2"/>
    <s v="Male"/>
    <n v="30"/>
    <n v="2"/>
    <n v="1"/>
    <x v="2"/>
    <x v="0"/>
    <s v="Single"/>
    <n v="3983"/>
    <x v="0"/>
    <n v="7621"/>
    <n v="0"/>
    <x v="1"/>
    <n v="17"/>
    <n v="3"/>
    <n v="3"/>
    <n v="0"/>
    <n v="4"/>
    <n v="2"/>
    <n v="3"/>
    <n v="3"/>
    <x v="2"/>
    <n v="2"/>
    <n v="2"/>
    <n v="2"/>
  </r>
  <r>
    <n v="30"/>
    <x v="1"/>
    <s v="Travel_Rarely"/>
    <n v="570"/>
    <x v="0"/>
    <n v="5"/>
    <n v="3"/>
    <s v="Marketing"/>
    <n v="456"/>
    <n v="4"/>
    <s v="Female"/>
    <n v="30"/>
    <n v="2"/>
    <n v="2"/>
    <x v="0"/>
    <x v="2"/>
    <s v="Divorced"/>
    <n v="6118"/>
    <x v="0"/>
    <n v="5431"/>
    <n v="1"/>
    <x v="1"/>
    <n v="13"/>
    <n v="3"/>
    <n v="3"/>
    <n v="3"/>
    <n v="10"/>
    <n v="2"/>
    <n v="3"/>
    <n v="10"/>
    <x v="0"/>
    <n v="9"/>
    <n v="1"/>
    <n v="2"/>
  </r>
  <r>
    <n v="27"/>
    <x v="1"/>
    <s v="Travel_Rarely"/>
    <n v="1130"/>
    <x v="0"/>
    <n v="8"/>
    <n v="4"/>
    <s v="Marketing"/>
    <n v="458"/>
    <n v="2"/>
    <s v="Female"/>
    <n v="56"/>
    <n v="3"/>
    <n v="2"/>
    <x v="0"/>
    <x v="1"/>
    <s v="Married"/>
    <n v="6214"/>
    <x v="0"/>
    <n v="3415"/>
    <n v="1"/>
    <x v="1"/>
    <n v="18"/>
    <n v="3"/>
    <n v="1"/>
    <n v="1"/>
    <n v="8"/>
    <n v="3"/>
    <n v="3"/>
    <n v="8"/>
    <x v="0"/>
    <n v="7"/>
    <n v="0"/>
    <n v="7"/>
  </r>
  <r>
    <n v="37"/>
    <x v="1"/>
    <s v="Travel_Rarely"/>
    <n v="1192"/>
    <x v="1"/>
    <n v="5"/>
    <n v="2"/>
    <s v="Medical"/>
    <n v="460"/>
    <n v="4"/>
    <s v="Male"/>
    <n v="61"/>
    <n v="3"/>
    <n v="2"/>
    <x v="3"/>
    <x v="0"/>
    <s v="Divorced"/>
    <n v="6347"/>
    <x v="0"/>
    <n v="23177"/>
    <n v="7"/>
    <x v="1"/>
    <n v="16"/>
    <n v="3"/>
    <n v="3"/>
    <n v="2"/>
    <n v="8"/>
    <n v="2"/>
    <n v="2"/>
    <n v="6"/>
    <x v="0"/>
    <n v="2"/>
    <n v="0"/>
    <n v="4"/>
  </r>
  <r>
    <n v="38"/>
    <x v="1"/>
    <s v="Travel_Rarely"/>
    <n v="343"/>
    <x v="1"/>
    <n v="15"/>
    <n v="2"/>
    <s v="Life Sciences"/>
    <n v="461"/>
    <n v="3"/>
    <s v="Male"/>
    <n v="92"/>
    <n v="2"/>
    <n v="3"/>
    <x v="7"/>
    <x v="0"/>
    <s v="Divorced"/>
    <n v="11510"/>
    <x v="2"/>
    <n v="15682"/>
    <n v="0"/>
    <x v="0"/>
    <n v="14"/>
    <n v="3"/>
    <n v="2"/>
    <n v="1"/>
    <n v="12"/>
    <n v="3"/>
    <n v="3"/>
    <n v="11"/>
    <x v="3"/>
    <n v="10"/>
    <n v="2"/>
    <n v="9"/>
  </r>
  <r>
    <n v="31"/>
    <x v="1"/>
    <s v="Travel_Rarely"/>
    <n v="1232"/>
    <x v="1"/>
    <n v="7"/>
    <n v="4"/>
    <s v="Medical"/>
    <n v="462"/>
    <n v="3"/>
    <s v="Female"/>
    <n v="39"/>
    <n v="3"/>
    <n v="3"/>
    <x v="3"/>
    <x v="0"/>
    <s v="Single"/>
    <n v="7143"/>
    <x v="2"/>
    <n v="25713"/>
    <n v="1"/>
    <x v="0"/>
    <n v="14"/>
    <n v="3"/>
    <n v="3"/>
    <n v="0"/>
    <n v="11"/>
    <n v="2"/>
    <n v="2"/>
    <n v="11"/>
    <x v="3"/>
    <n v="9"/>
    <n v="4"/>
    <n v="10"/>
  </r>
  <r>
    <n v="29"/>
    <x v="1"/>
    <s v="Travel_Rarely"/>
    <n v="144"/>
    <x v="0"/>
    <n v="10"/>
    <n v="1"/>
    <s v="Marketing"/>
    <n v="463"/>
    <n v="4"/>
    <s v="Female"/>
    <n v="39"/>
    <n v="2"/>
    <n v="2"/>
    <x v="0"/>
    <x v="1"/>
    <s v="Divorced"/>
    <n v="8268"/>
    <x v="2"/>
    <n v="11866"/>
    <n v="1"/>
    <x v="0"/>
    <n v="14"/>
    <n v="3"/>
    <n v="1"/>
    <n v="2"/>
    <n v="7"/>
    <n v="2"/>
    <n v="3"/>
    <n v="7"/>
    <x v="0"/>
    <n v="7"/>
    <n v="1"/>
    <n v="7"/>
  </r>
  <r>
    <n v="35"/>
    <x v="1"/>
    <s v="Travel_Rarely"/>
    <n v="1296"/>
    <x v="1"/>
    <n v="5"/>
    <n v="4"/>
    <s v="Technical Degree"/>
    <n v="464"/>
    <n v="3"/>
    <s v="Male"/>
    <n v="62"/>
    <n v="3"/>
    <n v="3"/>
    <x v="3"/>
    <x v="1"/>
    <s v="Single"/>
    <n v="8095"/>
    <x v="2"/>
    <n v="18264"/>
    <n v="0"/>
    <x v="1"/>
    <n v="13"/>
    <n v="3"/>
    <n v="4"/>
    <n v="0"/>
    <n v="17"/>
    <n v="5"/>
    <n v="3"/>
    <n v="16"/>
    <x v="3"/>
    <n v="6"/>
    <n v="0"/>
    <n v="13"/>
  </r>
  <r>
    <n v="23"/>
    <x v="1"/>
    <s v="Travel_Rarely"/>
    <n v="1309"/>
    <x v="1"/>
    <n v="26"/>
    <n v="1"/>
    <s v="Life Sciences"/>
    <n v="465"/>
    <n v="3"/>
    <s v="Male"/>
    <n v="83"/>
    <n v="3"/>
    <n v="1"/>
    <x v="1"/>
    <x v="0"/>
    <s v="Divorced"/>
    <n v="2904"/>
    <x v="1"/>
    <n v="16092"/>
    <n v="1"/>
    <x v="1"/>
    <n v="12"/>
    <n v="3"/>
    <n v="3"/>
    <n v="2"/>
    <n v="4"/>
    <n v="2"/>
    <n v="2"/>
    <n v="4"/>
    <x v="2"/>
    <n v="2"/>
    <n v="0"/>
    <n v="2"/>
  </r>
  <r>
    <n v="41"/>
    <x v="1"/>
    <s v="Travel_Rarely"/>
    <n v="483"/>
    <x v="1"/>
    <n v="6"/>
    <n v="3"/>
    <s v="Medical"/>
    <n v="466"/>
    <n v="4"/>
    <s v="Male"/>
    <n v="95"/>
    <n v="2"/>
    <n v="2"/>
    <x v="3"/>
    <x v="1"/>
    <s v="Single"/>
    <n v="6032"/>
    <x v="0"/>
    <n v="10110"/>
    <n v="6"/>
    <x v="0"/>
    <n v="15"/>
    <n v="3"/>
    <n v="4"/>
    <n v="0"/>
    <n v="8"/>
    <n v="3"/>
    <n v="3"/>
    <n v="5"/>
    <x v="2"/>
    <n v="4"/>
    <n v="1"/>
    <n v="2"/>
  </r>
  <r>
    <n v="47"/>
    <x v="1"/>
    <s v="Travel_Frequently"/>
    <n v="1309"/>
    <x v="0"/>
    <n v="4"/>
    <n v="1"/>
    <s v="Medical"/>
    <n v="467"/>
    <n v="2"/>
    <s v="Male"/>
    <n v="99"/>
    <n v="3"/>
    <n v="2"/>
    <x v="6"/>
    <x v="2"/>
    <s v="Single"/>
    <n v="2976"/>
    <x v="1"/>
    <n v="25751"/>
    <n v="3"/>
    <x v="1"/>
    <n v="19"/>
    <n v="3"/>
    <n v="1"/>
    <n v="0"/>
    <n v="5"/>
    <n v="3"/>
    <n v="3"/>
    <n v="0"/>
    <x v="1"/>
    <n v="0"/>
    <n v="0"/>
    <n v="0"/>
  </r>
  <r>
    <n v="42"/>
    <x v="1"/>
    <s v="Travel_Rarely"/>
    <n v="810"/>
    <x v="1"/>
    <n v="23"/>
    <n v="5"/>
    <s v="Life Sciences"/>
    <n v="468"/>
    <n v="1"/>
    <s v="Female"/>
    <n v="44"/>
    <n v="3"/>
    <n v="4"/>
    <x v="7"/>
    <x v="0"/>
    <s v="Single"/>
    <n v="15992"/>
    <x v="2"/>
    <n v="15901"/>
    <n v="2"/>
    <x v="1"/>
    <n v="14"/>
    <n v="3"/>
    <n v="2"/>
    <n v="0"/>
    <n v="16"/>
    <n v="2"/>
    <n v="3"/>
    <n v="1"/>
    <x v="1"/>
    <n v="0"/>
    <n v="0"/>
    <n v="0"/>
  </r>
  <r>
    <n v="29"/>
    <x v="1"/>
    <s v="Non-Travel"/>
    <n v="746"/>
    <x v="0"/>
    <n v="2"/>
    <n v="3"/>
    <s v="Life Sciences"/>
    <n v="469"/>
    <n v="4"/>
    <s v="Male"/>
    <n v="61"/>
    <n v="3"/>
    <n v="2"/>
    <x v="0"/>
    <x v="2"/>
    <s v="Married"/>
    <n v="4649"/>
    <x v="0"/>
    <n v="16928"/>
    <n v="1"/>
    <x v="1"/>
    <n v="14"/>
    <n v="3"/>
    <n v="1"/>
    <n v="1"/>
    <n v="4"/>
    <n v="3"/>
    <n v="2"/>
    <n v="4"/>
    <x v="2"/>
    <n v="3"/>
    <n v="0"/>
    <n v="2"/>
  </r>
  <r>
    <n v="42"/>
    <x v="1"/>
    <s v="Travel_Rarely"/>
    <n v="544"/>
    <x v="2"/>
    <n v="2"/>
    <n v="1"/>
    <s v="Technical Degree"/>
    <n v="470"/>
    <n v="3"/>
    <s v="Male"/>
    <n v="52"/>
    <n v="3"/>
    <n v="1"/>
    <x v="8"/>
    <x v="2"/>
    <s v="Divorced"/>
    <n v="2696"/>
    <x v="1"/>
    <n v="24017"/>
    <n v="0"/>
    <x v="0"/>
    <n v="11"/>
    <n v="3"/>
    <n v="3"/>
    <n v="1"/>
    <n v="4"/>
    <n v="5"/>
    <n v="3"/>
    <n v="3"/>
    <x v="2"/>
    <n v="2"/>
    <n v="1"/>
    <n v="0"/>
  </r>
  <r>
    <n v="32"/>
    <x v="1"/>
    <s v="Travel_Rarely"/>
    <n v="1062"/>
    <x v="1"/>
    <n v="2"/>
    <n v="3"/>
    <s v="Medical"/>
    <n v="471"/>
    <n v="3"/>
    <s v="Female"/>
    <n v="75"/>
    <n v="3"/>
    <n v="1"/>
    <x v="2"/>
    <x v="1"/>
    <s v="Married"/>
    <n v="2370"/>
    <x v="1"/>
    <n v="3956"/>
    <n v="1"/>
    <x v="1"/>
    <n v="13"/>
    <n v="3"/>
    <n v="3"/>
    <n v="1"/>
    <n v="8"/>
    <n v="4"/>
    <n v="3"/>
    <n v="8"/>
    <x v="0"/>
    <n v="0"/>
    <n v="0"/>
    <n v="7"/>
  </r>
  <r>
    <n v="48"/>
    <x v="1"/>
    <s v="Travel_Rarely"/>
    <n v="530"/>
    <x v="0"/>
    <n v="29"/>
    <n v="1"/>
    <s v="Medical"/>
    <n v="473"/>
    <n v="1"/>
    <s v="Female"/>
    <n v="91"/>
    <n v="3"/>
    <n v="3"/>
    <x v="5"/>
    <x v="2"/>
    <s v="Married"/>
    <n v="12504"/>
    <x v="2"/>
    <n v="23978"/>
    <n v="3"/>
    <x v="1"/>
    <n v="21"/>
    <n v="4"/>
    <n v="2"/>
    <n v="1"/>
    <n v="15"/>
    <n v="3"/>
    <n v="1"/>
    <n v="0"/>
    <x v="1"/>
    <n v="0"/>
    <n v="0"/>
    <n v="0"/>
  </r>
  <r>
    <n v="37"/>
    <x v="1"/>
    <s v="Travel_Rarely"/>
    <n v="1319"/>
    <x v="1"/>
    <n v="6"/>
    <n v="3"/>
    <s v="Medical"/>
    <n v="474"/>
    <n v="3"/>
    <s v="Male"/>
    <n v="51"/>
    <n v="4"/>
    <n v="2"/>
    <x v="1"/>
    <x v="3"/>
    <s v="Divorced"/>
    <n v="5974"/>
    <x v="0"/>
    <n v="17001"/>
    <n v="4"/>
    <x v="0"/>
    <n v="13"/>
    <n v="3"/>
    <n v="1"/>
    <n v="2"/>
    <n v="13"/>
    <n v="2"/>
    <n v="3"/>
    <n v="7"/>
    <x v="0"/>
    <n v="7"/>
    <n v="6"/>
    <n v="7"/>
  </r>
  <r>
    <n v="30"/>
    <x v="1"/>
    <s v="Non-Travel"/>
    <n v="641"/>
    <x v="0"/>
    <n v="25"/>
    <n v="2"/>
    <s v="Technical Degree"/>
    <n v="475"/>
    <n v="4"/>
    <s v="Female"/>
    <n v="85"/>
    <n v="3"/>
    <n v="2"/>
    <x v="0"/>
    <x v="2"/>
    <s v="Married"/>
    <n v="4736"/>
    <x v="0"/>
    <n v="6069"/>
    <n v="7"/>
    <x v="0"/>
    <n v="12"/>
    <n v="3"/>
    <n v="2"/>
    <n v="1"/>
    <n v="4"/>
    <n v="2"/>
    <n v="4"/>
    <n v="2"/>
    <x v="1"/>
    <n v="2"/>
    <n v="2"/>
    <n v="2"/>
  </r>
  <r>
    <n v="26"/>
    <x v="1"/>
    <s v="Travel_Rarely"/>
    <n v="933"/>
    <x v="0"/>
    <n v="1"/>
    <n v="3"/>
    <s v="Life Sciences"/>
    <n v="476"/>
    <n v="3"/>
    <s v="Male"/>
    <n v="57"/>
    <n v="3"/>
    <n v="2"/>
    <x v="0"/>
    <x v="2"/>
    <s v="Married"/>
    <n v="5296"/>
    <x v="0"/>
    <n v="20156"/>
    <n v="1"/>
    <x v="1"/>
    <n v="17"/>
    <n v="3"/>
    <n v="2"/>
    <n v="1"/>
    <n v="8"/>
    <n v="3"/>
    <n v="3"/>
    <n v="8"/>
    <x v="0"/>
    <n v="7"/>
    <n v="7"/>
    <n v="7"/>
  </r>
  <r>
    <n v="42"/>
    <x v="1"/>
    <s v="Travel_Rarely"/>
    <n v="1332"/>
    <x v="1"/>
    <n v="2"/>
    <n v="4"/>
    <s v="Other"/>
    <n v="477"/>
    <n v="1"/>
    <s v="Male"/>
    <n v="98"/>
    <n v="2"/>
    <n v="2"/>
    <x v="4"/>
    <x v="0"/>
    <s v="Single"/>
    <n v="6781"/>
    <x v="0"/>
    <n v="17078"/>
    <n v="3"/>
    <x v="1"/>
    <n v="23"/>
    <n v="4"/>
    <n v="2"/>
    <n v="0"/>
    <n v="14"/>
    <n v="6"/>
    <n v="3"/>
    <n v="1"/>
    <x v="1"/>
    <n v="0"/>
    <n v="0"/>
    <n v="0"/>
  </r>
  <r>
    <n v="21"/>
    <x v="0"/>
    <s v="Travel_Frequently"/>
    <n v="756"/>
    <x v="0"/>
    <n v="1"/>
    <n v="1"/>
    <s v="Technical Degree"/>
    <n v="478"/>
    <n v="1"/>
    <s v="Female"/>
    <n v="99"/>
    <n v="2"/>
    <n v="1"/>
    <x v="6"/>
    <x v="1"/>
    <s v="Single"/>
    <n v="2174"/>
    <x v="1"/>
    <n v="9150"/>
    <n v="1"/>
    <x v="0"/>
    <n v="11"/>
    <n v="3"/>
    <n v="3"/>
    <n v="0"/>
    <n v="3"/>
    <n v="3"/>
    <n v="3"/>
    <n v="3"/>
    <x v="2"/>
    <n v="2"/>
    <n v="1"/>
    <n v="2"/>
  </r>
  <r>
    <n v="36"/>
    <x v="1"/>
    <s v="Non-Travel"/>
    <n v="845"/>
    <x v="0"/>
    <n v="1"/>
    <n v="5"/>
    <s v="Medical"/>
    <n v="479"/>
    <n v="4"/>
    <s v="Female"/>
    <n v="45"/>
    <n v="3"/>
    <n v="2"/>
    <x v="0"/>
    <x v="0"/>
    <s v="Single"/>
    <n v="6653"/>
    <x v="0"/>
    <n v="15276"/>
    <n v="4"/>
    <x v="1"/>
    <n v="15"/>
    <n v="3"/>
    <n v="2"/>
    <n v="0"/>
    <n v="7"/>
    <n v="6"/>
    <n v="3"/>
    <n v="1"/>
    <x v="1"/>
    <n v="0"/>
    <n v="0"/>
    <n v="0"/>
  </r>
  <r>
    <n v="36"/>
    <x v="1"/>
    <s v="Travel_Frequently"/>
    <n v="541"/>
    <x v="0"/>
    <n v="3"/>
    <n v="4"/>
    <s v="Medical"/>
    <n v="481"/>
    <n v="1"/>
    <s v="Male"/>
    <n v="48"/>
    <n v="2"/>
    <n v="3"/>
    <x v="0"/>
    <x v="0"/>
    <s v="Married"/>
    <n v="9699"/>
    <x v="2"/>
    <n v="7246"/>
    <n v="4"/>
    <x v="1"/>
    <n v="11"/>
    <n v="3"/>
    <n v="1"/>
    <n v="1"/>
    <n v="16"/>
    <n v="2"/>
    <n v="3"/>
    <n v="13"/>
    <x v="3"/>
    <n v="9"/>
    <n v="1"/>
    <n v="12"/>
  </r>
  <r>
    <n v="57"/>
    <x v="1"/>
    <s v="Travel_Rarely"/>
    <n v="593"/>
    <x v="1"/>
    <n v="1"/>
    <n v="4"/>
    <s v="Medical"/>
    <n v="482"/>
    <n v="4"/>
    <s v="Male"/>
    <n v="88"/>
    <n v="3"/>
    <n v="2"/>
    <x v="4"/>
    <x v="2"/>
    <s v="Married"/>
    <n v="6755"/>
    <x v="0"/>
    <n v="2967"/>
    <n v="2"/>
    <x v="1"/>
    <n v="11"/>
    <n v="3"/>
    <n v="3"/>
    <n v="0"/>
    <n v="15"/>
    <n v="2"/>
    <n v="3"/>
    <n v="3"/>
    <x v="2"/>
    <n v="2"/>
    <n v="1"/>
    <n v="2"/>
  </r>
  <r>
    <n v="40"/>
    <x v="1"/>
    <s v="Travel_Rarely"/>
    <n v="1171"/>
    <x v="1"/>
    <n v="10"/>
    <n v="4"/>
    <s v="Life Sciences"/>
    <n v="483"/>
    <n v="4"/>
    <s v="Female"/>
    <n v="46"/>
    <n v="4"/>
    <n v="1"/>
    <x v="2"/>
    <x v="2"/>
    <s v="Married"/>
    <n v="2213"/>
    <x v="1"/>
    <n v="22495"/>
    <n v="3"/>
    <x v="0"/>
    <n v="13"/>
    <n v="3"/>
    <n v="3"/>
    <n v="1"/>
    <n v="10"/>
    <n v="3"/>
    <n v="3"/>
    <n v="7"/>
    <x v="0"/>
    <n v="7"/>
    <n v="1"/>
    <n v="7"/>
  </r>
  <r>
    <n v="21"/>
    <x v="1"/>
    <s v="Non-Travel"/>
    <n v="895"/>
    <x v="0"/>
    <n v="9"/>
    <n v="2"/>
    <s v="Medical"/>
    <n v="484"/>
    <n v="1"/>
    <s v="Male"/>
    <n v="39"/>
    <n v="3"/>
    <n v="1"/>
    <x v="6"/>
    <x v="0"/>
    <s v="Single"/>
    <n v="2610"/>
    <x v="1"/>
    <n v="2851"/>
    <n v="1"/>
    <x v="1"/>
    <n v="24"/>
    <n v="4"/>
    <n v="3"/>
    <n v="0"/>
    <n v="3"/>
    <n v="3"/>
    <n v="2"/>
    <n v="3"/>
    <x v="2"/>
    <n v="2"/>
    <n v="2"/>
    <n v="2"/>
  </r>
  <r>
    <n v="33"/>
    <x v="0"/>
    <s v="Travel_Rarely"/>
    <n v="350"/>
    <x v="0"/>
    <n v="5"/>
    <n v="3"/>
    <s v="Marketing"/>
    <n v="485"/>
    <n v="4"/>
    <s v="Female"/>
    <n v="34"/>
    <n v="3"/>
    <n v="1"/>
    <x v="6"/>
    <x v="2"/>
    <s v="Single"/>
    <n v="2851"/>
    <x v="1"/>
    <n v="9150"/>
    <n v="1"/>
    <x v="0"/>
    <n v="13"/>
    <n v="3"/>
    <n v="2"/>
    <n v="0"/>
    <n v="1"/>
    <n v="2"/>
    <n v="3"/>
    <n v="1"/>
    <x v="1"/>
    <n v="0"/>
    <n v="0"/>
    <n v="0"/>
  </r>
  <r>
    <n v="37"/>
    <x v="1"/>
    <s v="Travel_Rarely"/>
    <n v="921"/>
    <x v="1"/>
    <n v="10"/>
    <n v="3"/>
    <s v="Medical"/>
    <n v="486"/>
    <n v="3"/>
    <s v="Female"/>
    <n v="98"/>
    <n v="3"/>
    <n v="1"/>
    <x v="2"/>
    <x v="3"/>
    <s v="Married"/>
    <n v="3452"/>
    <x v="0"/>
    <n v="17663"/>
    <n v="6"/>
    <x v="1"/>
    <n v="20"/>
    <n v="4"/>
    <n v="2"/>
    <n v="1"/>
    <n v="17"/>
    <n v="3"/>
    <n v="3"/>
    <n v="5"/>
    <x v="2"/>
    <n v="4"/>
    <n v="0"/>
    <n v="3"/>
  </r>
  <r>
    <n v="46"/>
    <x v="1"/>
    <s v="Non-Travel"/>
    <n v="1144"/>
    <x v="1"/>
    <n v="7"/>
    <n v="4"/>
    <s v="Medical"/>
    <n v="487"/>
    <n v="3"/>
    <s v="Female"/>
    <n v="30"/>
    <n v="3"/>
    <n v="2"/>
    <x v="3"/>
    <x v="2"/>
    <s v="Married"/>
    <n v="5258"/>
    <x v="0"/>
    <n v="16044"/>
    <n v="2"/>
    <x v="1"/>
    <n v="14"/>
    <n v="3"/>
    <n v="3"/>
    <n v="0"/>
    <n v="7"/>
    <n v="2"/>
    <n v="4"/>
    <n v="1"/>
    <x v="1"/>
    <n v="0"/>
    <n v="0"/>
    <n v="0"/>
  </r>
  <r>
    <n v="41"/>
    <x v="0"/>
    <s v="Travel_Frequently"/>
    <n v="143"/>
    <x v="0"/>
    <n v="4"/>
    <n v="3"/>
    <s v="Marketing"/>
    <n v="488"/>
    <n v="1"/>
    <s v="Male"/>
    <n v="56"/>
    <n v="3"/>
    <n v="2"/>
    <x v="0"/>
    <x v="1"/>
    <s v="Single"/>
    <n v="9355"/>
    <x v="2"/>
    <n v="9558"/>
    <n v="1"/>
    <x v="1"/>
    <n v="18"/>
    <n v="3"/>
    <n v="3"/>
    <n v="0"/>
    <n v="8"/>
    <n v="5"/>
    <n v="3"/>
    <n v="8"/>
    <x v="0"/>
    <n v="7"/>
    <n v="7"/>
    <n v="7"/>
  </r>
  <r>
    <n v="50"/>
    <x v="1"/>
    <s v="Travel_Rarely"/>
    <n v="1046"/>
    <x v="1"/>
    <n v="10"/>
    <n v="3"/>
    <s v="Technical Degree"/>
    <n v="491"/>
    <n v="4"/>
    <s v="Male"/>
    <n v="100"/>
    <n v="2"/>
    <n v="3"/>
    <x v="4"/>
    <x v="0"/>
    <s v="Single"/>
    <n v="10496"/>
    <x v="2"/>
    <n v="2755"/>
    <n v="6"/>
    <x v="1"/>
    <n v="15"/>
    <n v="3"/>
    <n v="4"/>
    <n v="0"/>
    <n v="20"/>
    <n v="2"/>
    <n v="3"/>
    <n v="4"/>
    <x v="2"/>
    <n v="3"/>
    <n v="1"/>
    <n v="3"/>
  </r>
  <r>
    <n v="40"/>
    <x v="0"/>
    <s v="Travel_Rarely"/>
    <n v="575"/>
    <x v="0"/>
    <n v="22"/>
    <n v="2"/>
    <s v="Marketing"/>
    <n v="492"/>
    <n v="3"/>
    <s v="Male"/>
    <n v="68"/>
    <n v="2"/>
    <n v="2"/>
    <x v="0"/>
    <x v="2"/>
    <s v="Married"/>
    <n v="6380"/>
    <x v="0"/>
    <n v="6110"/>
    <n v="2"/>
    <x v="0"/>
    <n v="12"/>
    <n v="3"/>
    <n v="1"/>
    <n v="2"/>
    <n v="8"/>
    <n v="6"/>
    <n v="3"/>
    <n v="6"/>
    <x v="0"/>
    <n v="4"/>
    <n v="1"/>
    <n v="0"/>
  </r>
  <r>
    <n v="31"/>
    <x v="1"/>
    <s v="Travel_Rarely"/>
    <n v="408"/>
    <x v="1"/>
    <n v="9"/>
    <n v="4"/>
    <s v="Life Sciences"/>
    <n v="493"/>
    <n v="3"/>
    <s v="Male"/>
    <n v="42"/>
    <n v="2"/>
    <n v="1"/>
    <x v="1"/>
    <x v="1"/>
    <s v="Single"/>
    <n v="2657"/>
    <x v="1"/>
    <n v="7551"/>
    <n v="0"/>
    <x v="0"/>
    <n v="16"/>
    <n v="3"/>
    <n v="4"/>
    <n v="0"/>
    <n v="3"/>
    <n v="5"/>
    <n v="3"/>
    <n v="2"/>
    <x v="1"/>
    <n v="2"/>
    <n v="2"/>
    <n v="2"/>
  </r>
  <r>
    <n v="21"/>
    <x v="0"/>
    <s v="Travel_Rarely"/>
    <n v="156"/>
    <x v="0"/>
    <n v="12"/>
    <n v="3"/>
    <s v="Life Sciences"/>
    <n v="494"/>
    <n v="3"/>
    <s v="Female"/>
    <n v="90"/>
    <n v="4"/>
    <n v="1"/>
    <x v="6"/>
    <x v="1"/>
    <s v="Single"/>
    <n v="2716"/>
    <x v="1"/>
    <n v="25422"/>
    <n v="1"/>
    <x v="1"/>
    <n v="15"/>
    <n v="3"/>
    <n v="4"/>
    <n v="0"/>
    <n v="1"/>
    <n v="0"/>
    <n v="3"/>
    <n v="1"/>
    <x v="1"/>
    <n v="0"/>
    <n v="0"/>
    <n v="0"/>
  </r>
  <r>
    <n v="29"/>
    <x v="1"/>
    <s v="Travel_Rarely"/>
    <n v="1283"/>
    <x v="1"/>
    <n v="23"/>
    <n v="3"/>
    <s v="Life Sciences"/>
    <n v="495"/>
    <n v="4"/>
    <s v="Male"/>
    <n v="54"/>
    <n v="3"/>
    <n v="1"/>
    <x v="1"/>
    <x v="0"/>
    <s v="Single"/>
    <n v="2201"/>
    <x v="1"/>
    <n v="18168"/>
    <n v="9"/>
    <x v="1"/>
    <n v="16"/>
    <n v="3"/>
    <n v="4"/>
    <n v="0"/>
    <n v="6"/>
    <n v="4"/>
    <n v="3"/>
    <n v="3"/>
    <x v="2"/>
    <n v="2"/>
    <n v="1"/>
    <n v="2"/>
  </r>
  <r>
    <n v="35"/>
    <x v="1"/>
    <s v="Travel_Rarely"/>
    <n v="755"/>
    <x v="1"/>
    <n v="9"/>
    <n v="4"/>
    <s v="Life Sciences"/>
    <n v="496"/>
    <n v="3"/>
    <s v="Male"/>
    <n v="97"/>
    <n v="2"/>
    <n v="2"/>
    <x v="4"/>
    <x v="1"/>
    <s v="Single"/>
    <n v="6540"/>
    <x v="0"/>
    <n v="19394"/>
    <n v="9"/>
    <x v="1"/>
    <n v="19"/>
    <n v="3"/>
    <n v="3"/>
    <n v="0"/>
    <n v="10"/>
    <n v="5"/>
    <n v="3"/>
    <n v="1"/>
    <x v="1"/>
    <n v="1"/>
    <n v="0"/>
    <n v="0"/>
  </r>
  <r>
    <n v="27"/>
    <x v="1"/>
    <s v="Travel_Rarely"/>
    <n v="1469"/>
    <x v="1"/>
    <n v="1"/>
    <n v="2"/>
    <s v="Medical"/>
    <n v="497"/>
    <n v="4"/>
    <s v="Male"/>
    <n v="82"/>
    <n v="3"/>
    <n v="1"/>
    <x v="2"/>
    <x v="1"/>
    <s v="Divorced"/>
    <n v="3816"/>
    <x v="0"/>
    <n v="17881"/>
    <n v="1"/>
    <x v="1"/>
    <n v="11"/>
    <n v="3"/>
    <n v="2"/>
    <n v="1"/>
    <n v="5"/>
    <n v="2"/>
    <n v="3"/>
    <n v="5"/>
    <x v="2"/>
    <n v="2"/>
    <n v="0"/>
    <n v="4"/>
  </r>
  <r>
    <n v="28"/>
    <x v="1"/>
    <s v="Travel_Rarely"/>
    <n v="304"/>
    <x v="0"/>
    <n v="9"/>
    <n v="4"/>
    <s v="Life Sciences"/>
    <n v="498"/>
    <n v="2"/>
    <s v="Male"/>
    <n v="92"/>
    <n v="3"/>
    <n v="2"/>
    <x v="0"/>
    <x v="0"/>
    <s v="Single"/>
    <n v="5253"/>
    <x v="0"/>
    <n v="20750"/>
    <n v="1"/>
    <x v="1"/>
    <n v="16"/>
    <n v="3"/>
    <n v="4"/>
    <n v="0"/>
    <n v="7"/>
    <n v="1"/>
    <n v="3"/>
    <n v="7"/>
    <x v="0"/>
    <n v="5"/>
    <n v="0"/>
    <n v="7"/>
  </r>
  <r>
    <n v="49"/>
    <x v="1"/>
    <s v="Travel_Rarely"/>
    <n v="1261"/>
    <x v="1"/>
    <n v="7"/>
    <n v="3"/>
    <s v="Other"/>
    <n v="499"/>
    <n v="2"/>
    <s v="Male"/>
    <n v="31"/>
    <n v="2"/>
    <n v="3"/>
    <x v="4"/>
    <x v="2"/>
    <s v="Single"/>
    <n v="10965"/>
    <x v="2"/>
    <n v="12066"/>
    <n v="8"/>
    <x v="1"/>
    <n v="24"/>
    <n v="4"/>
    <n v="3"/>
    <n v="0"/>
    <n v="26"/>
    <n v="2"/>
    <n v="3"/>
    <n v="5"/>
    <x v="2"/>
    <n v="2"/>
    <n v="0"/>
    <n v="0"/>
  </r>
  <r>
    <n v="51"/>
    <x v="1"/>
    <s v="Travel_Rarely"/>
    <n v="1178"/>
    <x v="0"/>
    <n v="14"/>
    <n v="2"/>
    <s v="Life Sciences"/>
    <n v="500"/>
    <n v="3"/>
    <s v="Female"/>
    <n v="87"/>
    <n v="3"/>
    <n v="2"/>
    <x v="0"/>
    <x v="0"/>
    <s v="Married"/>
    <n v="4936"/>
    <x v="0"/>
    <n v="14862"/>
    <n v="4"/>
    <x v="1"/>
    <n v="11"/>
    <n v="3"/>
    <n v="3"/>
    <n v="1"/>
    <n v="18"/>
    <n v="2"/>
    <n v="2"/>
    <n v="7"/>
    <x v="0"/>
    <n v="7"/>
    <n v="0"/>
    <n v="7"/>
  </r>
  <r>
    <n v="36"/>
    <x v="1"/>
    <s v="Travel_Rarely"/>
    <n v="329"/>
    <x v="1"/>
    <n v="2"/>
    <n v="3"/>
    <s v="Life Sciences"/>
    <n v="501"/>
    <n v="4"/>
    <s v="Female"/>
    <n v="96"/>
    <n v="3"/>
    <n v="1"/>
    <x v="1"/>
    <x v="2"/>
    <s v="Married"/>
    <n v="2543"/>
    <x v="1"/>
    <n v="11868"/>
    <n v="4"/>
    <x v="1"/>
    <n v="13"/>
    <n v="3"/>
    <n v="2"/>
    <n v="1"/>
    <n v="6"/>
    <n v="3"/>
    <n v="3"/>
    <n v="2"/>
    <x v="1"/>
    <n v="2"/>
    <n v="2"/>
    <n v="2"/>
  </r>
  <r>
    <n v="34"/>
    <x v="0"/>
    <s v="Non-Travel"/>
    <n v="1362"/>
    <x v="0"/>
    <n v="19"/>
    <n v="3"/>
    <s v="Marketing"/>
    <n v="502"/>
    <n v="1"/>
    <s v="Male"/>
    <n v="67"/>
    <n v="4"/>
    <n v="2"/>
    <x v="0"/>
    <x v="0"/>
    <s v="Single"/>
    <n v="5304"/>
    <x v="0"/>
    <n v="4652"/>
    <n v="8"/>
    <x v="0"/>
    <n v="13"/>
    <n v="3"/>
    <n v="2"/>
    <n v="0"/>
    <n v="9"/>
    <n v="3"/>
    <n v="2"/>
    <n v="5"/>
    <x v="2"/>
    <n v="2"/>
    <n v="0"/>
    <n v="4"/>
  </r>
  <r>
    <n v="55"/>
    <x v="1"/>
    <s v="Travel_Rarely"/>
    <n v="1311"/>
    <x v="1"/>
    <n v="2"/>
    <n v="3"/>
    <s v="Life Sciences"/>
    <n v="505"/>
    <n v="3"/>
    <s v="Female"/>
    <n v="97"/>
    <n v="3"/>
    <n v="4"/>
    <x v="5"/>
    <x v="0"/>
    <s v="Single"/>
    <n v="16659"/>
    <x v="2"/>
    <n v="23258"/>
    <n v="2"/>
    <x v="0"/>
    <n v="13"/>
    <n v="3"/>
    <n v="3"/>
    <n v="0"/>
    <n v="30"/>
    <n v="2"/>
    <n v="3"/>
    <n v="5"/>
    <x v="2"/>
    <n v="4"/>
    <n v="1"/>
    <n v="2"/>
  </r>
  <r>
    <n v="24"/>
    <x v="1"/>
    <s v="Travel_Rarely"/>
    <n v="1371"/>
    <x v="0"/>
    <n v="10"/>
    <n v="4"/>
    <s v="Marketing"/>
    <n v="507"/>
    <n v="4"/>
    <s v="Female"/>
    <n v="77"/>
    <n v="3"/>
    <n v="2"/>
    <x v="0"/>
    <x v="2"/>
    <s v="Divorced"/>
    <n v="4260"/>
    <x v="0"/>
    <n v="5915"/>
    <n v="1"/>
    <x v="0"/>
    <n v="12"/>
    <n v="3"/>
    <n v="4"/>
    <n v="1"/>
    <n v="5"/>
    <n v="2"/>
    <n v="4"/>
    <n v="5"/>
    <x v="2"/>
    <n v="2"/>
    <n v="0"/>
    <n v="3"/>
  </r>
  <r>
    <n v="30"/>
    <x v="1"/>
    <s v="Travel_Rarely"/>
    <n v="202"/>
    <x v="0"/>
    <n v="2"/>
    <n v="1"/>
    <s v="Technical Degree"/>
    <n v="508"/>
    <n v="3"/>
    <s v="Male"/>
    <n v="72"/>
    <n v="3"/>
    <n v="1"/>
    <x v="6"/>
    <x v="1"/>
    <s v="Married"/>
    <n v="2476"/>
    <x v="1"/>
    <n v="17434"/>
    <n v="1"/>
    <x v="1"/>
    <n v="18"/>
    <n v="3"/>
    <n v="1"/>
    <n v="1"/>
    <n v="1"/>
    <n v="3"/>
    <n v="3"/>
    <n v="1"/>
    <x v="1"/>
    <n v="0"/>
    <n v="0"/>
    <n v="0"/>
  </r>
  <r>
    <n v="26"/>
    <x v="0"/>
    <s v="Travel_Frequently"/>
    <n v="575"/>
    <x v="1"/>
    <n v="3"/>
    <n v="1"/>
    <s v="Technical Degree"/>
    <n v="510"/>
    <n v="3"/>
    <s v="Male"/>
    <n v="73"/>
    <n v="3"/>
    <n v="1"/>
    <x v="1"/>
    <x v="3"/>
    <s v="Single"/>
    <n v="3102"/>
    <x v="0"/>
    <n v="6582"/>
    <n v="0"/>
    <x v="1"/>
    <n v="22"/>
    <n v="4"/>
    <n v="3"/>
    <n v="0"/>
    <n v="7"/>
    <n v="2"/>
    <n v="3"/>
    <n v="6"/>
    <x v="0"/>
    <n v="4"/>
    <n v="0"/>
    <n v="4"/>
  </r>
  <r>
    <n v="22"/>
    <x v="1"/>
    <s v="Travel_Rarely"/>
    <n v="253"/>
    <x v="1"/>
    <n v="11"/>
    <n v="3"/>
    <s v="Medical"/>
    <n v="511"/>
    <n v="1"/>
    <s v="Female"/>
    <n v="43"/>
    <n v="3"/>
    <n v="1"/>
    <x v="1"/>
    <x v="1"/>
    <s v="Married"/>
    <n v="2244"/>
    <x v="1"/>
    <n v="24440"/>
    <n v="1"/>
    <x v="1"/>
    <n v="13"/>
    <n v="3"/>
    <n v="4"/>
    <n v="1"/>
    <n v="2"/>
    <n v="1"/>
    <n v="3"/>
    <n v="2"/>
    <x v="1"/>
    <n v="1"/>
    <n v="1"/>
    <n v="2"/>
  </r>
  <r>
    <n v="36"/>
    <x v="1"/>
    <s v="Travel_Rarely"/>
    <n v="164"/>
    <x v="0"/>
    <n v="2"/>
    <n v="2"/>
    <s v="Medical"/>
    <n v="513"/>
    <n v="2"/>
    <s v="Male"/>
    <n v="61"/>
    <n v="2"/>
    <n v="3"/>
    <x v="0"/>
    <x v="2"/>
    <s v="Married"/>
    <n v="7596"/>
    <x v="2"/>
    <n v="3809"/>
    <n v="1"/>
    <x v="1"/>
    <n v="13"/>
    <n v="3"/>
    <n v="2"/>
    <n v="2"/>
    <n v="10"/>
    <n v="2"/>
    <n v="3"/>
    <n v="10"/>
    <x v="0"/>
    <n v="9"/>
    <n v="9"/>
    <n v="0"/>
  </r>
  <r>
    <n v="30"/>
    <x v="0"/>
    <s v="Travel_Frequently"/>
    <n v="464"/>
    <x v="1"/>
    <n v="4"/>
    <n v="3"/>
    <s v="Technical Degree"/>
    <n v="514"/>
    <n v="3"/>
    <s v="Male"/>
    <n v="40"/>
    <n v="3"/>
    <n v="1"/>
    <x v="1"/>
    <x v="0"/>
    <s v="Single"/>
    <n v="2285"/>
    <x v="1"/>
    <n v="3427"/>
    <n v="9"/>
    <x v="0"/>
    <n v="23"/>
    <n v="4"/>
    <n v="3"/>
    <n v="0"/>
    <n v="3"/>
    <n v="4"/>
    <n v="3"/>
    <n v="1"/>
    <x v="1"/>
    <n v="0"/>
    <n v="0"/>
    <n v="0"/>
  </r>
  <r>
    <n v="37"/>
    <x v="1"/>
    <s v="Travel_Rarely"/>
    <n v="1107"/>
    <x v="1"/>
    <n v="14"/>
    <n v="3"/>
    <s v="Life Sciences"/>
    <n v="515"/>
    <n v="4"/>
    <s v="Female"/>
    <n v="95"/>
    <n v="3"/>
    <n v="1"/>
    <x v="2"/>
    <x v="3"/>
    <s v="Divorced"/>
    <n v="3034"/>
    <x v="0"/>
    <n v="26914"/>
    <n v="1"/>
    <x v="1"/>
    <n v="12"/>
    <n v="3"/>
    <n v="3"/>
    <n v="1"/>
    <n v="18"/>
    <n v="2"/>
    <n v="2"/>
    <n v="18"/>
    <x v="3"/>
    <n v="7"/>
    <n v="12"/>
    <n v="17"/>
  </r>
  <r>
    <n v="40"/>
    <x v="1"/>
    <s v="Travel_Rarely"/>
    <n v="759"/>
    <x v="0"/>
    <n v="2"/>
    <n v="2"/>
    <s v="Marketing"/>
    <n v="516"/>
    <n v="4"/>
    <s v="Female"/>
    <n v="46"/>
    <n v="3"/>
    <n v="2"/>
    <x v="0"/>
    <x v="1"/>
    <s v="Divorced"/>
    <n v="5715"/>
    <x v="0"/>
    <n v="22553"/>
    <n v="7"/>
    <x v="1"/>
    <n v="12"/>
    <n v="3"/>
    <n v="3"/>
    <n v="2"/>
    <n v="8"/>
    <n v="5"/>
    <n v="3"/>
    <n v="5"/>
    <x v="2"/>
    <n v="4"/>
    <n v="1"/>
    <n v="3"/>
  </r>
  <r>
    <n v="42"/>
    <x v="1"/>
    <s v="Travel_Rarely"/>
    <n v="201"/>
    <x v="1"/>
    <n v="1"/>
    <n v="4"/>
    <s v="Life Sciences"/>
    <n v="517"/>
    <n v="2"/>
    <s v="Female"/>
    <n v="95"/>
    <n v="3"/>
    <n v="1"/>
    <x v="2"/>
    <x v="3"/>
    <s v="Divorced"/>
    <n v="2576"/>
    <x v="1"/>
    <n v="20490"/>
    <n v="3"/>
    <x v="1"/>
    <n v="16"/>
    <n v="3"/>
    <n v="2"/>
    <n v="1"/>
    <n v="8"/>
    <n v="5"/>
    <n v="3"/>
    <n v="5"/>
    <x v="2"/>
    <n v="2"/>
    <n v="1"/>
    <n v="2"/>
  </r>
  <r>
    <n v="37"/>
    <x v="1"/>
    <s v="Travel_Rarely"/>
    <n v="1305"/>
    <x v="1"/>
    <n v="10"/>
    <n v="4"/>
    <s v="Life Sciences"/>
    <n v="518"/>
    <n v="3"/>
    <s v="Male"/>
    <n v="49"/>
    <n v="3"/>
    <n v="2"/>
    <x v="3"/>
    <x v="1"/>
    <s v="Single"/>
    <n v="4197"/>
    <x v="0"/>
    <n v="21123"/>
    <n v="2"/>
    <x v="0"/>
    <n v="12"/>
    <n v="3"/>
    <n v="4"/>
    <n v="0"/>
    <n v="18"/>
    <n v="2"/>
    <n v="2"/>
    <n v="1"/>
    <x v="1"/>
    <n v="0"/>
    <n v="0"/>
    <n v="1"/>
  </r>
  <r>
    <n v="43"/>
    <x v="1"/>
    <s v="Travel_Rarely"/>
    <n v="982"/>
    <x v="1"/>
    <n v="12"/>
    <n v="3"/>
    <s v="Life Sciences"/>
    <n v="520"/>
    <n v="1"/>
    <s v="Male"/>
    <n v="59"/>
    <n v="2"/>
    <n v="4"/>
    <x v="7"/>
    <x v="1"/>
    <s v="Divorced"/>
    <n v="14336"/>
    <x v="2"/>
    <n v="4345"/>
    <n v="1"/>
    <x v="1"/>
    <n v="11"/>
    <n v="3"/>
    <n v="3"/>
    <n v="1"/>
    <n v="25"/>
    <n v="3"/>
    <n v="3"/>
    <n v="25"/>
    <x v="3"/>
    <n v="10"/>
    <n v="3"/>
    <n v="9"/>
  </r>
  <r>
    <n v="40"/>
    <x v="1"/>
    <s v="Travel_Rarely"/>
    <n v="555"/>
    <x v="1"/>
    <n v="2"/>
    <n v="3"/>
    <s v="Medical"/>
    <n v="521"/>
    <n v="2"/>
    <s v="Female"/>
    <n v="78"/>
    <n v="2"/>
    <n v="2"/>
    <x v="2"/>
    <x v="2"/>
    <s v="Married"/>
    <n v="3448"/>
    <x v="0"/>
    <n v="13436"/>
    <n v="6"/>
    <x v="1"/>
    <n v="22"/>
    <n v="4"/>
    <n v="2"/>
    <n v="1"/>
    <n v="20"/>
    <n v="3"/>
    <n v="3"/>
    <n v="1"/>
    <x v="1"/>
    <n v="0"/>
    <n v="0"/>
    <n v="0"/>
  </r>
  <r>
    <n v="54"/>
    <x v="1"/>
    <s v="Travel_Rarely"/>
    <n v="821"/>
    <x v="1"/>
    <n v="5"/>
    <n v="2"/>
    <s v="Medical"/>
    <n v="522"/>
    <n v="1"/>
    <s v="Male"/>
    <n v="86"/>
    <n v="3"/>
    <n v="5"/>
    <x v="7"/>
    <x v="3"/>
    <s v="Married"/>
    <n v="19406"/>
    <x v="2"/>
    <n v="8509"/>
    <n v="4"/>
    <x v="1"/>
    <n v="11"/>
    <n v="3"/>
    <n v="3"/>
    <n v="1"/>
    <n v="24"/>
    <n v="4"/>
    <n v="2"/>
    <n v="4"/>
    <x v="2"/>
    <n v="2"/>
    <n v="1"/>
    <n v="2"/>
  </r>
  <r>
    <n v="34"/>
    <x v="1"/>
    <s v="Non-Travel"/>
    <n v="1381"/>
    <x v="0"/>
    <n v="4"/>
    <n v="4"/>
    <s v="Marketing"/>
    <n v="523"/>
    <n v="3"/>
    <s v="Female"/>
    <n v="72"/>
    <n v="3"/>
    <n v="2"/>
    <x v="0"/>
    <x v="2"/>
    <s v="Married"/>
    <n v="6538"/>
    <x v="0"/>
    <n v="12740"/>
    <n v="9"/>
    <x v="1"/>
    <n v="15"/>
    <n v="3"/>
    <n v="1"/>
    <n v="1"/>
    <n v="6"/>
    <n v="3"/>
    <n v="3"/>
    <n v="3"/>
    <x v="2"/>
    <n v="2"/>
    <n v="1"/>
    <n v="2"/>
  </r>
  <r>
    <n v="31"/>
    <x v="1"/>
    <s v="Travel_Rarely"/>
    <n v="480"/>
    <x v="1"/>
    <n v="7"/>
    <n v="2"/>
    <s v="Medical"/>
    <n v="524"/>
    <n v="2"/>
    <s v="Female"/>
    <n v="31"/>
    <n v="3"/>
    <n v="2"/>
    <x v="3"/>
    <x v="3"/>
    <s v="Married"/>
    <n v="4306"/>
    <x v="0"/>
    <n v="4156"/>
    <n v="1"/>
    <x v="1"/>
    <n v="12"/>
    <n v="3"/>
    <n v="2"/>
    <n v="1"/>
    <n v="13"/>
    <n v="5"/>
    <n v="1"/>
    <n v="13"/>
    <x v="3"/>
    <n v="10"/>
    <n v="3"/>
    <n v="12"/>
  </r>
  <r>
    <n v="43"/>
    <x v="1"/>
    <s v="Travel_Frequently"/>
    <n v="313"/>
    <x v="1"/>
    <n v="21"/>
    <n v="3"/>
    <s v="Medical"/>
    <n v="525"/>
    <n v="4"/>
    <s v="Male"/>
    <n v="61"/>
    <n v="3"/>
    <n v="1"/>
    <x v="2"/>
    <x v="0"/>
    <s v="Married"/>
    <n v="2258"/>
    <x v="1"/>
    <n v="15238"/>
    <n v="7"/>
    <x v="1"/>
    <n v="20"/>
    <n v="4"/>
    <n v="1"/>
    <n v="1"/>
    <n v="8"/>
    <n v="1"/>
    <n v="3"/>
    <n v="3"/>
    <x v="2"/>
    <n v="2"/>
    <n v="1"/>
    <n v="2"/>
  </r>
  <r>
    <n v="43"/>
    <x v="1"/>
    <s v="Travel_Rarely"/>
    <n v="1473"/>
    <x v="1"/>
    <n v="8"/>
    <n v="4"/>
    <s v="Other"/>
    <n v="526"/>
    <n v="3"/>
    <s v="Female"/>
    <n v="74"/>
    <n v="3"/>
    <n v="2"/>
    <x v="4"/>
    <x v="2"/>
    <s v="Divorced"/>
    <n v="4522"/>
    <x v="0"/>
    <n v="2227"/>
    <n v="4"/>
    <x v="0"/>
    <n v="14"/>
    <n v="3"/>
    <n v="4"/>
    <n v="0"/>
    <n v="8"/>
    <n v="3"/>
    <n v="3"/>
    <n v="5"/>
    <x v="2"/>
    <n v="2"/>
    <n v="0"/>
    <n v="2"/>
  </r>
  <r>
    <n v="25"/>
    <x v="1"/>
    <s v="Travel_Rarely"/>
    <n v="891"/>
    <x v="0"/>
    <n v="4"/>
    <n v="2"/>
    <s v="Life Sciences"/>
    <n v="527"/>
    <n v="2"/>
    <s v="Female"/>
    <n v="99"/>
    <n v="2"/>
    <n v="2"/>
    <x v="0"/>
    <x v="0"/>
    <s v="Single"/>
    <n v="4487"/>
    <x v="0"/>
    <n v="12090"/>
    <n v="1"/>
    <x v="0"/>
    <n v="11"/>
    <n v="3"/>
    <n v="2"/>
    <n v="0"/>
    <n v="5"/>
    <n v="3"/>
    <n v="3"/>
    <n v="5"/>
    <x v="2"/>
    <n v="4"/>
    <n v="1"/>
    <n v="3"/>
  </r>
  <r>
    <n v="37"/>
    <x v="1"/>
    <s v="Non-Travel"/>
    <n v="1063"/>
    <x v="1"/>
    <n v="25"/>
    <n v="5"/>
    <s v="Medical"/>
    <n v="529"/>
    <n v="2"/>
    <s v="Female"/>
    <n v="72"/>
    <n v="3"/>
    <n v="2"/>
    <x v="1"/>
    <x v="2"/>
    <s v="Married"/>
    <n v="4449"/>
    <x v="0"/>
    <n v="23866"/>
    <n v="3"/>
    <x v="0"/>
    <n v="15"/>
    <n v="3"/>
    <n v="1"/>
    <n v="2"/>
    <n v="15"/>
    <n v="2"/>
    <n v="3"/>
    <n v="13"/>
    <x v="3"/>
    <n v="11"/>
    <n v="10"/>
    <n v="7"/>
  </r>
  <r>
    <n v="31"/>
    <x v="1"/>
    <s v="Travel_Rarely"/>
    <n v="329"/>
    <x v="1"/>
    <n v="1"/>
    <n v="2"/>
    <s v="Life Sciences"/>
    <n v="530"/>
    <n v="4"/>
    <s v="Male"/>
    <n v="98"/>
    <n v="2"/>
    <n v="1"/>
    <x v="2"/>
    <x v="3"/>
    <s v="Married"/>
    <n v="2218"/>
    <x v="1"/>
    <n v="16193"/>
    <n v="1"/>
    <x v="1"/>
    <n v="12"/>
    <n v="3"/>
    <n v="3"/>
    <n v="1"/>
    <n v="4"/>
    <n v="3"/>
    <n v="3"/>
    <n v="4"/>
    <x v="2"/>
    <n v="2"/>
    <n v="3"/>
    <n v="2"/>
  </r>
  <r>
    <n v="39"/>
    <x v="1"/>
    <s v="Travel_Frequently"/>
    <n v="1218"/>
    <x v="1"/>
    <n v="1"/>
    <n v="1"/>
    <s v="Life Sciences"/>
    <n v="531"/>
    <n v="2"/>
    <s v="Male"/>
    <n v="52"/>
    <n v="3"/>
    <n v="5"/>
    <x v="5"/>
    <x v="2"/>
    <s v="Divorced"/>
    <n v="19197"/>
    <x v="2"/>
    <n v="8213"/>
    <n v="1"/>
    <x v="0"/>
    <n v="14"/>
    <n v="3"/>
    <n v="3"/>
    <n v="1"/>
    <n v="21"/>
    <n v="3"/>
    <n v="3"/>
    <n v="21"/>
    <x v="3"/>
    <n v="8"/>
    <n v="1"/>
    <n v="6"/>
  </r>
  <r>
    <n v="56"/>
    <x v="1"/>
    <s v="Travel_Frequently"/>
    <n v="906"/>
    <x v="0"/>
    <n v="6"/>
    <n v="3"/>
    <s v="Life Sciences"/>
    <n v="532"/>
    <n v="3"/>
    <s v="Female"/>
    <n v="86"/>
    <n v="4"/>
    <n v="4"/>
    <x v="0"/>
    <x v="3"/>
    <s v="Married"/>
    <n v="13212"/>
    <x v="2"/>
    <n v="18256"/>
    <n v="9"/>
    <x v="1"/>
    <n v="11"/>
    <n v="3"/>
    <n v="4"/>
    <n v="3"/>
    <n v="36"/>
    <n v="0"/>
    <n v="2"/>
    <n v="7"/>
    <x v="0"/>
    <n v="7"/>
    <n v="7"/>
    <n v="7"/>
  </r>
  <r>
    <n v="30"/>
    <x v="1"/>
    <s v="Travel_Rarely"/>
    <n v="1082"/>
    <x v="0"/>
    <n v="12"/>
    <n v="3"/>
    <s v="Technical Degree"/>
    <n v="533"/>
    <n v="2"/>
    <s v="Female"/>
    <n v="83"/>
    <n v="3"/>
    <n v="2"/>
    <x v="0"/>
    <x v="2"/>
    <s v="Single"/>
    <n v="6577"/>
    <x v="0"/>
    <n v="19558"/>
    <n v="0"/>
    <x v="1"/>
    <n v="11"/>
    <n v="3"/>
    <n v="2"/>
    <n v="0"/>
    <n v="6"/>
    <n v="6"/>
    <n v="3"/>
    <n v="5"/>
    <x v="2"/>
    <n v="4"/>
    <n v="4"/>
    <n v="4"/>
  </r>
  <r>
    <n v="41"/>
    <x v="1"/>
    <s v="Travel_Rarely"/>
    <n v="645"/>
    <x v="0"/>
    <n v="1"/>
    <n v="3"/>
    <s v="Marketing"/>
    <n v="534"/>
    <n v="2"/>
    <s v="Male"/>
    <n v="49"/>
    <n v="4"/>
    <n v="3"/>
    <x v="0"/>
    <x v="3"/>
    <s v="Married"/>
    <n v="8392"/>
    <x v="2"/>
    <n v="19566"/>
    <n v="1"/>
    <x v="1"/>
    <n v="16"/>
    <n v="3"/>
    <n v="3"/>
    <n v="1"/>
    <n v="10"/>
    <n v="2"/>
    <n v="3"/>
    <n v="10"/>
    <x v="0"/>
    <n v="7"/>
    <n v="0"/>
    <n v="7"/>
  </r>
  <r>
    <n v="28"/>
    <x v="1"/>
    <s v="Travel_Rarely"/>
    <n v="1300"/>
    <x v="1"/>
    <n v="17"/>
    <n v="2"/>
    <s v="Medical"/>
    <n v="536"/>
    <n v="3"/>
    <s v="Male"/>
    <n v="79"/>
    <n v="3"/>
    <n v="2"/>
    <x v="2"/>
    <x v="3"/>
    <s v="Divorced"/>
    <n v="4558"/>
    <x v="0"/>
    <n v="13535"/>
    <n v="1"/>
    <x v="1"/>
    <n v="12"/>
    <n v="3"/>
    <n v="4"/>
    <n v="1"/>
    <n v="10"/>
    <n v="2"/>
    <n v="3"/>
    <n v="10"/>
    <x v="0"/>
    <n v="0"/>
    <n v="1"/>
    <n v="8"/>
  </r>
  <r>
    <n v="25"/>
    <x v="0"/>
    <s v="Travel_Rarely"/>
    <n v="688"/>
    <x v="1"/>
    <n v="3"/>
    <n v="3"/>
    <s v="Medical"/>
    <n v="538"/>
    <n v="1"/>
    <s v="Male"/>
    <n v="91"/>
    <n v="3"/>
    <n v="1"/>
    <x v="2"/>
    <x v="3"/>
    <s v="Married"/>
    <n v="4031"/>
    <x v="0"/>
    <n v="9396"/>
    <n v="5"/>
    <x v="1"/>
    <n v="13"/>
    <n v="3"/>
    <n v="3"/>
    <n v="1"/>
    <n v="6"/>
    <n v="5"/>
    <n v="3"/>
    <n v="2"/>
    <x v="1"/>
    <n v="2"/>
    <n v="0"/>
    <n v="2"/>
  </r>
  <r>
    <n v="52"/>
    <x v="1"/>
    <s v="Travel_Rarely"/>
    <n v="319"/>
    <x v="1"/>
    <n v="3"/>
    <n v="3"/>
    <s v="Medical"/>
    <n v="543"/>
    <n v="4"/>
    <s v="Male"/>
    <n v="39"/>
    <n v="2"/>
    <n v="3"/>
    <x v="3"/>
    <x v="2"/>
    <s v="Married"/>
    <n v="7969"/>
    <x v="2"/>
    <n v="19609"/>
    <n v="2"/>
    <x v="0"/>
    <n v="14"/>
    <n v="3"/>
    <n v="3"/>
    <n v="0"/>
    <n v="28"/>
    <n v="4"/>
    <n v="3"/>
    <n v="5"/>
    <x v="2"/>
    <n v="4"/>
    <n v="0"/>
    <n v="4"/>
  </r>
  <r>
    <n v="45"/>
    <x v="1"/>
    <s v="Travel_Rarely"/>
    <n v="192"/>
    <x v="1"/>
    <n v="10"/>
    <n v="2"/>
    <s v="Life Sciences"/>
    <n v="544"/>
    <n v="1"/>
    <s v="Male"/>
    <n v="69"/>
    <n v="3"/>
    <n v="1"/>
    <x v="1"/>
    <x v="0"/>
    <s v="Married"/>
    <n v="2654"/>
    <x v="1"/>
    <n v="9655"/>
    <n v="3"/>
    <x v="1"/>
    <n v="21"/>
    <n v="4"/>
    <n v="4"/>
    <n v="2"/>
    <n v="8"/>
    <n v="3"/>
    <n v="2"/>
    <n v="2"/>
    <x v="1"/>
    <n v="2"/>
    <n v="0"/>
    <n v="2"/>
  </r>
  <r>
    <n v="52"/>
    <x v="1"/>
    <s v="Travel_Rarely"/>
    <n v="1490"/>
    <x v="1"/>
    <n v="4"/>
    <n v="2"/>
    <s v="Life Sciences"/>
    <n v="546"/>
    <n v="4"/>
    <s v="Female"/>
    <n v="30"/>
    <n v="3"/>
    <n v="4"/>
    <x v="5"/>
    <x v="0"/>
    <s v="Married"/>
    <n v="16555"/>
    <x v="2"/>
    <n v="10310"/>
    <n v="2"/>
    <x v="1"/>
    <n v="13"/>
    <n v="3"/>
    <n v="4"/>
    <n v="0"/>
    <n v="31"/>
    <n v="2"/>
    <n v="1"/>
    <n v="5"/>
    <x v="2"/>
    <n v="2"/>
    <n v="1"/>
    <n v="4"/>
  </r>
  <r>
    <n v="42"/>
    <x v="1"/>
    <s v="Travel_Frequently"/>
    <n v="532"/>
    <x v="1"/>
    <n v="29"/>
    <n v="2"/>
    <s v="Life Sciences"/>
    <n v="547"/>
    <n v="1"/>
    <s v="Female"/>
    <n v="92"/>
    <n v="3"/>
    <n v="2"/>
    <x v="1"/>
    <x v="2"/>
    <s v="Divorced"/>
    <n v="4556"/>
    <x v="0"/>
    <n v="12932"/>
    <n v="2"/>
    <x v="1"/>
    <n v="11"/>
    <n v="3"/>
    <n v="2"/>
    <n v="1"/>
    <n v="19"/>
    <n v="3"/>
    <n v="3"/>
    <n v="5"/>
    <x v="2"/>
    <n v="4"/>
    <n v="0"/>
    <n v="2"/>
  </r>
  <r>
    <n v="30"/>
    <x v="1"/>
    <s v="Travel_Rarely"/>
    <n v="317"/>
    <x v="1"/>
    <n v="2"/>
    <n v="3"/>
    <s v="Life Sciences"/>
    <n v="548"/>
    <n v="3"/>
    <s v="Female"/>
    <n v="43"/>
    <n v="1"/>
    <n v="2"/>
    <x v="3"/>
    <x v="0"/>
    <s v="Single"/>
    <n v="6091"/>
    <x v="0"/>
    <n v="24793"/>
    <n v="2"/>
    <x v="1"/>
    <n v="20"/>
    <n v="4"/>
    <n v="3"/>
    <n v="0"/>
    <n v="11"/>
    <n v="2"/>
    <n v="3"/>
    <n v="5"/>
    <x v="2"/>
    <n v="4"/>
    <n v="0"/>
    <n v="2"/>
  </r>
  <r>
    <n v="60"/>
    <x v="1"/>
    <s v="Travel_Rarely"/>
    <n v="422"/>
    <x v="1"/>
    <n v="7"/>
    <n v="3"/>
    <s v="Life Sciences"/>
    <n v="549"/>
    <n v="1"/>
    <s v="Female"/>
    <n v="41"/>
    <n v="3"/>
    <n v="5"/>
    <x v="5"/>
    <x v="3"/>
    <s v="Married"/>
    <n v="19566"/>
    <x v="2"/>
    <n v="3854"/>
    <n v="5"/>
    <x v="1"/>
    <n v="11"/>
    <n v="3"/>
    <n v="4"/>
    <n v="0"/>
    <n v="33"/>
    <n v="5"/>
    <n v="1"/>
    <n v="29"/>
    <x v="3"/>
    <n v="8"/>
    <n v="11"/>
    <n v="10"/>
  </r>
  <r>
    <n v="46"/>
    <x v="1"/>
    <s v="Travel_Rarely"/>
    <n v="1485"/>
    <x v="1"/>
    <n v="18"/>
    <n v="3"/>
    <s v="Medical"/>
    <n v="550"/>
    <n v="3"/>
    <s v="Female"/>
    <n v="87"/>
    <n v="3"/>
    <n v="2"/>
    <x v="3"/>
    <x v="2"/>
    <s v="Divorced"/>
    <n v="4810"/>
    <x v="0"/>
    <n v="26314"/>
    <n v="2"/>
    <x v="1"/>
    <n v="14"/>
    <n v="3"/>
    <n v="3"/>
    <n v="1"/>
    <n v="19"/>
    <n v="5"/>
    <n v="2"/>
    <n v="10"/>
    <x v="0"/>
    <n v="7"/>
    <n v="0"/>
    <n v="8"/>
  </r>
  <r>
    <n v="42"/>
    <x v="1"/>
    <s v="Travel_Frequently"/>
    <n v="1368"/>
    <x v="1"/>
    <n v="28"/>
    <n v="4"/>
    <s v="Technical Degree"/>
    <n v="551"/>
    <n v="4"/>
    <s v="Female"/>
    <n v="88"/>
    <n v="2"/>
    <n v="2"/>
    <x v="4"/>
    <x v="0"/>
    <s v="Married"/>
    <n v="4523"/>
    <x v="0"/>
    <n v="4386"/>
    <n v="0"/>
    <x v="1"/>
    <n v="11"/>
    <n v="3"/>
    <n v="4"/>
    <n v="3"/>
    <n v="7"/>
    <n v="4"/>
    <n v="4"/>
    <n v="6"/>
    <x v="0"/>
    <n v="5"/>
    <n v="0"/>
    <n v="4"/>
  </r>
  <r>
    <n v="24"/>
    <x v="0"/>
    <s v="Travel_Rarely"/>
    <n v="1448"/>
    <x v="0"/>
    <n v="1"/>
    <n v="1"/>
    <s v="Technical Degree"/>
    <n v="554"/>
    <n v="1"/>
    <s v="Female"/>
    <n v="62"/>
    <n v="3"/>
    <n v="1"/>
    <x v="6"/>
    <x v="1"/>
    <s v="Single"/>
    <n v="3202"/>
    <x v="0"/>
    <n v="21972"/>
    <n v="1"/>
    <x v="0"/>
    <n v="16"/>
    <n v="3"/>
    <n v="2"/>
    <n v="0"/>
    <n v="6"/>
    <n v="4"/>
    <n v="3"/>
    <n v="5"/>
    <x v="2"/>
    <n v="3"/>
    <n v="1"/>
    <n v="4"/>
  </r>
  <r>
    <n v="34"/>
    <x v="0"/>
    <s v="Travel_Frequently"/>
    <n v="296"/>
    <x v="0"/>
    <n v="6"/>
    <n v="2"/>
    <s v="Marketing"/>
    <n v="555"/>
    <n v="4"/>
    <s v="Female"/>
    <n v="33"/>
    <n v="1"/>
    <n v="1"/>
    <x v="6"/>
    <x v="2"/>
    <s v="Divorced"/>
    <n v="2351"/>
    <x v="1"/>
    <n v="12253"/>
    <n v="0"/>
    <x v="1"/>
    <n v="16"/>
    <n v="3"/>
    <n v="4"/>
    <n v="1"/>
    <n v="3"/>
    <n v="3"/>
    <n v="2"/>
    <n v="2"/>
    <x v="1"/>
    <n v="2"/>
    <n v="1"/>
    <n v="0"/>
  </r>
  <r>
    <n v="38"/>
    <x v="1"/>
    <s v="Travel_Frequently"/>
    <n v="1490"/>
    <x v="1"/>
    <n v="2"/>
    <n v="2"/>
    <s v="Life Sciences"/>
    <n v="556"/>
    <n v="4"/>
    <s v="Male"/>
    <n v="42"/>
    <n v="3"/>
    <n v="1"/>
    <x v="2"/>
    <x v="0"/>
    <s v="Married"/>
    <n v="1702"/>
    <x v="1"/>
    <n v="12106"/>
    <n v="1"/>
    <x v="0"/>
    <n v="23"/>
    <n v="4"/>
    <n v="3"/>
    <n v="1"/>
    <n v="1"/>
    <n v="3"/>
    <n v="3"/>
    <n v="1"/>
    <x v="1"/>
    <n v="0"/>
    <n v="0"/>
    <n v="0"/>
  </r>
  <r>
    <n v="40"/>
    <x v="1"/>
    <s v="Travel_Rarely"/>
    <n v="1398"/>
    <x v="0"/>
    <n v="2"/>
    <n v="4"/>
    <s v="Life Sciences"/>
    <n v="558"/>
    <n v="3"/>
    <s v="Female"/>
    <n v="79"/>
    <n v="3"/>
    <n v="5"/>
    <x v="5"/>
    <x v="2"/>
    <s v="Married"/>
    <n v="18041"/>
    <x v="2"/>
    <n v="13022"/>
    <n v="0"/>
    <x v="1"/>
    <n v="14"/>
    <n v="3"/>
    <n v="4"/>
    <n v="0"/>
    <n v="21"/>
    <n v="2"/>
    <n v="3"/>
    <n v="20"/>
    <x v="3"/>
    <n v="15"/>
    <n v="1"/>
    <n v="12"/>
  </r>
  <r>
    <n v="26"/>
    <x v="1"/>
    <s v="Travel_Rarely"/>
    <n v="1349"/>
    <x v="1"/>
    <n v="23"/>
    <n v="3"/>
    <s v="Life Sciences"/>
    <n v="560"/>
    <n v="1"/>
    <s v="Female"/>
    <n v="90"/>
    <n v="3"/>
    <n v="1"/>
    <x v="1"/>
    <x v="0"/>
    <s v="Divorced"/>
    <n v="2886"/>
    <x v="1"/>
    <n v="3032"/>
    <n v="1"/>
    <x v="1"/>
    <n v="22"/>
    <n v="4"/>
    <n v="2"/>
    <n v="2"/>
    <n v="3"/>
    <n v="3"/>
    <n v="1"/>
    <n v="3"/>
    <x v="2"/>
    <n v="2"/>
    <n v="0"/>
    <n v="2"/>
  </r>
  <r>
    <n v="30"/>
    <x v="1"/>
    <s v="Non-Travel"/>
    <n v="1400"/>
    <x v="1"/>
    <n v="3"/>
    <n v="3"/>
    <s v="Life Sciences"/>
    <n v="562"/>
    <n v="3"/>
    <s v="Male"/>
    <n v="53"/>
    <n v="3"/>
    <n v="1"/>
    <x v="2"/>
    <x v="0"/>
    <s v="Married"/>
    <n v="2097"/>
    <x v="1"/>
    <n v="16734"/>
    <n v="4"/>
    <x v="1"/>
    <n v="15"/>
    <n v="3"/>
    <n v="3"/>
    <n v="1"/>
    <n v="9"/>
    <n v="3"/>
    <n v="1"/>
    <n v="5"/>
    <x v="2"/>
    <n v="3"/>
    <n v="1"/>
    <n v="4"/>
  </r>
  <r>
    <n v="29"/>
    <x v="1"/>
    <s v="Travel_Rarely"/>
    <n v="986"/>
    <x v="1"/>
    <n v="3"/>
    <n v="4"/>
    <s v="Medical"/>
    <n v="564"/>
    <n v="2"/>
    <s v="Male"/>
    <n v="93"/>
    <n v="2"/>
    <n v="3"/>
    <x v="7"/>
    <x v="2"/>
    <s v="Married"/>
    <n v="11935"/>
    <x v="2"/>
    <n v="21526"/>
    <n v="1"/>
    <x v="1"/>
    <n v="18"/>
    <n v="3"/>
    <n v="3"/>
    <n v="0"/>
    <n v="10"/>
    <n v="2"/>
    <n v="3"/>
    <n v="10"/>
    <x v="0"/>
    <n v="2"/>
    <n v="0"/>
    <n v="7"/>
  </r>
  <r>
    <n v="29"/>
    <x v="0"/>
    <s v="Travel_Rarely"/>
    <n v="408"/>
    <x v="1"/>
    <n v="25"/>
    <n v="5"/>
    <s v="Technical Degree"/>
    <n v="565"/>
    <n v="3"/>
    <s v="Female"/>
    <n v="71"/>
    <n v="2"/>
    <n v="1"/>
    <x v="1"/>
    <x v="1"/>
    <s v="Married"/>
    <n v="2546"/>
    <x v="1"/>
    <n v="18300"/>
    <n v="5"/>
    <x v="1"/>
    <n v="16"/>
    <n v="3"/>
    <n v="2"/>
    <n v="0"/>
    <n v="6"/>
    <n v="2"/>
    <n v="4"/>
    <n v="2"/>
    <x v="1"/>
    <n v="2"/>
    <n v="1"/>
    <n v="1"/>
  </r>
  <r>
    <n v="19"/>
    <x v="0"/>
    <s v="Travel_Rarely"/>
    <n v="489"/>
    <x v="2"/>
    <n v="2"/>
    <n v="2"/>
    <s v="Technical Degree"/>
    <n v="566"/>
    <n v="1"/>
    <s v="Male"/>
    <n v="52"/>
    <n v="2"/>
    <n v="1"/>
    <x v="8"/>
    <x v="0"/>
    <s v="Single"/>
    <n v="2564"/>
    <x v="1"/>
    <n v="18437"/>
    <n v="1"/>
    <x v="1"/>
    <n v="12"/>
    <n v="3"/>
    <n v="3"/>
    <n v="0"/>
    <n v="1"/>
    <n v="3"/>
    <n v="4"/>
    <n v="1"/>
    <x v="1"/>
    <n v="0"/>
    <n v="0"/>
    <n v="0"/>
  </r>
  <r>
    <n v="30"/>
    <x v="1"/>
    <s v="Non-Travel"/>
    <n v="1398"/>
    <x v="0"/>
    <n v="22"/>
    <n v="4"/>
    <s v="Other"/>
    <n v="567"/>
    <n v="3"/>
    <s v="Female"/>
    <n v="69"/>
    <n v="3"/>
    <n v="3"/>
    <x v="0"/>
    <x v="3"/>
    <s v="Married"/>
    <n v="8412"/>
    <x v="2"/>
    <n v="2890"/>
    <n v="0"/>
    <x v="1"/>
    <n v="11"/>
    <n v="3"/>
    <n v="3"/>
    <n v="0"/>
    <n v="10"/>
    <n v="3"/>
    <n v="3"/>
    <n v="9"/>
    <x v="0"/>
    <n v="8"/>
    <n v="7"/>
    <n v="8"/>
  </r>
  <r>
    <n v="57"/>
    <x v="1"/>
    <s v="Travel_Rarely"/>
    <n v="210"/>
    <x v="0"/>
    <n v="29"/>
    <n v="3"/>
    <s v="Marketing"/>
    <n v="568"/>
    <n v="1"/>
    <s v="Male"/>
    <n v="56"/>
    <n v="2"/>
    <n v="4"/>
    <x v="5"/>
    <x v="0"/>
    <s v="Divorced"/>
    <n v="14118"/>
    <x v="2"/>
    <n v="22102"/>
    <n v="3"/>
    <x v="1"/>
    <n v="12"/>
    <n v="3"/>
    <n v="3"/>
    <n v="1"/>
    <n v="32"/>
    <n v="3"/>
    <n v="2"/>
    <n v="1"/>
    <x v="1"/>
    <n v="0"/>
    <n v="0"/>
    <n v="0"/>
  </r>
  <r>
    <n v="50"/>
    <x v="1"/>
    <s v="Travel_Rarely"/>
    <n v="1099"/>
    <x v="1"/>
    <n v="29"/>
    <n v="4"/>
    <s v="Life Sciences"/>
    <n v="569"/>
    <n v="2"/>
    <s v="Male"/>
    <n v="88"/>
    <n v="2"/>
    <n v="4"/>
    <x v="5"/>
    <x v="2"/>
    <s v="Married"/>
    <n v="17046"/>
    <x v="2"/>
    <n v="9314"/>
    <n v="0"/>
    <x v="1"/>
    <n v="15"/>
    <n v="3"/>
    <n v="2"/>
    <n v="1"/>
    <n v="28"/>
    <n v="2"/>
    <n v="3"/>
    <n v="27"/>
    <x v="3"/>
    <n v="10"/>
    <n v="15"/>
    <n v="7"/>
  </r>
  <r>
    <n v="30"/>
    <x v="1"/>
    <s v="Non-Travel"/>
    <n v="1116"/>
    <x v="1"/>
    <n v="2"/>
    <n v="3"/>
    <s v="Medical"/>
    <n v="571"/>
    <n v="3"/>
    <s v="Female"/>
    <n v="49"/>
    <n v="3"/>
    <n v="1"/>
    <x v="2"/>
    <x v="0"/>
    <s v="Single"/>
    <n v="2564"/>
    <x v="1"/>
    <n v="7181"/>
    <n v="0"/>
    <x v="1"/>
    <n v="14"/>
    <n v="3"/>
    <n v="3"/>
    <n v="0"/>
    <n v="12"/>
    <n v="2"/>
    <n v="2"/>
    <n v="11"/>
    <x v="3"/>
    <n v="7"/>
    <n v="6"/>
    <n v="7"/>
  </r>
  <r>
    <n v="60"/>
    <x v="1"/>
    <s v="Travel_Frequently"/>
    <n v="1499"/>
    <x v="0"/>
    <n v="28"/>
    <n v="3"/>
    <s v="Marketing"/>
    <n v="573"/>
    <n v="3"/>
    <s v="Female"/>
    <n v="80"/>
    <n v="2"/>
    <n v="3"/>
    <x v="0"/>
    <x v="3"/>
    <s v="Married"/>
    <n v="10266"/>
    <x v="2"/>
    <n v="2845"/>
    <n v="4"/>
    <x v="1"/>
    <n v="19"/>
    <n v="3"/>
    <n v="4"/>
    <n v="0"/>
    <n v="22"/>
    <n v="5"/>
    <n v="4"/>
    <n v="18"/>
    <x v="3"/>
    <n v="13"/>
    <n v="13"/>
    <n v="11"/>
  </r>
  <r>
    <n v="47"/>
    <x v="1"/>
    <s v="Travel_Rarely"/>
    <n v="983"/>
    <x v="1"/>
    <n v="2"/>
    <n v="2"/>
    <s v="Medical"/>
    <n v="574"/>
    <n v="1"/>
    <s v="Female"/>
    <n v="65"/>
    <n v="3"/>
    <n v="2"/>
    <x v="3"/>
    <x v="0"/>
    <s v="Divorced"/>
    <n v="5070"/>
    <x v="0"/>
    <n v="7389"/>
    <n v="5"/>
    <x v="1"/>
    <n v="13"/>
    <n v="3"/>
    <n v="3"/>
    <n v="3"/>
    <n v="20"/>
    <n v="2"/>
    <n v="3"/>
    <n v="5"/>
    <x v="2"/>
    <n v="0"/>
    <n v="0"/>
    <n v="4"/>
  </r>
  <r>
    <n v="46"/>
    <x v="1"/>
    <s v="Travel_Rarely"/>
    <n v="1009"/>
    <x v="1"/>
    <n v="2"/>
    <n v="3"/>
    <s v="Life Sciences"/>
    <n v="575"/>
    <n v="1"/>
    <s v="Male"/>
    <n v="51"/>
    <n v="3"/>
    <n v="4"/>
    <x v="7"/>
    <x v="2"/>
    <s v="Married"/>
    <n v="17861"/>
    <x v="2"/>
    <n v="2288"/>
    <n v="6"/>
    <x v="1"/>
    <n v="13"/>
    <n v="3"/>
    <n v="3"/>
    <n v="0"/>
    <n v="26"/>
    <n v="2"/>
    <n v="1"/>
    <n v="3"/>
    <x v="2"/>
    <n v="2"/>
    <n v="0"/>
    <n v="1"/>
  </r>
  <r>
    <n v="35"/>
    <x v="1"/>
    <s v="Travel_Rarely"/>
    <n v="144"/>
    <x v="1"/>
    <n v="22"/>
    <n v="3"/>
    <s v="Life Sciences"/>
    <n v="577"/>
    <n v="4"/>
    <s v="Male"/>
    <n v="46"/>
    <n v="1"/>
    <n v="1"/>
    <x v="2"/>
    <x v="2"/>
    <s v="Single"/>
    <n v="4230"/>
    <x v="0"/>
    <n v="19225"/>
    <n v="0"/>
    <x v="1"/>
    <n v="15"/>
    <n v="3"/>
    <n v="3"/>
    <n v="0"/>
    <n v="6"/>
    <n v="2"/>
    <n v="3"/>
    <n v="5"/>
    <x v="2"/>
    <n v="4"/>
    <n v="4"/>
    <n v="3"/>
  </r>
  <r>
    <n v="54"/>
    <x v="1"/>
    <s v="Travel_Rarely"/>
    <n v="548"/>
    <x v="1"/>
    <n v="8"/>
    <n v="4"/>
    <s v="Life Sciences"/>
    <n v="578"/>
    <n v="3"/>
    <s v="Female"/>
    <n v="42"/>
    <n v="3"/>
    <n v="2"/>
    <x v="2"/>
    <x v="2"/>
    <s v="Single"/>
    <n v="3780"/>
    <x v="0"/>
    <n v="23428"/>
    <n v="7"/>
    <x v="1"/>
    <n v="11"/>
    <n v="3"/>
    <n v="3"/>
    <n v="0"/>
    <n v="19"/>
    <n v="3"/>
    <n v="3"/>
    <n v="1"/>
    <x v="1"/>
    <n v="0"/>
    <n v="0"/>
    <n v="0"/>
  </r>
  <r>
    <n v="34"/>
    <x v="1"/>
    <s v="Travel_Rarely"/>
    <n v="1303"/>
    <x v="1"/>
    <n v="2"/>
    <n v="4"/>
    <s v="Life Sciences"/>
    <n v="579"/>
    <n v="4"/>
    <s v="Male"/>
    <n v="62"/>
    <n v="2"/>
    <n v="1"/>
    <x v="1"/>
    <x v="2"/>
    <s v="Divorced"/>
    <n v="2768"/>
    <x v="1"/>
    <n v="8416"/>
    <n v="3"/>
    <x v="1"/>
    <n v="12"/>
    <n v="3"/>
    <n v="3"/>
    <n v="1"/>
    <n v="14"/>
    <n v="3"/>
    <n v="3"/>
    <n v="7"/>
    <x v="0"/>
    <n v="3"/>
    <n v="5"/>
    <n v="7"/>
  </r>
  <r>
    <n v="46"/>
    <x v="1"/>
    <s v="Travel_Rarely"/>
    <n v="1125"/>
    <x v="0"/>
    <n v="10"/>
    <n v="3"/>
    <s v="Marketing"/>
    <n v="580"/>
    <n v="3"/>
    <s v="Female"/>
    <n v="94"/>
    <n v="2"/>
    <n v="3"/>
    <x v="0"/>
    <x v="0"/>
    <s v="Married"/>
    <n v="9071"/>
    <x v="2"/>
    <n v="11563"/>
    <n v="2"/>
    <x v="0"/>
    <n v="19"/>
    <n v="3"/>
    <n v="3"/>
    <n v="1"/>
    <n v="15"/>
    <n v="3"/>
    <n v="3"/>
    <n v="3"/>
    <x v="2"/>
    <n v="2"/>
    <n v="1"/>
    <n v="2"/>
  </r>
  <r>
    <n v="31"/>
    <x v="1"/>
    <s v="Travel_Rarely"/>
    <n v="1274"/>
    <x v="1"/>
    <n v="9"/>
    <n v="1"/>
    <s v="Life Sciences"/>
    <n v="581"/>
    <n v="3"/>
    <s v="Male"/>
    <n v="33"/>
    <n v="3"/>
    <n v="3"/>
    <x v="3"/>
    <x v="1"/>
    <s v="Divorced"/>
    <n v="10648"/>
    <x v="2"/>
    <n v="14394"/>
    <n v="1"/>
    <x v="1"/>
    <n v="25"/>
    <n v="4"/>
    <n v="4"/>
    <n v="1"/>
    <n v="13"/>
    <n v="6"/>
    <n v="4"/>
    <n v="13"/>
    <x v="3"/>
    <n v="8"/>
    <n v="0"/>
    <n v="8"/>
  </r>
  <r>
    <n v="33"/>
    <x v="0"/>
    <s v="Travel_Rarely"/>
    <n v="1277"/>
    <x v="1"/>
    <n v="15"/>
    <n v="1"/>
    <s v="Medical"/>
    <n v="582"/>
    <n v="2"/>
    <s v="Male"/>
    <n v="56"/>
    <n v="3"/>
    <n v="3"/>
    <x v="5"/>
    <x v="2"/>
    <s v="Married"/>
    <n v="13610"/>
    <x v="2"/>
    <n v="24619"/>
    <n v="7"/>
    <x v="0"/>
    <n v="12"/>
    <n v="3"/>
    <n v="4"/>
    <n v="0"/>
    <n v="15"/>
    <n v="2"/>
    <n v="4"/>
    <n v="7"/>
    <x v="0"/>
    <n v="6"/>
    <n v="7"/>
    <n v="7"/>
  </r>
  <r>
    <n v="33"/>
    <x v="0"/>
    <s v="Travel_Rarely"/>
    <n v="587"/>
    <x v="1"/>
    <n v="10"/>
    <n v="1"/>
    <s v="Medical"/>
    <n v="584"/>
    <n v="1"/>
    <s v="Male"/>
    <n v="38"/>
    <n v="1"/>
    <n v="1"/>
    <x v="2"/>
    <x v="0"/>
    <s v="Divorced"/>
    <n v="3408"/>
    <x v="0"/>
    <n v="6705"/>
    <n v="7"/>
    <x v="1"/>
    <n v="13"/>
    <n v="3"/>
    <n v="1"/>
    <n v="3"/>
    <n v="8"/>
    <n v="2"/>
    <n v="3"/>
    <n v="4"/>
    <x v="2"/>
    <n v="3"/>
    <n v="1"/>
    <n v="3"/>
  </r>
  <r>
    <n v="30"/>
    <x v="1"/>
    <s v="Travel_Rarely"/>
    <n v="413"/>
    <x v="0"/>
    <n v="7"/>
    <n v="1"/>
    <s v="Marketing"/>
    <n v="585"/>
    <n v="4"/>
    <s v="Male"/>
    <n v="57"/>
    <n v="3"/>
    <n v="1"/>
    <x v="6"/>
    <x v="1"/>
    <s v="Single"/>
    <n v="2983"/>
    <x v="1"/>
    <n v="18398"/>
    <n v="0"/>
    <x v="1"/>
    <n v="14"/>
    <n v="3"/>
    <n v="1"/>
    <n v="0"/>
    <n v="4"/>
    <n v="3"/>
    <n v="3"/>
    <n v="3"/>
    <x v="2"/>
    <n v="2"/>
    <n v="1"/>
    <n v="2"/>
  </r>
  <r>
    <n v="35"/>
    <x v="1"/>
    <s v="Travel_Rarely"/>
    <n v="1276"/>
    <x v="1"/>
    <n v="16"/>
    <n v="3"/>
    <s v="Life Sciences"/>
    <n v="586"/>
    <n v="4"/>
    <s v="Male"/>
    <n v="72"/>
    <n v="3"/>
    <n v="3"/>
    <x v="4"/>
    <x v="2"/>
    <s v="Married"/>
    <n v="7632"/>
    <x v="2"/>
    <n v="14295"/>
    <n v="4"/>
    <x v="0"/>
    <n v="12"/>
    <n v="3"/>
    <n v="3"/>
    <n v="0"/>
    <n v="10"/>
    <n v="2"/>
    <n v="3"/>
    <n v="8"/>
    <x v="0"/>
    <n v="7"/>
    <n v="0"/>
    <n v="0"/>
  </r>
  <r>
    <n v="31"/>
    <x v="0"/>
    <s v="Travel_Frequently"/>
    <n v="534"/>
    <x v="1"/>
    <n v="20"/>
    <n v="3"/>
    <s v="Life Sciences"/>
    <n v="587"/>
    <n v="1"/>
    <s v="Male"/>
    <n v="66"/>
    <n v="3"/>
    <n v="3"/>
    <x v="4"/>
    <x v="2"/>
    <s v="Married"/>
    <n v="9824"/>
    <x v="2"/>
    <n v="22908"/>
    <n v="3"/>
    <x v="1"/>
    <n v="12"/>
    <n v="3"/>
    <n v="1"/>
    <n v="0"/>
    <n v="12"/>
    <n v="2"/>
    <n v="3"/>
    <n v="1"/>
    <x v="1"/>
    <n v="0"/>
    <n v="0"/>
    <n v="0"/>
  </r>
  <r>
    <n v="34"/>
    <x v="0"/>
    <s v="Travel_Frequently"/>
    <n v="988"/>
    <x v="2"/>
    <n v="23"/>
    <n v="3"/>
    <s v="Human Resources"/>
    <n v="590"/>
    <n v="2"/>
    <s v="Female"/>
    <n v="43"/>
    <n v="3"/>
    <n v="3"/>
    <x v="8"/>
    <x v="3"/>
    <s v="Divorced"/>
    <n v="9950"/>
    <x v="2"/>
    <n v="11533"/>
    <n v="9"/>
    <x v="0"/>
    <n v="15"/>
    <n v="3"/>
    <n v="3"/>
    <n v="3"/>
    <n v="11"/>
    <n v="2"/>
    <n v="3"/>
    <n v="3"/>
    <x v="2"/>
    <n v="2"/>
    <n v="0"/>
    <n v="2"/>
  </r>
  <r>
    <n v="42"/>
    <x v="1"/>
    <s v="Travel_Frequently"/>
    <n v="1474"/>
    <x v="1"/>
    <n v="5"/>
    <n v="2"/>
    <s v="Other"/>
    <n v="591"/>
    <n v="2"/>
    <s v="Male"/>
    <n v="97"/>
    <n v="3"/>
    <n v="1"/>
    <x v="2"/>
    <x v="2"/>
    <s v="Married"/>
    <n v="2093"/>
    <x v="1"/>
    <n v="9260"/>
    <n v="4"/>
    <x v="1"/>
    <n v="17"/>
    <n v="3"/>
    <n v="4"/>
    <n v="1"/>
    <n v="8"/>
    <n v="4"/>
    <n v="3"/>
    <n v="2"/>
    <x v="1"/>
    <n v="2"/>
    <n v="2"/>
    <n v="0"/>
  </r>
  <r>
    <n v="36"/>
    <x v="1"/>
    <s v="Non-Travel"/>
    <n v="635"/>
    <x v="0"/>
    <n v="10"/>
    <n v="4"/>
    <s v="Medical"/>
    <n v="592"/>
    <n v="2"/>
    <s v="Male"/>
    <n v="32"/>
    <n v="3"/>
    <n v="3"/>
    <x v="0"/>
    <x v="0"/>
    <s v="Single"/>
    <n v="9980"/>
    <x v="2"/>
    <n v="15318"/>
    <n v="1"/>
    <x v="1"/>
    <n v="14"/>
    <n v="3"/>
    <n v="4"/>
    <n v="0"/>
    <n v="10"/>
    <n v="3"/>
    <n v="2"/>
    <n v="10"/>
    <x v="0"/>
    <n v="3"/>
    <n v="9"/>
    <n v="7"/>
  </r>
  <r>
    <n v="22"/>
    <x v="0"/>
    <s v="Travel_Frequently"/>
    <n v="1368"/>
    <x v="1"/>
    <n v="4"/>
    <n v="1"/>
    <s v="Technical Degree"/>
    <n v="593"/>
    <n v="3"/>
    <s v="Male"/>
    <n v="99"/>
    <n v="2"/>
    <n v="1"/>
    <x v="2"/>
    <x v="2"/>
    <s v="Single"/>
    <n v="3894"/>
    <x v="0"/>
    <n v="9129"/>
    <n v="5"/>
    <x v="1"/>
    <n v="16"/>
    <n v="3"/>
    <n v="3"/>
    <n v="0"/>
    <n v="4"/>
    <n v="3"/>
    <n v="3"/>
    <n v="2"/>
    <x v="1"/>
    <n v="2"/>
    <n v="1"/>
    <n v="2"/>
  </r>
  <r>
    <n v="48"/>
    <x v="1"/>
    <s v="Travel_Rarely"/>
    <n v="163"/>
    <x v="0"/>
    <n v="2"/>
    <n v="5"/>
    <s v="Marketing"/>
    <n v="595"/>
    <n v="2"/>
    <s v="Female"/>
    <n v="37"/>
    <n v="3"/>
    <n v="2"/>
    <x v="0"/>
    <x v="0"/>
    <s v="Married"/>
    <n v="4051"/>
    <x v="0"/>
    <n v="19658"/>
    <n v="2"/>
    <x v="1"/>
    <n v="14"/>
    <n v="3"/>
    <n v="1"/>
    <n v="1"/>
    <n v="14"/>
    <n v="2"/>
    <n v="3"/>
    <n v="9"/>
    <x v="0"/>
    <n v="7"/>
    <n v="6"/>
    <n v="7"/>
  </r>
  <r>
    <n v="55"/>
    <x v="1"/>
    <s v="Travel_Rarely"/>
    <n v="1117"/>
    <x v="0"/>
    <n v="18"/>
    <n v="5"/>
    <s v="Life Sciences"/>
    <n v="597"/>
    <n v="1"/>
    <s v="Female"/>
    <n v="83"/>
    <n v="3"/>
    <n v="4"/>
    <x v="5"/>
    <x v="1"/>
    <s v="Single"/>
    <n v="16835"/>
    <x v="2"/>
    <n v="9873"/>
    <n v="3"/>
    <x v="1"/>
    <n v="23"/>
    <n v="4"/>
    <n v="4"/>
    <n v="0"/>
    <n v="37"/>
    <n v="2"/>
    <n v="3"/>
    <n v="10"/>
    <x v="0"/>
    <n v="9"/>
    <n v="7"/>
    <n v="7"/>
  </r>
  <r>
    <n v="41"/>
    <x v="1"/>
    <s v="Non-Travel"/>
    <n v="267"/>
    <x v="0"/>
    <n v="10"/>
    <n v="2"/>
    <s v="Life Sciences"/>
    <n v="599"/>
    <n v="4"/>
    <s v="Male"/>
    <n v="56"/>
    <n v="3"/>
    <n v="2"/>
    <x v="0"/>
    <x v="0"/>
    <s v="Single"/>
    <n v="6230"/>
    <x v="0"/>
    <n v="13430"/>
    <n v="7"/>
    <x v="1"/>
    <n v="14"/>
    <n v="3"/>
    <n v="4"/>
    <n v="0"/>
    <n v="16"/>
    <n v="3"/>
    <n v="3"/>
    <n v="14"/>
    <x v="3"/>
    <n v="3"/>
    <n v="1"/>
    <n v="10"/>
  </r>
  <r>
    <n v="35"/>
    <x v="1"/>
    <s v="Travel_Rarely"/>
    <n v="619"/>
    <x v="0"/>
    <n v="1"/>
    <n v="3"/>
    <s v="Marketing"/>
    <n v="600"/>
    <n v="2"/>
    <s v="Male"/>
    <n v="85"/>
    <n v="3"/>
    <n v="2"/>
    <x v="0"/>
    <x v="2"/>
    <s v="Married"/>
    <n v="4717"/>
    <x v="0"/>
    <n v="18659"/>
    <n v="9"/>
    <x v="1"/>
    <n v="11"/>
    <n v="3"/>
    <n v="3"/>
    <n v="0"/>
    <n v="15"/>
    <n v="2"/>
    <n v="3"/>
    <n v="11"/>
    <x v="3"/>
    <n v="9"/>
    <n v="6"/>
    <n v="9"/>
  </r>
  <r>
    <n v="40"/>
    <x v="1"/>
    <s v="Travel_Rarely"/>
    <n v="302"/>
    <x v="1"/>
    <n v="6"/>
    <n v="3"/>
    <s v="Life Sciences"/>
    <n v="601"/>
    <n v="2"/>
    <s v="Female"/>
    <n v="75"/>
    <n v="3"/>
    <n v="4"/>
    <x v="3"/>
    <x v="2"/>
    <s v="Single"/>
    <n v="13237"/>
    <x v="2"/>
    <n v="20364"/>
    <n v="7"/>
    <x v="1"/>
    <n v="15"/>
    <n v="3"/>
    <n v="3"/>
    <n v="0"/>
    <n v="22"/>
    <n v="3"/>
    <n v="3"/>
    <n v="20"/>
    <x v="3"/>
    <n v="6"/>
    <n v="5"/>
    <n v="13"/>
  </r>
  <r>
    <n v="39"/>
    <x v="1"/>
    <s v="Travel_Frequently"/>
    <n v="443"/>
    <x v="1"/>
    <n v="8"/>
    <n v="1"/>
    <s v="Life Sciences"/>
    <n v="602"/>
    <n v="3"/>
    <s v="Female"/>
    <n v="48"/>
    <n v="3"/>
    <n v="1"/>
    <x v="2"/>
    <x v="2"/>
    <s v="Married"/>
    <n v="3755"/>
    <x v="0"/>
    <n v="17872"/>
    <n v="1"/>
    <x v="1"/>
    <n v="11"/>
    <n v="3"/>
    <n v="1"/>
    <n v="1"/>
    <n v="8"/>
    <n v="3"/>
    <n v="3"/>
    <n v="8"/>
    <x v="0"/>
    <n v="3"/>
    <n v="0"/>
    <n v="7"/>
  </r>
  <r>
    <n v="31"/>
    <x v="1"/>
    <s v="Travel_Rarely"/>
    <n v="828"/>
    <x v="0"/>
    <n v="2"/>
    <n v="1"/>
    <s v="Life Sciences"/>
    <n v="604"/>
    <n v="2"/>
    <s v="Male"/>
    <n v="77"/>
    <n v="3"/>
    <n v="2"/>
    <x v="0"/>
    <x v="0"/>
    <s v="Single"/>
    <n v="6582"/>
    <x v="0"/>
    <n v="8346"/>
    <n v="4"/>
    <x v="0"/>
    <n v="13"/>
    <n v="3"/>
    <n v="3"/>
    <n v="0"/>
    <n v="10"/>
    <n v="2"/>
    <n v="4"/>
    <n v="6"/>
    <x v="0"/>
    <n v="5"/>
    <n v="0"/>
    <n v="5"/>
  </r>
  <r>
    <n v="42"/>
    <x v="1"/>
    <s v="Travel_Rarely"/>
    <n v="319"/>
    <x v="1"/>
    <n v="24"/>
    <n v="3"/>
    <s v="Medical"/>
    <n v="605"/>
    <n v="4"/>
    <s v="Male"/>
    <n v="56"/>
    <n v="3"/>
    <n v="3"/>
    <x v="3"/>
    <x v="3"/>
    <s v="Married"/>
    <n v="7406"/>
    <x v="2"/>
    <n v="6950"/>
    <n v="1"/>
    <x v="0"/>
    <n v="21"/>
    <n v="4"/>
    <n v="4"/>
    <n v="1"/>
    <n v="10"/>
    <n v="5"/>
    <n v="2"/>
    <n v="10"/>
    <x v="0"/>
    <n v="9"/>
    <n v="5"/>
    <n v="8"/>
  </r>
  <r>
    <n v="45"/>
    <x v="1"/>
    <s v="Travel_Rarely"/>
    <n v="561"/>
    <x v="0"/>
    <n v="2"/>
    <n v="3"/>
    <s v="Other"/>
    <n v="606"/>
    <n v="4"/>
    <s v="Male"/>
    <n v="61"/>
    <n v="3"/>
    <n v="2"/>
    <x v="0"/>
    <x v="1"/>
    <s v="Married"/>
    <n v="4805"/>
    <x v="0"/>
    <n v="16177"/>
    <n v="0"/>
    <x v="1"/>
    <n v="19"/>
    <n v="3"/>
    <n v="2"/>
    <n v="1"/>
    <n v="9"/>
    <n v="3"/>
    <n v="4"/>
    <n v="8"/>
    <x v="0"/>
    <n v="7"/>
    <n v="3"/>
    <n v="7"/>
  </r>
  <r>
    <n v="26"/>
    <x v="0"/>
    <s v="Travel_Frequently"/>
    <n v="426"/>
    <x v="2"/>
    <n v="17"/>
    <n v="4"/>
    <s v="Life Sciences"/>
    <n v="608"/>
    <n v="2"/>
    <s v="Female"/>
    <n v="58"/>
    <n v="3"/>
    <n v="1"/>
    <x v="8"/>
    <x v="2"/>
    <s v="Divorced"/>
    <n v="2741"/>
    <x v="1"/>
    <n v="22808"/>
    <n v="0"/>
    <x v="0"/>
    <n v="11"/>
    <n v="3"/>
    <n v="2"/>
    <n v="1"/>
    <n v="8"/>
    <n v="2"/>
    <n v="2"/>
    <n v="7"/>
    <x v="0"/>
    <n v="7"/>
    <n v="1"/>
    <n v="0"/>
  </r>
  <r>
    <n v="29"/>
    <x v="1"/>
    <s v="Travel_Rarely"/>
    <n v="232"/>
    <x v="1"/>
    <n v="19"/>
    <n v="3"/>
    <s v="Technical Degree"/>
    <n v="611"/>
    <n v="4"/>
    <s v="Male"/>
    <n v="34"/>
    <n v="3"/>
    <n v="2"/>
    <x v="3"/>
    <x v="0"/>
    <s v="Divorced"/>
    <n v="4262"/>
    <x v="0"/>
    <n v="22645"/>
    <n v="4"/>
    <x v="1"/>
    <n v="12"/>
    <n v="3"/>
    <n v="2"/>
    <n v="2"/>
    <n v="8"/>
    <n v="2"/>
    <n v="4"/>
    <n v="3"/>
    <x v="2"/>
    <n v="2"/>
    <n v="1"/>
    <n v="2"/>
  </r>
  <r>
    <n v="33"/>
    <x v="1"/>
    <s v="Travel_Rarely"/>
    <n v="922"/>
    <x v="1"/>
    <n v="1"/>
    <n v="5"/>
    <s v="Medical"/>
    <n v="612"/>
    <n v="1"/>
    <s v="Female"/>
    <n v="95"/>
    <n v="4"/>
    <n v="4"/>
    <x v="7"/>
    <x v="2"/>
    <s v="Divorced"/>
    <n v="16184"/>
    <x v="2"/>
    <n v="22578"/>
    <n v="4"/>
    <x v="1"/>
    <n v="19"/>
    <n v="3"/>
    <n v="3"/>
    <n v="1"/>
    <n v="10"/>
    <n v="2"/>
    <n v="3"/>
    <n v="6"/>
    <x v="0"/>
    <n v="1"/>
    <n v="0"/>
    <n v="5"/>
  </r>
  <r>
    <n v="31"/>
    <x v="1"/>
    <s v="Travel_Rarely"/>
    <n v="688"/>
    <x v="0"/>
    <n v="7"/>
    <n v="3"/>
    <s v="Life Sciences"/>
    <n v="613"/>
    <n v="3"/>
    <s v="Male"/>
    <n v="44"/>
    <n v="2"/>
    <n v="3"/>
    <x v="5"/>
    <x v="0"/>
    <s v="Divorced"/>
    <n v="11557"/>
    <x v="2"/>
    <n v="25291"/>
    <n v="9"/>
    <x v="1"/>
    <n v="21"/>
    <n v="4"/>
    <n v="3"/>
    <n v="1"/>
    <n v="10"/>
    <n v="3"/>
    <n v="2"/>
    <n v="5"/>
    <x v="2"/>
    <n v="4"/>
    <n v="0"/>
    <n v="1"/>
  </r>
  <r>
    <n v="18"/>
    <x v="0"/>
    <s v="Travel_Frequently"/>
    <n v="1306"/>
    <x v="0"/>
    <n v="5"/>
    <n v="3"/>
    <s v="Marketing"/>
    <n v="614"/>
    <n v="2"/>
    <s v="Male"/>
    <n v="69"/>
    <n v="3"/>
    <n v="1"/>
    <x v="6"/>
    <x v="1"/>
    <s v="Single"/>
    <n v="1878"/>
    <x v="1"/>
    <n v="8059"/>
    <n v="1"/>
    <x v="0"/>
    <n v="14"/>
    <n v="3"/>
    <n v="4"/>
    <n v="0"/>
    <n v="0"/>
    <n v="3"/>
    <n v="3"/>
    <n v="0"/>
    <x v="1"/>
    <n v="0"/>
    <n v="0"/>
    <n v="0"/>
  </r>
  <r>
    <n v="40"/>
    <x v="1"/>
    <s v="Non-Travel"/>
    <n v="1094"/>
    <x v="0"/>
    <n v="28"/>
    <n v="3"/>
    <s v="Other"/>
    <n v="615"/>
    <n v="3"/>
    <s v="Male"/>
    <n v="58"/>
    <n v="1"/>
    <n v="3"/>
    <x v="0"/>
    <x v="3"/>
    <s v="Divorced"/>
    <n v="10932"/>
    <x v="2"/>
    <n v="11373"/>
    <n v="3"/>
    <x v="1"/>
    <n v="15"/>
    <n v="3"/>
    <n v="3"/>
    <n v="1"/>
    <n v="20"/>
    <n v="2"/>
    <n v="3"/>
    <n v="1"/>
    <x v="1"/>
    <n v="0"/>
    <n v="0"/>
    <n v="1"/>
  </r>
  <r>
    <n v="41"/>
    <x v="1"/>
    <s v="Non-Travel"/>
    <n v="509"/>
    <x v="1"/>
    <n v="2"/>
    <n v="4"/>
    <s v="Other"/>
    <n v="616"/>
    <n v="1"/>
    <s v="Female"/>
    <n v="62"/>
    <n v="2"/>
    <n v="2"/>
    <x v="4"/>
    <x v="2"/>
    <s v="Single"/>
    <n v="6811"/>
    <x v="0"/>
    <n v="2112"/>
    <n v="2"/>
    <x v="0"/>
    <n v="17"/>
    <n v="3"/>
    <n v="1"/>
    <n v="0"/>
    <n v="10"/>
    <n v="3"/>
    <n v="3"/>
    <n v="8"/>
    <x v="0"/>
    <n v="7"/>
    <n v="0"/>
    <n v="7"/>
  </r>
  <r>
    <n v="26"/>
    <x v="1"/>
    <s v="Travel_Rarely"/>
    <n v="775"/>
    <x v="0"/>
    <n v="29"/>
    <n v="2"/>
    <s v="Medical"/>
    <n v="618"/>
    <n v="1"/>
    <s v="Male"/>
    <n v="45"/>
    <n v="3"/>
    <n v="2"/>
    <x v="0"/>
    <x v="2"/>
    <s v="Divorced"/>
    <n v="4306"/>
    <x v="0"/>
    <n v="4267"/>
    <n v="5"/>
    <x v="1"/>
    <n v="12"/>
    <n v="3"/>
    <n v="1"/>
    <n v="2"/>
    <n v="8"/>
    <n v="5"/>
    <n v="3"/>
    <n v="0"/>
    <x v="1"/>
    <n v="0"/>
    <n v="0"/>
    <n v="0"/>
  </r>
  <r>
    <n v="35"/>
    <x v="1"/>
    <s v="Travel_Rarely"/>
    <n v="195"/>
    <x v="0"/>
    <n v="1"/>
    <n v="3"/>
    <s v="Medical"/>
    <n v="620"/>
    <n v="1"/>
    <s v="Female"/>
    <n v="80"/>
    <n v="3"/>
    <n v="2"/>
    <x v="0"/>
    <x v="2"/>
    <s v="Single"/>
    <n v="4859"/>
    <x v="0"/>
    <n v="6698"/>
    <n v="1"/>
    <x v="1"/>
    <n v="16"/>
    <n v="3"/>
    <n v="4"/>
    <n v="0"/>
    <n v="5"/>
    <n v="3"/>
    <n v="3"/>
    <n v="5"/>
    <x v="2"/>
    <n v="4"/>
    <n v="0"/>
    <n v="3"/>
  </r>
  <r>
    <n v="34"/>
    <x v="1"/>
    <s v="Travel_Rarely"/>
    <n v="258"/>
    <x v="0"/>
    <n v="21"/>
    <n v="4"/>
    <s v="Life Sciences"/>
    <n v="621"/>
    <n v="4"/>
    <s v="Male"/>
    <n v="74"/>
    <n v="4"/>
    <n v="2"/>
    <x v="0"/>
    <x v="0"/>
    <s v="Single"/>
    <n v="5337"/>
    <x v="0"/>
    <n v="19921"/>
    <n v="1"/>
    <x v="1"/>
    <n v="12"/>
    <n v="3"/>
    <n v="4"/>
    <n v="0"/>
    <n v="10"/>
    <n v="3"/>
    <n v="3"/>
    <n v="10"/>
    <x v="0"/>
    <n v="7"/>
    <n v="5"/>
    <n v="7"/>
  </r>
  <r>
    <n v="26"/>
    <x v="0"/>
    <s v="Travel_Rarely"/>
    <n v="471"/>
    <x v="1"/>
    <n v="24"/>
    <n v="3"/>
    <s v="Technical Degree"/>
    <n v="622"/>
    <n v="3"/>
    <s v="Male"/>
    <n v="66"/>
    <n v="1"/>
    <n v="1"/>
    <x v="2"/>
    <x v="0"/>
    <s v="Single"/>
    <n v="2340"/>
    <x v="1"/>
    <n v="23213"/>
    <n v="1"/>
    <x v="0"/>
    <n v="18"/>
    <n v="3"/>
    <n v="2"/>
    <n v="0"/>
    <n v="1"/>
    <n v="3"/>
    <n v="1"/>
    <n v="1"/>
    <x v="1"/>
    <n v="0"/>
    <n v="0"/>
    <n v="0"/>
  </r>
  <r>
    <n v="37"/>
    <x v="1"/>
    <s v="Travel_Rarely"/>
    <n v="799"/>
    <x v="1"/>
    <n v="1"/>
    <n v="3"/>
    <s v="Technical Degree"/>
    <n v="623"/>
    <n v="2"/>
    <s v="Female"/>
    <n v="59"/>
    <n v="3"/>
    <n v="3"/>
    <x v="3"/>
    <x v="0"/>
    <s v="Single"/>
    <n v="7491"/>
    <x v="2"/>
    <n v="23848"/>
    <n v="4"/>
    <x v="1"/>
    <n v="17"/>
    <n v="3"/>
    <n v="4"/>
    <n v="0"/>
    <n v="12"/>
    <n v="3"/>
    <n v="4"/>
    <n v="6"/>
    <x v="0"/>
    <n v="5"/>
    <n v="1"/>
    <n v="2"/>
  </r>
  <r>
    <n v="46"/>
    <x v="1"/>
    <s v="Travel_Frequently"/>
    <n v="1034"/>
    <x v="1"/>
    <n v="18"/>
    <n v="1"/>
    <s v="Medical"/>
    <n v="624"/>
    <n v="1"/>
    <s v="Female"/>
    <n v="86"/>
    <n v="3"/>
    <n v="3"/>
    <x v="4"/>
    <x v="2"/>
    <s v="Married"/>
    <n v="10527"/>
    <x v="2"/>
    <n v="8984"/>
    <n v="5"/>
    <x v="1"/>
    <n v="11"/>
    <n v="3"/>
    <n v="4"/>
    <n v="0"/>
    <n v="28"/>
    <n v="3"/>
    <n v="2"/>
    <n v="2"/>
    <x v="1"/>
    <n v="2"/>
    <n v="1"/>
    <n v="2"/>
  </r>
  <r>
    <n v="41"/>
    <x v="1"/>
    <s v="Travel_Rarely"/>
    <n v="1276"/>
    <x v="0"/>
    <n v="2"/>
    <n v="5"/>
    <s v="Life Sciences"/>
    <n v="625"/>
    <n v="2"/>
    <s v="Female"/>
    <n v="91"/>
    <n v="3"/>
    <n v="4"/>
    <x v="5"/>
    <x v="3"/>
    <s v="Married"/>
    <n v="16595"/>
    <x v="2"/>
    <n v="5626"/>
    <n v="7"/>
    <x v="1"/>
    <n v="16"/>
    <n v="3"/>
    <n v="2"/>
    <n v="1"/>
    <n v="22"/>
    <n v="2"/>
    <n v="3"/>
    <n v="18"/>
    <x v="3"/>
    <n v="16"/>
    <n v="11"/>
    <n v="8"/>
  </r>
  <r>
    <n v="37"/>
    <x v="1"/>
    <s v="Non-Travel"/>
    <n v="142"/>
    <x v="0"/>
    <n v="9"/>
    <n v="4"/>
    <s v="Medical"/>
    <n v="626"/>
    <n v="1"/>
    <s v="Male"/>
    <n v="69"/>
    <n v="3"/>
    <n v="3"/>
    <x v="0"/>
    <x v="1"/>
    <s v="Divorced"/>
    <n v="8834"/>
    <x v="2"/>
    <n v="24666"/>
    <n v="1"/>
    <x v="1"/>
    <n v="13"/>
    <n v="3"/>
    <n v="4"/>
    <n v="1"/>
    <n v="9"/>
    <n v="6"/>
    <n v="3"/>
    <n v="9"/>
    <x v="0"/>
    <n v="5"/>
    <n v="7"/>
    <n v="7"/>
  </r>
  <r>
    <n v="52"/>
    <x v="1"/>
    <s v="Travel_Rarely"/>
    <n v="956"/>
    <x v="1"/>
    <n v="6"/>
    <n v="2"/>
    <s v="Technical Degree"/>
    <n v="630"/>
    <n v="4"/>
    <s v="Male"/>
    <n v="78"/>
    <n v="3"/>
    <n v="2"/>
    <x v="1"/>
    <x v="3"/>
    <s v="Divorced"/>
    <n v="5577"/>
    <x v="0"/>
    <n v="22087"/>
    <n v="3"/>
    <x v="0"/>
    <n v="12"/>
    <n v="3"/>
    <n v="2"/>
    <n v="2"/>
    <n v="18"/>
    <n v="3"/>
    <n v="3"/>
    <n v="10"/>
    <x v="0"/>
    <n v="9"/>
    <n v="6"/>
    <n v="9"/>
  </r>
  <r>
    <n v="32"/>
    <x v="0"/>
    <s v="Non-Travel"/>
    <n v="1474"/>
    <x v="0"/>
    <n v="11"/>
    <n v="4"/>
    <s v="Other"/>
    <n v="631"/>
    <n v="4"/>
    <s v="Male"/>
    <n v="60"/>
    <n v="4"/>
    <n v="2"/>
    <x v="0"/>
    <x v="2"/>
    <s v="Married"/>
    <n v="4707"/>
    <x v="0"/>
    <n v="23914"/>
    <n v="8"/>
    <x v="1"/>
    <n v="12"/>
    <n v="3"/>
    <n v="4"/>
    <n v="0"/>
    <n v="6"/>
    <n v="2"/>
    <n v="3"/>
    <n v="4"/>
    <x v="2"/>
    <n v="2"/>
    <n v="1"/>
    <n v="2"/>
  </r>
  <r>
    <n v="24"/>
    <x v="1"/>
    <s v="Travel_Frequently"/>
    <n v="535"/>
    <x v="0"/>
    <n v="24"/>
    <n v="3"/>
    <s v="Medical"/>
    <n v="632"/>
    <n v="4"/>
    <s v="Male"/>
    <n v="38"/>
    <n v="3"/>
    <n v="1"/>
    <x v="6"/>
    <x v="0"/>
    <s v="Married"/>
    <n v="2400"/>
    <x v="1"/>
    <n v="5530"/>
    <n v="0"/>
    <x v="1"/>
    <n v="13"/>
    <n v="3"/>
    <n v="3"/>
    <n v="2"/>
    <n v="3"/>
    <n v="3"/>
    <n v="3"/>
    <n v="2"/>
    <x v="1"/>
    <n v="2"/>
    <n v="2"/>
    <n v="1"/>
  </r>
  <r>
    <n v="38"/>
    <x v="1"/>
    <s v="Travel_Rarely"/>
    <n v="1495"/>
    <x v="1"/>
    <n v="10"/>
    <n v="3"/>
    <s v="Medical"/>
    <n v="634"/>
    <n v="3"/>
    <s v="Female"/>
    <n v="76"/>
    <n v="3"/>
    <n v="2"/>
    <x v="4"/>
    <x v="2"/>
    <s v="Married"/>
    <n v="9824"/>
    <x v="2"/>
    <n v="22174"/>
    <n v="3"/>
    <x v="1"/>
    <n v="19"/>
    <n v="3"/>
    <n v="3"/>
    <n v="1"/>
    <n v="18"/>
    <n v="4"/>
    <n v="3"/>
    <n v="1"/>
    <x v="1"/>
    <n v="0"/>
    <n v="0"/>
    <n v="0"/>
  </r>
  <r>
    <n v="37"/>
    <x v="1"/>
    <s v="Travel_Rarely"/>
    <n v="446"/>
    <x v="1"/>
    <n v="1"/>
    <n v="4"/>
    <s v="Life Sciences"/>
    <n v="635"/>
    <n v="2"/>
    <s v="Female"/>
    <n v="65"/>
    <n v="3"/>
    <n v="2"/>
    <x v="3"/>
    <x v="1"/>
    <s v="Married"/>
    <n v="6447"/>
    <x v="0"/>
    <n v="15701"/>
    <n v="6"/>
    <x v="1"/>
    <n v="12"/>
    <n v="3"/>
    <n v="2"/>
    <n v="1"/>
    <n v="8"/>
    <n v="2"/>
    <n v="2"/>
    <n v="6"/>
    <x v="0"/>
    <n v="5"/>
    <n v="4"/>
    <n v="3"/>
  </r>
  <r>
    <n v="49"/>
    <x v="1"/>
    <s v="Travel_Rarely"/>
    <n v="1245"/>
    <x v="1"/>
    <n v="18"/>
    <n v="4"/>
    <s v="Life Sciences"/>
    <n v="638"/>
    <n v="4"/>
    <s v="Male"/>
    <n v="58"/>
    <n v="2"/>
    <n v="5"/>
    <x v="7"/>
    <x v="2"/>
    <s v="Divorced"/>
    <n v="19502"/>
    <x v="2"/>
    <n v="2125"/>
    <n v="1"/>
    <x v="0"/>
    <n v="17"/>
    <n v="3"/>
    <n v="3"/>
    <n v="1"/>
    <n v="31"/>
    <n v="5"/>
    <n v="3"/>
    <n v="31"/>
    <x v="3"/>
    <n v="9"/>
    <n v="0"/>
    <n v="9"/>
  </r>
  <r>
    <n v="24"/>
    <x v="1"/>
    <s v="Travel_Rarely"/>
    <n v="691"/>
    <x v="1"/>
    <n v="23"/>
    <n v="3"/>
    <s v="Medical"/>
    <n v="639"/>
    <n v="2"/>
    <s v="Male"/>
    <n v="89"/>
    <n v="4"/>
    <n v="1"/>
    <x v="1"/>
    <x v="0"/>
    <s v="Married"/>
    <n v="2725"/>
    <x v="1"/>
    <n v="21630"/>
    <n v="1"/>
    <x v="0"/>
    <n v="11"/>
    <n v="3"/>
    <n v="2"/>
    <n v="2"/>
    <n v="6"/>
    <n v="3"/>
    <n v="3"/>
    <n v="6"/>
    <x v="0"/>
    <n v="5"/>
    <n v="1"/>
    <n v="4"/>
  </r>
  <r>
    <n v="26"/>
    <x v="1"/>
    <s v="Travel_Rarely"/>
    <n v="703"/>
    <x v="0"/>
    <n v="28"/>
    <n v="2"/>
    <s v="Marketing"/>
    <n v="641"/>
    <n v="1"/>
    <s v="Male"/>
    <n v="66"/>
    <n v="3"/>
    <n v="2"/>
    <x v="0"/>
    <x v="1"/>
    <s v="Married"/>
    <n v="6272"/>
    <x v="0"/>
    <n v="7428"/>
    <n v="1"/>
    <x v="1"/>
    <n v="20"/>
    <n v="4"/>
    <n v="4"/>
    <n v="2"/>
    <n v="6"/>
    <n v="5"/>
    <n v="4"/>
    <n v="5"/>
    <x v="2"/>
    <n v="3"/>
    <n v="1"/>
    <n v="4"/>
  </r>
  <r>
    <n v="24"/>
    <x v="1"/>
    <s v="Travel_Rarely"/>
    <n v="823"/>
    <x v="1"/>
    <n v="17"/>
    <n v="2"/>
    <s v="Other"/>
    <n v="643"/>
    <n v="4"/>
    <s v="Male"/>
    <n v="94"/>
    <n v="2"/>
    <n v="1"/>
    <x v="2"/>
    <x v="1"/>
    <s v="Married"/>
    <n v="2127"/>
    <x v="1"/>
    <n v="9100"/>
    <n v="1"/>
    <x v="1"/>
    <n v="21"/>
    <n v="4"/>
    <n v="4"/>
    <n v="1"/>
    <n v="1"/>
    <n v="2"/>
    <n v="3"/>
    <n v="1"/>
    <x v="1"/>
    <n v="0"/>
    <n v="0"/>
    <n v="0"/>
  </r>
  <r>
    <n v="50"/>
    <x v="1"/>
    <s v="Travel_Frequently"/>
    <n v="1246"/>
    <x v="2"/>
    <n v="3"/>
    <n v="3"/>
    <s v="Medical"/>
    <n v="644"/>
    <n v="1"/>
    <s v="Male"/>
    <n v="99"/>
    <n v="3"/>
    <n v="5"/>
    <x v="5"/>
    <x v="1"/>
    <s v="Married"/>
    <n v="18200"/>
    <x v="2"/>
    <n v="7999"/>
    <n v="1"/>
    <x v="1"/>
    <n v="11"/>
    <n v="3"/>
    <n v="3"/>
    <n v="1"/>
    <n v="32"/>
    <n v="2"/>
    <n v="3"/>
    <n v="32"/>
    <x v="3"/>
    <n v="5"/>
    <n v="10"/>
    <n v="7"/>
  </r>
  <r>
    <n v="25"/>
    <x v="1"/>
    <s v="Travel_Rarely"/>
    <n v="622"/>
    <x v="0"/>
    <n v="13"/>
    <n v="1"/>
    <s v="Medical"/>
    <n v="645"/>
    <n v="2"/>
    <s v="Male"/>
    <n v="40"/>
    <n v="3"/>
    <n v="1"/>
    <x v="6"/>
    <x v="2"/>
    <s v="Married"/>
    <n v="2096"/>
    <x v="1"/>
    <n v="26376"/>
    <n v="1"/>
    <x v="1"/>
    <n v="11"/>
    <n v="3"/>
    <n v="3"/>
    <n v="0"/>
    <n v="7"/>
    <n v="1"/>
    <n v="3"/>
    <n v="7"/>
    <x v="0"/>
    <n v="4"/>
    <n v="0"/>
    <n v="6"/>
  </r>
  <r>
    <n v="24"/>
    <x v="0"/>
    <s v="Travel_Frequently"/>
    <n v="1287"/>
    <x v="1"/>
    <n v="7"/>
    <n v="3"/>
    <s v="Life Sciences"/>
    <n v="647"/>
    <n v="1"/>
    <s v="Female"/>
    <n v="55"/>
    <n v="3"/>
    <n v="1"/>
    <x v="2"/>
    <x v="2"/>
    <s v="Married"/>
    <n v="2886"/>
    <x v="1"/>
    <n v="14168"/>
    <n v="1"/>
    <x v="0"/>
    <n v="16"/>
    <n v="3"/>
    <n v="4"/>
    <n v="1"/>
    <n v="6"/>
    <n v="4"/>
    <n v="3"/>
    <n v="6"/>
    <x v="0"/>
    <n v="3"/>
    <n v="1"/>
    <n v="2"/>
  </r>
  <r>
    <n v="30"/>
    <x v="0"/>
    <s v="Travel_Frequently"/>
    <n v="448"/>
    <x v="0"/>
    <n v="12"/>
    <n v="4"/>
    <s v="Life Sciences"/>
    <n v="648"/>
    <n v="2"/>
    <s v="Male"/>
    <n v="74"/>
    <n v="2"/>
    <n v="1"/>
    <x v="6"/>
    <x v="3"/>
    <s v="Married"/>
    <n v="2033"/>
    <x v="1"/>
    <n v="14470"/>
    <n v="1"/>
    <x v="1"/>
    <n v="18"/>
    <n v="3"/>
    <n v="3"/>
    <n v="1"/>
    <n v="1"/>
    <n v="2"/>
    <n v="4"/>
    <n v="1"/>
    <x v="1"/>
    <n v="0"/>
    <n v="0"/>
    <n v="0"/>
  </r>
  <r>
    <n v="34"/>
    <x v="1"/>
    <s v="Travel_Rarely"/>
    <n v="254"/>
    <x v="1"/>
    <n v="1"/>
    <n v="2"/>
    <s v="Life Sciences"/>
    <n v="649"/>
    <n v="2"/>
    <s v="Male"/>
    <n v="83"/>
    <n v="2"/>
    <n v="1"/>
    <x v="1"/>
    <x v="0"/>
    <s v="Married"/>
    <n v="3622"/>
    <x v="0"/>
    <n v="22794"/>
    <n v="1"/>
    <x v="0"/>
    <n v="13"/>
    <n v="3"/>
    <n v="4"/>
    <n v="1"/>
    <n v="6"/>
    <n v="3"/>
    <n v="3"/>
    <n v="6"/>
    <x v="0"/>
    <n v="5"/>
    <n v="1"/>
    <n v="3"/>
  </r>
  <r>
    <n v="31"/>
    <x v="0"/>
    <s v="Travel_Rarely"/>
    <n v="1365"/>
    <x v="0"/>
    <n v="13"/>
    <n v="4"/>
    <s v="Medical"/>
    <n v="650"/>
    <n v="2"/>
    <s v="Male"/>
    <n v="46"/>
    <n v="3"/>
    <n v="2"/>
    <x v="0"/>
    <x v="3"/>
    <s v="Divorced"/>
    <n v="4233"/>
    <x v="0"/>
    <n v="11512"/>
    <n v="2"/>
    <x v="1"/>
    <n v="17"/>
    <n v="3"/>
    <n v="3"/>
    <n v="0"/>
    <n v="9"/>
    <n v="2"/>
    <n v="1"/>
    <n v="3"/>
    <x v="2"/>
    <n v="1"/>
    <n v="1"/>
    <n v="2"/>
  </r>
  <r>
    <n v="35"/>
    <x v="1"/>
    <s v="Travel_Rarely"/>
    <n v="538"/>
    <x v="1"/>
    <n v="25"/>
    <n v="2"/>
    <s v="Other"/>
    <n v="652"/>
    <n v="1"/>
    <s v="Male"/>
    <n v="54"/>
    <n v="2"/>
    <n v="2"/>
    <x v="2"/>
    <x v="0"/>
    <s v="Single"/>
    <n v="3681"/>
    <x v="0"/>
    <n v="14004"/>
    <n v="4"/>
    <x v="1"/>
    <n v="14"/>
    <n v="3"/>
    <n v="4"/>
    <n v="0"/>
    <n v="9"/>
    <n v="3"/>
    <n v="3"/>
    <n v="3"/>
    <x v="2"/>
    <n v="2"/>
    <n v="0"/>
    <n v="2"/>
  </r>
  <r>
    <n v="31"/>
    <x v="1"/>
    <s v="Travel_Rarely"/>
    <n v="525"/>
    <x v="0"/>
    <n v="6"/>
    <n v="4"/>
    <s v="Medical"/>
    <n v="653"/>
    <n v="1"/>
    <s v="Male"/>
    <n v="66"/>
    <n v="4"/>
    <n v="2"/>
    <x v="0"/>
    <x v="0"/>
    <s v="Divorced"/>
    <n v="5460"/>
    <x v="0"/>
    <n v="6219"/>
    <n v="4"/>
    <x v="1"/>
    <n v="22"/>
    <n v="4"/>
    <n v="4"/>
    <n v="2"/>
    <n v="13"/>
    <n v="4"/>
    <n v="4"/>
    <n v="7"/>
    <x v="0"/>
    <n v="7"/>
    <n v="5"/>
    <n v="7"/>
  </r>
  <r>
    <n v="27"/>
    <x v="1"/>
    <s v="Travel_Rarely"/>
    <n v="798"/>
    <x v="1"/>
    <n v="6"/>
    <n v="4"/>
    <s v="Medical"/>
    <n v="655"/>
    <n v="1"/>
    <s v="Female"/>
    <n v="66"/>
    <n v="2"/>
    <n v="1"/>
    <x v="1"/>
    <x v="2"/>
    <s v="Divorced"/>
    <n v="2187"/>
    <x v="1"/>
    <n v="5013"/>
    <n v="0"/>
    <x v="1"/>
    <n v="12"/>
    <n v="3"/>
    <n v="3"/>
    <n v="2"/>
    <n v="6"/>
    <n v="5"/>
    <n v="2"/>
    <n v="5"/>
    <x v="2"/>
    <n v="3"/>
    <n v="0"/>
    <n v="3"/>
  </r>
  <r>
    <n v="37"/>
    <x v="1"/>
    <s v="Travel_Rarely"/>
    <n v="558"/>
    <x v="0"/>
    <n v="2"/>
    <n v="3"/>
    <s v="Marketing"/>
    <n v="656"/>
    <n v="4"/>
    <s v="Male"/>
    <n v="75"/>
    <n v="3"/>
    <n v="2"/>
    <x v="0"/>
    <x v="2"/>
    <s v="Married"/>
    <n v="9602"/>
    <x v="2"/>
    <n v="3010"/>
    <n v="4"/>
    <x v="0"/>
    <n v="11"/>
    <n v="3"/>
    <n v="3"/>
    <n v="1"/>
    <n v="17"/>
    <n v="3"/>
    <n v="2"/>
    <n v="3"/>
    <x v="2"/>
    <n v="0"/>
    <n v="1"/>
    <n v="0"/>
  </r>
  <r>
    <n v="20"/>
    <x v="1"/>
    <s v="Travel_Rarely"/>
    <n v="959"/>
    <x v="1"/>
    <n v="1"/>
    <n v="3"/>
    <s v="Life Sciences"/>
    <n v="657"/>
    <n v="4"/>
    <s v="Female"/>
    <n v="83"/>
    <n v="2"/>
    <n v="1"/>
    <x v="1"/>
    <x v="1"/>
    <s v="Single"/>
    <n v="2836"/>
    <x v="1"/>
    <n v="11757"/>
    <n v="1"/>
    <x v="1"/>
    <n v="13"/>
    <n v="3"/>
    <n v="4"/>
    <n v="0"/>
    <n v="1"/>
    <n v="0"/>
    <n v="4"/>
    <n v="1"/>
    <x v="1"/>
    <n v="0"/>
    <n v="0"/>
    <n v="0"/>
  </r>
  <r>
    <n v="42"/>
    <x v="1"/>
    <s v="Travel_Rarely"/>
    <n v="622"/>
    <x v="1"/>
    <n v="2"/>
    <n v="4"/>
    <s v="Life Sciences"/>
    <n v="659"/>
    <n v="3"/>
    <s v="Female"/>
    <n v="81"/>
    <n v="3"/>
    <n v="2"/>
    <x v="4"/>
    <x v="0"/>
    <s v="Married"/>
    <n v="4089"/>
    <x v="0"/>
    <n v="5718"/>
    <n v="1"/>
    <x v="1"/>
    <n v="13"/>
    <n v="3"/>
    <n v="2"/>
    <n v="2"/>
    <n v="10"/>
    <n v="4"/>
    <n v="3"/>
    <n v="10"/>
    <x v="0"/>
    <n v="2"/>
    <n v="2"/>
    <n v="2"/>
  </r>
  <r>
    <n v="43"/>
    <x v="1"/>
    <s v="Travel_Rarely"/>
    <n v="782"/>
    <x v="1"/>
    <n v="6"/>
    <n v="4"/>
    <s v="Other"/>
    <n v="661"/>
    <n v="2"/>
    <s v="Male"/>
    <n v="50"/>
    <n v="2"/>
    <n v="4"/>
    <x v="7"/>
    <x v="0"/>
    <s v="Divorced"/>
    <n v="16627"/>
    <x v="2"/>
    <n v="2671"/>
    <n v="4"/>
    <x v="0"/>
    <n v="14"/>
    <n v="3"/>
    <n v="3"/>
    <n v="1"/>
    <n v="21"/>
    <n v="3"/>
    <n v="2"/>
    <n v="1"/>
    <x v="1"/>
    <n v="0"/>
    <n v="0"/>
    <n v="0"/>
  </r>
  <r>
    <n v="38"/>
    <x v="1"/>
    <s v="Travel_Rarely"/>
    <n v="362"/>
    <x v="1"/>
    <n v="1"/>
    <n v="1"/>
    <s v="Life Sciences"/>
    <n v="662"/>
    <n v="3"/>
    <s v="Female"/>
    <n v="43"/>
    <n v="3"/>
    <n v="1"/>
    <x v="1"/>
    <x v="3"/>
    <s v="Single"/>
    <n v="2619"/>
    <x v="1"/>
    <n v="14561"/>
    <n v="3"/>
    <x v="1"/>
    <n v="17"/>
    <n v="3"/>
    <n v="4"/>
    <n v="0"/>
    <n v="8"/>
    <n v="3"/>
    <n v="2"/>
    <n v="0"/>
    <x v="1"/>
    <n v="0"/>
    <n v="0"/>
    <n v="0"/>
  </r>
  <r>
    <n v="43"/>
    <x v="1"/>
    <s v="Travel_Frequently"/>
    <n v="1001"/>
    <x v="1"/>
    <n v="9"/>
    <n v="5"/>
    <s v="Medical"/>
    <n v="663"/>
    <n v="4"/>
    <s v="Male"/>
    <n v="72"/>
    <n v="3"/>
    <n v="2"/>
    <x v="2"/>
    <x v="2"/>
    <s v="Divorced"/>
    <n v="5679"/>
    <x v="0"/>
    <n v="19627"/>
    <n v="3"/>
    <x v="0"/>
    <n v="13"/>
    <n v="3"/>
    <n v="2"/>
    <n v="1"/>
    <n v="10"/>
    <n v="3"/>
    <n v="3"/>
    <n v="8"/>
    <x v="0"/>
    <n v="7"/>
    <n v="4"/>
    <n v="7"/>
  </r>
  <r>
    <n v="48"/>
    <x v="1"/>
    <s v="Travel_Rarely"/>
    <n v="1236"/>
    <x v="1"/>
    <n v="1"/>
    <n v="4"/>
    <s v="Life Sciences"/>
    <n v="664"/>
    <n v="4"/>
    <s v="Female"/>
    <n v="40"/>
    <n v="2"/>
    <n v="4"/>
    <x v="5"/>
    <x v="3"/>
    <s v="Married"/>
    <n v="15402"/>
    <x v="2"/>
    <n v="17997"/>
    <n v="7"/>
    <x v="1"/>
    <n v="11"/>
    <n v="3"/>
    <n v="1"/>
    <n v="1"/>
    <n v="21"/>
    <n v="3"/>
    <n v="1"/>
    <n v="3"/>
    <x v="2"/>
    <n v="2"/>
    <n v="0"/>
    <n v="2"/>
  </r>
  <r>
    <n v="44"/>
    <x v="1"/>
    <s v="Travel_Rarely"/>
    <n v="1112"/>
    <x v="2"/>
    <n v="1"/>
    <n v="4"/>
    <s v="Life Sciences"/>
    <n v="665"/>
    <n v="1"/>
    <s v="Female"/>
    <n v="50"/>
    <n v="2"/>
    <n v="2"/>
    <x v="8"/>
    <x v="2"/>
    <s v="Single"/>
    <n v="5985"/>
    <x v="0"/>
    <n v="26894"/>
    <n v="4"/>
    <x v="1"/>
    <n v="11"/>
    <n v="3"/>
    <n v="2"/>
    <n v="0"/>
    <n v="10"/>
    <n v="1"/>
    <n v="4"/>
    <n v="2"/>
    <x v="1"/>
    <n v="2"/>
    <n v="0"/>
    <n v="2"/>
  </r>
  <r>
    <n v="34"/>
    <x v="1"/>
    <s v="Travel_Rarely"/>
    <n v="204"/>
    <x v="0"/>
    <n v="14"/>
    <n v="3"/>
    <s v="Technical Degree"/>
    <n v="666"/>
    <n v="3"/>
    <s v="Female"/>
    <n v="31"/>
    <n v="3"/>
    <n v="1"/>
    <x v="6"/>
    <x v="2"/>
    <s v="Divorced"/>
    <n v="2579"/>
    <x v="1"/>
    <n v="2912"/>
    <n v="1"/>
    <x v="0"/>
    <n v="18"/>
    <n v="3"/>
    <n v="4"/>
    <n v="2"/>
    <n v="8"/>
    <n v="3"/>
    <n v="3"/>
    <n v="8"/>
    <x v="0"/>
    <n v="2"/>
    <n v="0"/>
    <n v="6"/>
  </r>
  <r>
    <n v="27"/>
    <x v="0"/>
    <s v="Travel_Rarely"/>
    <n v="1420"/>
    <x v="0"/>
    <n v="2"/>
    <n v="1"/>
    <s v="Marketing"/>
    <n v="667"/>
    <n v="3"/>
    <s v="Male"/>
    <n v="85"/>
    <n v="3"/>
    <n v="1"/>
    <x v="6"/>
    <x v="3"/>
    <s v="Divorced"/>
    <n v="3041"/>
    <x v="0"/>
    <n v="16346"/>
    <n v="0"/>
    <x v="1"/>
    <n v="11"/>
    <n v="3"/>
    <n v="2"/>
    <n v="1"/>
    <n v="5"/>
    <n v="3"/>
    <n v="3"/>
    <n v="4"/>
    <x v="2"/>
    <n v="3"/>
    <n v="0"/>
    <n v="2"/>
  </r>
  <r>
    <n v="21"/>
    <x v="1"/>
    <s v="Travel_Rarely"/>
    <n v="1343"/>
    <x v="0"/>
    <n v="22"/>
    <n v="1"/>
    <s v="Technical Degree"/>
    <n v="669"/>
    <n v="3"/>
    <s v="Male"/>
    <n v="49"/>
    <n v="3"/>
    <n v="1"/>
    <x v="6"/>
    <x v="2"/>
    <s v="Single"/>
    <n v="3447"/>
    <x v="0"/>
    <n v="24444"/>
    <n v="1"/>
    <x v="1"/>
    <n v="11"/>
    <n v="3"/>
    <n v="3"/>
    <n v="0"/>
    <n v="3"/>
    <n v="2"/>
    <n v="3"/>
    <n v="3"/>
    <x v="2"/>
    <n v="2"/>
    <n v="1"/>
    <n v="2"/>
  </r>
  <r>
    <n v="44"/>
    <x v="1"/>
    <s v="Travel_Rarely"/>
    <n v="1315"/>
    <x v="1"/>
    <n v="3"/>
    <n v="4"/>
    <s v="Other"/>
    <n v="671"/>
    <n v="4"/>
    <s v="Male"/>
    <n v="35"/>
    <n v="3"/>
    <n v="5"/>
    <x v="5"/>
    <x v="0"/>
    <s v="Married"/>
    <n v="19513"/>
    <x v="2"/>
    <n v="9358"/>
    <n v="4"/>
    <x v="0"/>
    <n v="12"/>
    <n v="3"/>
    <n v="1"/>
    <n v="1"/>
    <n v="26"/>
    <n v="2"/>
    <n v="4"/>
    <n v="2"/>
    <x v="1"/>
    <n v="2"/>
    <n v="0"/>
    <n v="1"/>
  </r>
  <r>
    <n v="22"/>
    <x v="1"/>
    <s v="Travel_Rarely"/>
    <n v="604"/>
    <x v="1"/>
    <n v="6"/>
    <n v="1"/>
    <s v="Medical"/>
    <n v="675"/>
    <n v="1"/>
    <s v="Male"/>
    <n v="69"/>
    <n v="3"/>
    <n v="1"/>
    <x v="1"/>
    <x v="2"/>
    <s v="Married"/>
    <n v="2773"/>
    <x v="1"/>
    <n v="12145"/>
    <n v="0"/>
    <x v="1"/>
    <n v="20"/>
    <n v="4"/>
    <n v="4"/>
    <n v="0"/>
    <n v="3"/>
    <n v="3"/>
    <n v="3"/>
    <n v="2"/>
    <x v="1"/>
    <n v="2"/>
    <n v="2"/>
    <n v="2"/>
  </r>
  <r>
    <n v="33"/>
    <x v="1"/>
    <s v="Travel_Rarely"/>
    <n v="1216"/>
    <x v="0"/>
    <n v="8"/>
    <n v="4"/>
    <s v="Marketing"/>
    <n v="677"/>
    <n v="3"/>
    <s v="Male"/>
    <n v="39"/>
    <n v="3"/>
    <n v="2"/>
    <x v="0"/>
    <x v="2"/>
    <s v="Divorced"/>
    <n v="7104"/>
    <x v="2"/>
    <n v="20431"/>
    <n v="0"/>
    <x v="1"/>
    <n v="12"/>
    <n v="3"/>
    <n v="4"/>
    <n v="0"/>
    <n v="6"/>
    <n v="3"/>
    <n v="3"/>
    <n v="5"/>
    <x v="2"/>
    <n v="0"/>
    <n v="1"/>
    <n v="2"/>
  </r>
  <r>
    <n v="32"/>
    <x v="1"/>
    <s v="Travel_Rarely"/>
    <n v="646"/>
    <x v="1"/>
    <n v="9"/>
    <n v="4"/>
    <s v="Life Sciences"/>
    <n v="679"/>
    <n v="1"/>
    <s v="Female"/>
    <n v="92"/>
    <n v="3"/>
    <n v="2"/>
    <x v="1"/>
    <x v="0"/>
    <s v="Married"/>
    <n v="6322"/>
    <x v="0"/>
    <n v="18089"/>
    <n v="1"/>
    <x v="0"/>
    <n v="12"/>
    <n v="3"/>
    <n v="4"/>
    <n v="1"/>
    <n v="6"/>
    <n v="2"/>
    <n v="2"/>
    <n v="6"/>
    <x v="0"/>
    <n v="4"/>
    <n v="0"/>
    <n v="5"/>
  </r>
  <r>
    <n v="30"/>
    <x v="1"/>
    <s v="Travel_Frequently"/>
    <n v="160"/>
    <x v="1"/>
    <n v="3"/>
    <n v="3"/>
    <s v="Medical"/>
    <n v="680"/>
    <n v="3"/>
    <s v="Female"/>
    <n v="71"/>
    <n v="3"/>
    <n v="1"/>
    <x v="1"/>
    <x v="2"/>
    <s v="Divorced"/>
    <n v="2083"/>
    <x v="1"/>
    <n v="22653"/>
    <n v="1"/>
    <x v="1"/>
    <n v="20"/>
    <n v="4"/>
    <n v="3"/>
    <n v="1"/>
    <n v="1"/>
    <n v="2"/>
    <n v="3"/>
    <n v="1"/>
    <x v="1"/>
    <n v="0"/>
    <n v="0"/>
    <n v="0"/>
  </r>
  <r>
    <n v="53"/>
    <x v="1"/>
    <s v="Travel_Rarely"/>
    <n v="238"/>
    <x v="0"/>
    <n v="1"/>
    <n v="1"/>
    <s v="Medical"/>
    <n v="682"/>
    <n v="4"/>
    <s v="Female"/>
    <n v="34"/>
    <n v="3"/>
    <n v="2"/>
    <x v="0"/>
    <x v="3"/>
    <s v="Single"/>
    <n v="8381"/>
    <x v="2"/>
    <n v="7507"/>
    <n v="7"/>
    <x v="1"/>
    <n v="20"/>
    <n v="4"/>
    <n v="4"/>
    <n v="0"/>
    <n v="18"/>
    <n v="2"/>
    <n v="4"/>
    <n v="14"/>
    <x v="3"/>
    <n v="7"/>
    <n v="8"/>
    <n v="10"/>
  </r>
  <r>
    <n v="34"/>
    <x v="1"/>
    <s v="Travel_Rarely"/>
    <n v="1397"/>
    <x v="1"/>
    <n v="1"/>
    <n v="5"/>
    <s v="Life Sciences"/>
    <n v="683"/>
    <n v="2"/>
    <s v="Male"/>
    <n v="42"/>
    <n v="3"/>
    <n v="1"/>
    <x v="1"/>
    <x v="0"/>
    <s v="Married"/>
    <n v="2691"/>
    <x v="1"/>
    <n v="7660"/>
    <n v="1"/>
    <x v="1"/>
    <n v="12"/>
    <n v="3"/>
    <n v="4"/>
    <n v="1"/>
    <n v="10"/>
    <n v="4"/>
    <n v="2"/>
    <n v="10"/>
    <x v="0"/>
    <n v="9"/>
    <n v="8"/>
    <n v="8"/>
  </r>
  <r>
    <n v="45"/>
    <x v="0"/>
    <s v="Travel_Frequently"/>
    <n v="306"/>
    <x v="0"/>
    <n v="26"/>
    <n v="4"/>
    <s v="Life Sciences"/>
    <n v="684"/>
    <n v="1"/>
    <s v="Female"/>
    <n v="100"/>
    <n v="3"/>
    <n v="2"/>
    <x v="0"/>
    <x v="3"/>
    <s v="Married"/>
    <n v="4286"/>
    <x v="0"/>
    <n v="5630"/>
    <n v="2"/>
    <x v="1"/>
    <n v="14"/>
    <n v="3"/>
    <n v="4"/>
    <n v="2"/>
    <n v="5"/>
    <n v="4"/>
    <n v="3"/>
    <n v="1"/>
    <x v="1"/>
    <n v="1"/>
    <n v="0"/>
    <n v="0"/>
  </r>
  <r>
    <n v="26"/>
    <x v="1"/>
    <s v="Travel_Rarely"/>
    <n v="991"/>
    <x v="1"/>
    <n v="6"/>
    <n v="3"/>
    <s v="Life Sciences"/>
    <n v="686"/>
    <n v="3"/>
    <s v="Female"/>
    <n v="71"/>
    <n v="3"/>
    <n v="1"/>
    <x v="2"/>
    <x v="0"/>
    <s v="Married"/>
    <n v="2659"/>
    <x v="1"/>
    <n v="17759"/>
    <n v="1"/>
    <x v="0"/>
    <n v="13"/>
    <n v="3"/>
    <n v="3"/>
    <n v="1"/>
    <n v="3"/>
    <n v="2"/>
    <n v="3"/>
    <n v="3"/>
    <x v="2"/>
    <n v="2"/>
    <n v="0"/>
    <n v="2"/>
  </r>
  <r>
    <n v="37"/>
    <x v="1"/>
    <s v="Travel_Rarely"/>
    <n v="482"/>
    <x v="1"/>
    <n v="3"/>
    <n v="3"/>
    <s v="Other"/>
    <n v="689"/>
    <n v="3"/>
    <s v="Male"/>
    <n v="36"/>
    <n v="3"/>
    <n v="3"/>
    <x v="3"/>
    <x v="2"/>
    <s v="Married"/>
    <n v="9434"/>
    <x v="2"/>
    <n v="9606"/>
    <n v="1"/>
    <x v="1"/>
    <n v="15"/>
    <n v="3"/>
    <n v="3"/>
    <n v="1"/>
    <n v="10"/>
    <n v="2"/>
    <n v="3"/>
    <n v="10"/>
    <x v="0"/>
    <n v="7"/>
    <n v="7"/>
    <n v="8"/>
  </r>
  <r>
    <n v="29"/>
    <x v="1"/>
    <s v="Travel_Rarely"/>
    <n v="1176"/>
    <x v="0"/>
    <n v="3"/>
    <n v="2"/>
    <s v="Medical"/>
    <n v="690"/>
    <n v="2"/>
    <s v="Female"/>
    <n v="62"/>
    <n v="3"/>
    <n v="2"/>
    <x v="0"/>
    <x v="2"/>
    <s v="Married"/>
    <n v="5561"/>
    <x v="0"/>
    <n v="3487"/>
    <n v="1"/>
    <x v="1"/>
    <n v="14"/>
    <n v="3"/>
    <n v="1"/>
    <n v="1"/>
    <n v="6"/>
    <n v="5"/>
    <n v="2"/>
    <n v="6"/>
    <x v="0"/>
    <n v="0"/>
    <n v="1"/>
    <n v="2"/>
  </r>
  <r>
    <n v="35"/>
    <x v="1"/>
    <s v="Travel_Rarely"/>
    <n v="1017"/>
    <x v="1"/>
    <n v="6"/>
    <n v="4"/>
    <s v="Life Sciences"/>
    <n v="691"/>
    <n v="2"/>
    <s v="Male"/>
    <n v="82"/>
    <n v="1"/>
    <n v="2"/>
    <x v="1"/>
    <x v="0"/>
    <s v="Single"/>
    <n v="6646"/>
    <x v="0"/>
    <n v="19368"/>
    <n v="1"/>
    <x v="1"/>
    <n v="13"/>
    <n v="3"/>
    <n v="2"/>
    <n v="0"/>
    <n v="17"/>
    <n v="3"/>
    <n v="3"/>
    <n v="17"/>
    <x v="3"/>
    <n v="11"/>
    <n v="11"/>
    <n v="8"/>
  </r>
  <r>
    <n v="33"/>
    <x v="1"/>
    <s v="Travel_Frequently"/>
    <n v="1296"/>
    <x v="1"/>
    <n v="6"/>
    <n v="3"/>
    <s v="Life Sciences"/>
    <n v="692"/>
    <n v="3"/>
    <s v="Male"/>
    <n v="30"/>
    <n v="3"/>
    <n v="2"/>
    <x v="4"/>
    <x v="0"/>
    <s v="Divorced"/>
    <n v="7725"/>
    <x v="2"/>
    <n v="5335"/>
    <n v="3"/>
    <x v="1"/>
    <n v="23"/>
    <n v="4"/>
    <n v="3"/>
    <n v="1"/>
    <n v="15"/>
    <n v="2"/>
    <n v="1"/>
    <n v="13"/>
    <x v="3"/>
    <n v="11"/>
    <n v="4"/>
    <n v="7"/>
  </r>
  <r>
    <n v="54"/>
    <x v="1"/>
    <s v="Travel_Rarely"/>
    <n v="397"/>
    <x v="2"/>
    <n v="19"/>
    <n v="4"/>
    <s v="Medical"/>
    <n v="698"/>
    <n v="3"/>
    <s v="Male"/>
    <n v="88"/>
    <n v="3"/>
    <n v="3"/>
    <x v="8"/>
    <x v="1"/>
    <s v="Married"/>
    <n v="10725"/>
    <x v="2"/>
    <n v="6729"/>
    <n v="2"/>
    <x v="1"/>
    <n v="15"/>
    <n v="3"/>
    <n v="3"/>
    <n v="1"/>
    <n v="16"/>
    <n v="1"/>
    <n v="4"/>
    <n v="9"/>
    <x v="0"/>
    <n v="7"/>
    <n v="7"/>
    <n v="1"/>
  </r>
  <r>
    <n v="36"/>
    <x v="1"/>
    <s v="Travel_Rarely"/>
    <n v="913"/>
    <x v="1"/>
    <n v="9"/>
    <n v="2"/>
    <s v="Medical"/>
    <n v="699"/>
    <n v="2"/>
    <s v="Male"/>
    <n v="48"/>
    <n v="2"/>
    <n v="2"/>
    <x v="3"/>
    <x v="1"/>
    <s v="Divorced"/>
    <n v="8847"/>
    <x v="2"/>
    <n v="13934"/>
    <n v="2"/>
    <x v="0"/>
    <n v="11"/>
    <n v="3"/>
    <n v="3"/>
    <n v="1"/>
    <n v="13"/>
    <n v="2"/>
    <n v="3"/>
    <n v="3"/>
    <x v="2"/>
    <n v="2"/>
    <n v="0"/>
    <n v="2"/>
  </r>
  <r>
    <n v="27"/>
    <x v="1"/>
    <s v="Travel_Rarely"/>
    <n v="1115"/>
    <x v="1"/>
    <n v="3"/>
    <n v="4"/>
    <s v="Medical"/>
    <n v="700"/>
    <n v="1"/>
    <s v="Male"/>
    <n v="54"/>
    <n v="2"/>
    <n v="1"/>
    <x v="1"/>
    <x v="0"/>
    <s v="Single"/>
    <n v="2045"/>
    <x v="1"/>
    <n v="15174"/>
    <n v="0"/>
    <x v="1"/>
    <n v="13"/>
    <n v="3"/>
    <n v="4"/>
    <n v="0"/>
    <n v="5"/>
    <n v="0"/>
    <n v="3"/>
    <n v="4"/>
    <x v="2"/>
    <n v="2"/>
    <n v="1"/>
    <n v="1"/>
  </r>
  <r>
    <n v="20"/>
    <x v="0"/>
    <s v="Travel_Rarely"/>
    <n v="1362"/>
    <x v="1"/>
    <n v="10"/>
    <n v="1"/>
    <s v="Medical"/>
    <n v="701"/>
    <n v="4"/>
    <s v="Male"/>
    <n v="32"/>
    <n v="3"/>
    <n v="1"/>
    <x v="1"/>
    <x v="2"/>
    <s v="Single"/>
    <n v="1009"/>
    <x v="1"/>
    <n v="26999"/>
    <n v="1"/>
    <x v="0"/>
    <n v="11"/>
    <n v="3"/>
    <n v="4"/>
    <n v="0"/>
    <n v="1"/>
    <n v="5"/>
    <n v="3"/>
    <n v="1"/>
    <x v="1"/>
    <n v="0"/>
    <n v="1"/>
    <n v="1"/>
  </r>
  <r>
    <n v="33"/>
    <x v="0"/>
    <s v="Travel_Frequently"/>
    <n v="1076"/>
    <x v="1"/>
    <n v="3"/>
    <n v="3"/>
    <s v="Life Sciences"/>
    <n v="702"/>
    <n v="1"/>
    <s v="Male"/>
    <n v="70"/>
    <n v="3"/>
    <n v="1"/>
    <x v="1"/>
    <x v="3"/>
    <s v="Single"/>
    <n v="3348"/>
    <x v="0"/>
    <n v="3164"/>
    <n v="1"/>
    <x v="0"/>
    <n v="11"/>
    <n v="3"/>
    <n v="1"/>
    <n v="0"/>
    <n v="10"/>
    <n v="3"/>
    <n v="3"/>
    <n v="10"/>
    <x v="0"/>
    <n v="8"/>
    <n v="9"/>
    <n v="7"/>
  </r>
  <r>
    <n v="35"/>
    <x v="1"/>
    <s v="Non-Travel"/>
    <n v="727"/>
    <x v="1"/>
    <n v="3"/>
    <n v="3"/>
    <s v="Life Sciences"/>
    <n v="704"/>
    <n v="3"/>
    <s v="Male"/>
    <n v="41"/>
    <n v="2"/>
    <n v="1"/>
    <x v="2"/>
    <x v="2"/>
    <s v="Married"/>
    <n v="1281"/>
    <x v="1"/>
    <n v="16900"/>
    <n v="1"/>
    <x v="1"/>
    <n v="18"/>
    <n v="3"/>
    <n v="3"/>
    <n v="2"/>
    <n v="1"/>
    <n v="3"/>
    <n v="3"/>
    <n v="1"/>
    <x v="1"/>
    <n v="0"/>
    <n v="0"/>
    <n v="0"/>
  </r>
  <r>
    <n v="23"/>
    <x v="1"/>
    <s v="Travel_Rarely"/>
    <n v="885"/>
    <x v="1"/>
    <n v="4"/>
    <n v="3"/>
    <s v="Medical"/>
    <n v="705"/>
    <n v="1"/>
    <s v="Male"/>
    <n v="58"/>
    <n v="4"/>
    <n v="1"/>
    <x v="1"/>
    <x v="3"/>
    <s v="Married"/>
    <n v="2819"/>
    <x v="1"/>
    <n v="8544"/>
    <n v="2"/>
    <x v="1"/>
    <n v="16"/>
    <n v="3"/>
    <n v="1"/>
    <n v="1"/>
    <n v="5"/>
    <n v="3"/>
    <n v="4"/>
    <n v="3"/>
    <x v="2"/>
    <n v="2"/>
    <n v="0"/>
    <n v="2"/>
  </r>
  <r>
    <n v="25"/>
    <x v="1"/>
    <s v="Travel_Rarely"/>
    <n v="810"/>
    <x v="0"/>
    <n v="8"/>
    <n v="3"/>
    <s v="Life Sciences"/>
    <n v="707"/>
    <n v="4"/>
    <s v="Male"/>
    <n v="57"/>
    <n v="4"/>
    <n v="2"/>
    <x v="0"/>
    <x v="1"/>
    <s v="Married"/>
    <n v="4851"/>
    <x v="0"/>
    <n v="15678"/>
    <n v="0"/>
    <x v="1"/>
    <n v="22"/>
    <n v="4"/>
    <n v="3"/>
    <n v="1"/>
    <n v="4"/>
    <n v="4"/>
    <n v="3"/>
    <n v="3"/>
    <x v="2"/>
    <n v="2"/>
    <n v="1"/>
    <n v="2"/>
  </r>
  <r>
    <n v="38"/>
    <x v="1"/>
    <s v="Travel_Rarely"/>
    <n v="243"/>
    <x v="0"/>
    <n v="7"/>
    <n v="4"/>
    <s v="Marketing"/>
    <n v="709"/>
    <n v="4"/>
    <s v="Female"/>
    <n v="46"/>
    <n v="2"/>
    <n v="2"/>
    <x v="0"/>
    <x v="0"/>
    <s v="Single"/>
    <n v="4028"/>
    <x v="0"/>
    <n v="7791"/>
    <n v="0"/>
    <x v="1"/>
    <n v="20"/>
    <n v="4"/>
    <n v="1"/>
    <n v="0"/>
    <n v="8"/>
    <n v="2"/>
    <n v="3"/>
    <n v="7"/>
    <x v="0"/>
    <n v="7"/>
    <n v="0"/>
    <n v="5"/>
  </r>
  <r>
    <n v="29"/>
    <x v="1"/>
    <s v="Travel_Frequently"/>
    <n v="806"/>
    <x v="1"/>
    <n v="1"/>
    <n v="4"/>
    <s v="Life Sciences"/>
    <n v="710"/>
    <n v="2"/>
    <s v="Male"/>
    <n v="76"/>
    <n v="1"/>
    <n v="1"/>
    <x v="1"/>
    <x v="0"/>
    <s v="Divorced"/>
    <n v="2720"/>
    <x v="1"/>
    <n v="18959"/>
    <n v="1"/>
    <x v="1"/>
    <n v="18"/>
    <n v="3"/>
    <n v="4"/>
    <n v="1"/>
    <n v="10"/>
    <n v="5"/>
    <n v="3"/>
    <n v="10"/>
    <x v="0"/>
    <n v="7"/>
    <n v="2"/>
    <n v="8"/>
  </r>
  <r>
    <n v="48"/>
    <x v="1"/>
    <s v="Travel_Rarely"/>
    <n v="817"/>
    <x v="0"/>
    <n v="2"/>
    <n v="1"/>
    <s v="Marketing"/>
    <n v="712"/>
    <n v="2"/>
    <s v="Male"/>
    <n v="56"/>
    <n v="4"/>
    <n v="2"/>
    <x v="0"/>
    <x v="1"/>
    <s v="Married"/>
    <n v="8120"/>
    <x v="2"/>
    <n v="18597"/>
    <n v="3"/>
    <x v="1"/>
    <n v="12"/>
    <n v="3"/>
    <n v="4"/>
    <n v="0"/>
    <n v="12"/>
    <n v="3"/>
    <n v="3"/>
    <n v="2"/>
    <x v="1"/>
    <n v="2"/>
    <n v="2"/>
    <n v="2"/>
  </r>
  <r>
    <n v="27"/>
    <x v="1"/>
    <s v="Travel_Frequently"/>
    <n v="1410"/>
    <x v="0"/>
    <n v="3"/>
    <n v="1"/>
    <s v="Medical"/>
    <n v="714"/>
    <n v="4"/>
    <s v="Female"/>
    <n v="71"/>
    <n v="4"/>
    <n v="2"/>
    <x v="0"/>
    <x v="0"/>
    <s v="Divorced"/>
    <n v="4647"/>
    <x v="0"/>
    <n v="16673"/>
    <n v="1"/>
    <x v="0"/>
    <n v="20"/>
    <n v="4"/>
    <n v="2"/>
    <n v="2"/>
    <n v="6"/>
    <n v="3"/>
    <n v="3"/>
    <n v="6"/>
    <x v="0"/>
    <n v="5"/>
    <n v="0"/>
    <n v="4"/>
  </r>
  <r>
    <n v="37"/>
    <x v="1"/>
    <s v="Travel_Rarely"/>
    <n v="1225"/>
    <x v="1"/>
    <n v="10"/>
    <n v="2"/>
    <s v="Life Sciences"/>
    <n v="715"/>
    <n v="4"/>
    <s v="Male"/>
    <n v="80"/>
    <n v="4"/>
    <n v="1"/>
    <x v="1"/>
    <x v="0"/>
    <s v="Single"/>
    <n v="4680"/>
    <x v="0"/>
    <n v="15232"/>
    <n v="3"/>
    <x v="1"/>
    <n v="17"/>
    <n v="3"/>
    <n v="1"/>
    <n v="0"/>
    <n v="4"/>
    <n v="2"/>
    <n v="3"/>
    <n v="1"/>
    <x v="1"/>
    <n v="0"/>
    <n v="0"/>
    <n v="0"/>
  </r>
  <r>
    <n v="50"/>
    <x v="1"/>
    <s v="Travel_Rarely"/>
    <n v="1207"/>
    <x v="1"/>
    <n v="28"/>
    <n v="1"/>
    <s v="Medical"/>
    <n v="716"/>
    <n v="4"/>
    <s v="Male"/>
    <n v="74"/>
    <n v="4"/>
    <n v="1"/>
    <x v="2"/>
    <x v="2"/>
    <s v="Married"/>
    <n v="3221"/>
    <x v="0"/>
    <n v="3297"/>
    <n v="1"/>
    <x v="0"/>
    <n v="11"/>
    <n v="3"/>
    <n v="3"/>
    <n v="3"/>
    <n v="20"/>
    <n v="3"/>
    <n v="3"/>
    <n v="20"/>
    <x v="3"/>
    <n v="8"/>
    <n v="3"/>
    <n v="8"/>
  </r>
  <r>
    <n v="34"/>
    <x v="1"/>
    <s v="Travel_Rarely"/>
    <n v="1442"/>
    <x v="1"/>
    <n v="9"/>
    <n v="3"/>
    <s v="Medical"/>
    <n v="717"/>
    <n v="4"/>
    <s v="Female"/>
    <n v="46"/>
    <n v="2"/>
    <n v="3"/>
    <x v="4"/>
    <x v="1"/>
    <s v="Single"/>
    <n v="8621"/>
    <x v="2"/>
    <n v="17654"/>
    <n v="1"/>
    <x v="1"/>
    <n v="14"/>
    <n v="3"/>
    <n v="2"/>
    <n v="0"/>
    <n v="9"/>
    <n v="3"/>
    <n v="4"/>
    <n v="8"/>
    <x v="0"/>
    <n v="7"/>
    <n v="7"/>
    <n v="7"/>
  </r>
  <r>
    <n v="24"/>
    <x v="0"/>
    <s v="Travel_Rarely"/>
    <n v="693"/>
    <x v="0"/>
    <n v="3"/>
    <n v="2"/>
    <s v="Life Sciences"/>
    <n v="720"/>
    <n v="1"/>
    <s v="Female"/>
    <n v="65"/>
    <n v="3"/>
    <n v="2"/>
    <x v="0"/>
    <x v="2"/>
    <s v="Single"/>
    <n v="4577"/>
    <x v="0"/>
    <n v="24785"/>
    <n v="9"/>
    <x v="1"/>
    <n v="14"/>
    <n v="3"/>
    <n v="1"/>
    <n v="0"/>
    <n v="4"/>
    <n v="3"/>
    <n v="3"/>
    <n v="2"/>
    <x v="1"/>
    <n v="2"/>
    <n v="2"/>
    <n v="0"/>
  </r>
  <r>
    <n v="39"/>
    <x v="1"/>
    <s v="Travel_Rarely"/>
    <n v="408"/>
    <x v="1"/>
    <n v="2"/>
    <n v="4"/>
    <s v="Technical Degree"/>
    <n v="721"/>
    <n v="4"/>
    <s v="Female"/>
    <n v="80"/>
    <n v="2"/>
    <n v="2"/>
    <x v="4"/>
    <x v="2"/>
    <s v="Single"/>
    <n v="4553"/>
    <x v="0"/>
    <n v="20978"/>
    <n v="1"/>
    <x v="1"/>
    <n v="11"/>
    <n v="3"/>
    <n v="1"/>
    <n v="0"/>
    <n v="20"/>
    <n v="4"/>
    <n v="3"/>
    <n v="20"/>
    <x v="3"/>
    <n v="7"/>
    <n v="11"/>
    <n v="10"/>
  </r>
  <r>
    <n v="32"/>
    <x v="1"/>
    <s v="Travel_Rarely"/>
    <n v="929"/>
    <x v="0"/>
    <n v="10"/>
    <n v="3"/>
    <s v="Marketing"/>
    <n v="722"/>
    <n v="4"/>
    <s v="Male"/>
    <n v="55"/>
    <n v="3"/>
    <n v="2"/>
    <x v="0"/>
    <x v="0"/>
    <s v="Single"/>
    <n v="5396"/>
    <x v="0"/>
    <n v="21703"/>
    <n v="1"/>
    <x v="1"/>
    <n v="12"/>
    <n v="3"/>
    <n v="4"/>
    <n v="0"/>
    <n v="10"/>
    <n v="2"/>
    <n v="2"/>
    <n v="10"/>
    <x v="0"/>
    <n v="7"/>
    <n v="0"/>
    <n v="8"/>
  </r>
  <r>
    <n v="50"/>
    <x v="0"/>
    <s v="Travel_Frequently"/>
    <n v="562"/>
    <x v="0"/>
    <n v="8"/>
    <n v="2"/>
    <s v="Technical Degree"/>
    <n v="723"/>
    <n v="2"/>
    <s v="Male"/>
    <n v="50"/>
    <n v="3"/>
    <n v="2"/>
    <x v="0"/>
    <x v="2"/>
    <s v="Married"/>
    <n v="6796"/>
    <x v="0"/>
    <n v="23452"/>
    <n v="3"/>
    <x v="0"/>
    <n v="14"/>
    <n v="3"/>
    <n v="1"/>
    <n v="1"/>
    <n v="18"/>
    <n v="4"/>
    <n v="3"/>
    <n v="4"/>
    <x v="2"/>
    <n v="3"/>
    <n v="1"/>
    <n v="3"/>
  </r>
  <r>
    <n v="38"/>
    <x v="1"/>
    <s v="Travel_Rarely"/>
    <n v="827"/>
    <x v="1"/>
    <n v="1"/>
    <n v="4"/>
    <s v="Life Sciences"/>
    <n v="724"/>
    <n v="2"/>
    <s v="Female"/>
    <n v="33"/>
    <n v="4"/>
    <n v="2"/>
    <x v="4"/>
    <x v="0"/>
    <s v="Single"/>
    <n v="7625"/>
    <x v="2"/>
    <n v="19383"/>
    <n v="0"/>
    <x v="1"/>
    <n v="13"/>
    <n v="3"/>
    <n v="3"/>
    <n v="0"/>
    <n v="10"/>
    <n v="4"/>
    <n v="2"/>
    <n v="9"/>
    <x v="0"/>
    <n v="7"/>
    <n v="1"/>
    <n v="8"/>
  </r>
  <r>
    <n v="27"/>
    <x v="1"/>
    <s v="Travel_Rarely"/>
    <n v="608"/>
    <x v="1"/>
    <n v="1"/>
    <n v="2"/>
    <s v="Life Sciences"/>
    <n v="725"/>
    <n v="3"/>
    <s v="Female"/>
    <n v="68"/>
    <n v="3"/>
    <n v="3"/>
    <x v="3"/>
    <x v="3"/>
    <s v="Married"/>
    <n v="7412"/>
    <x v="2"/>
    <n v="6009"/>
    <n v="1"/>
    <x v="1"/>
    <n v="11"/>
    <n v="3"/>
    <n v="4"/>
    <n v="0"/>
    <n v="9"/>
    <n v="3"/>
    <n v="3"/>
    <n v="9"/>
    <x v="0"/>
    <n v="7"/>
    <n v="0"/>
    <n v="7"/>
  </r>
  <r>
    <n v="32"/>
    <x v="1"/>
    <s v="Travel_Rarely"/>
    <n v="1018"/>
    <x v="1"/>
    <n v="3"/>
    <n v="2"/>
    <s v="Life Sciences"/>
    <n v="727"/>
    <n v="3"/>
    <s v="Female"/>
    <n v="39"/>
    <n v="3"/>
    <n v="3"/>
    <x v="7"/>
    <x v="0"/>
    <s v="Single"/>
    <n v="11159"/>
    <x v="2"/>
    <n v="19373"/>
    <n v="3"/>
    <x v="1"/>
    <n v="15"/>
    <n v="3"/>
    <n v="4"/>
    <n v="0"/>
    <n v="10"/>
    <n v="6"/>
    <n v="3"/>
    <n v="7"/>
    <x v="0"/>
    <n v="7"/>
    <n v="7"/>
    <n v="7"/>
  </r>
  <r>
    <n v="47"/>
    <x v="1"/>
    <s v="Travel_Rarely"/>
    <n v="703"/>
    <x v="0"/>
    <n v="14"/>
    <n v="4"/>
    <s v="Marketing"/>
    <n v="728"/>
    <n v="4"/>
    <s v="Male"/>
    <n v="42"/>
    <n v="3"/>
    <n v="2"/>
    <x v="0"/>
    <x v="3"/>
    <s v="Single"/>
    <n v="4960"/>
    <x v="0"/>
    <n v="11825"/>
    <n v="2"/>
    <x v="1"/>
    <n v="12"/>
    <n v="3"/>
    <n v="4"/>
    <n v="0"/>
    <n v="20"/>
    <n v="2"/>
    <n v="3"/>
    <n v="7"/>
    <x v="0"/>
    <n v="7"/>
    <n v="1"/>
    <n v="7"/>
  </r>
  <r>
    <n v="40"/>
    <x v="1"/>
    <s v="Travel_Frequently"/>
    <n v="580"/>
    <x v="0"/>
    <n v="5"/>
    <n v="4"/>
    <s v="Life Sciences"/>
    <n v="729"/>
    <n v="4"/>
    <s v="Male"/>
    <n v="48"/>
    <n v="2"/>
    <n v="3"/>
    <x v="0"/>
    <x v="3"/>
    <s v="Married"/>
    <n v="10475"/>
    <x v="2"/>
    <n v="23772"/>
    <n v="5"/>
    <x v="0"/>
    <n v="21"/>
    <n v="4"/>
    <n v="3"/>
    <n v="1"/>
    <n v="20"/>
    <n v="2"/>
    <n v="3"/>
    <n v="18"/>
    <x v="3"/>
    <n v="13"/>
    <n v="1"/>
    <n v="12"/>
  </r>
  <r>
    <n v="53"/>
    <x v="1"/>
    <s v="Travel_Rarely"/>
    <n v="970"/>
    <x v="1"/>
    <n v="7"/>
    <n v="3"/>
    <s v="Life Sciences"/>
    <n v="730"/>
    <n v="3"/>
    <s v="Male"/>
    <n v="59"/>
    <n v="4"/>
    <n v="4"/>
    <x v="7"/>
    <x v="2"/>
    <s v="Married"/>
    <n v="14814"/>
    <x v="2"/>
    <n v="13514"/>
    <n v="3"/>
    <x v="1"/>
    <n v="19"/>
    <n v="3"/>
    <n v="3"/>
    <n v="0"/>
    <n v="32"/>
    <n v="3"/>
    <n v="3"/>
    <n v="5"/>
    <x v="2"/>
    <n v="1"/>
    <n v="1"/>
    <n v="3"/>
  </r>
  <r>
    <n v="41"/>
    <x v="1"/>
    <s v="Travel_Rarely"/>
    <n v="427"/>
    <x v="2"/>
    <n v="10"/>
    <n v="4"/>
    <s v="Human Resources"/>
    <n v="731"/>
    <n v="2"/>
    <s v="Male"/>
    <n v="73"/>
    <n v="2"/>
    <n v="5"/>
    <x v="5"/>
    <x v="0"/>
    <s v="Divorced"/>
    <n v="19141"/>
    <x v="2"/>
    <n v="8861"/>
    <n v="3"/>
    <x v="1"/>
    <n v="15"/>
    <n v="3"/>
    <n v="2"/>
    <n v="3"/>
    <n v="23"/>
    <n v="2"/>
    <n v="2"/>
    <n v="21"/>
    <x v="3"/>
    <n v="6"/>
    <n v="12"/>
    <n v="6"/>
  </r>
  <r>
    <n v="60"/>
    <x v="1"/>
    <s v="Travel_Rarely"/>
    <n v="1179"/>
    <x v="0"/>
    <n v="16"/>
    <n v="4"/>
    <s v="Marketing"/>
    <n v="732"/>
    <n v="1"/>
    <s v="Male"/>
    <n v="84"/>
    <n v="3"/>
    <n v="2"/>
    <x v="0"/>
    <x v="3"/>
    <s v="Single"/>
    <n v="5405"/>
    <x v="0"/>
    <n v="11924"/>
    <n v="8"/>
    <x v="1"/>
    <n v="14"/>
    <n v="3"/>
    <n v="4"/>
    <n v="0"/>
    <n v="10"/>
    <n v="1"/>
    <n v="3"/>
    <n v="2"/>
    <x v="1"/>
    <n v="2"/>
    <n v="2"/>
    <n v="2"/>
  </r>
  <r>
    <n v="27"/>
    <x v="1"/>
    <s v="Travel_Frequently"/>
    <n v="294"/>
    <x v="1"/>
    <n v="10"/>
    <n v="2"/>
    <s v="Life Sciences"/>
    <n v="733"/>
    <n v="4"/>
    <s v="Male"/>
    <n v="32"/>
    <n v="3"/>
    <n v="3"/>
    <x v="3"/>
    <x v="3"/>
    <s v="Divorced"/>
    <n v="8793"/>
    <x v="2"/>
    <n v="4809"/>
    <n v="1"/>
    <x v="1"/>
    <n v="21"/>
    <n v="4"/>
    <n v="3"/>
    <n v="2"/>
    <n v="9"/>
    <n v="4"/>
    <n v="2"/>
    <n v="9"/>
    <x v="0"/>
    <n v="7"/>
    <n v="1"/>
    <n v="7"/>
  </r>
  <r>
    <n v="41"/>
    <x v="1"/>
    <s v="Travel_Rarely"/>
    <n v="314"/>
    <x v="2"/>
    <n v="1"/>
    <n v="3"/>
    <s v="Human Resources"/>
    <n v="734"/>
    <n v="4"/>
    <s v="Male"/>
    <n v="59"/>
    <n v="2"/>
    <n v="5"/>
    <x v="5"/>
    <x v="2"/>
    <s v="Married"/>
    <n v="19189"/>
    <x v="2"/>
    <n v="19562"/>
    <n v="1"/>
    <x v="1"/>
    <n v="12"/>
    <n v="3"/>
    <n v="2"/>
    <n v="1"/>
    <n v="22"/>
    <n v="3"/>
    <n v="3"/>
    <n v="22"/>
    <x v="3"/>
    <n v="7"/>
    <n v="2"/>
    <n v="10"/>
  </r>
  <r>
    <n v="50"/>
    <x v="1"/>
    <s v="Travel_Rarely"/>
    <n v="316"/>
    <x v="0"/>
    <n v="8"/>
    <n v="4"/>
    <s v="Marketing"/>
    <n v="738"/>
    <n v="4"/>
    <s v="Male"/>
    <n v="54"/>
    <n v="3"/>
    <n v="1"/>
    <x v="6"/>
    <x v="1"/>
    <s v="Married"/>
    <n v="3875"/>
    <x v="0"/>
    <n v="9983"/>
    <n v="7"/>
    <x v="1"/>
    <n v="15"/>
    <n v="3"/>
    <n v="4"/>
    <n v="1"/>
    <n v="4"/>
    <n v="2"/>
    <n v="3"/>
    <n v="2"/>
    <x v="1"/>
    <n v="2"/>
    <n v="2"/>
    <n v="2"/>
  </r>
  <r>
    <n v="28"/>
    <x v="0"/>
    <s v="Travel_Rarely"/>
    <n v="654"/>
    <x v="1"/>
    <n v="1"/>
    <n v="2"/>
    <s v="Life Sciences"/>
    <n v="741"/>
    <n v="1"/>
    <s v="Female"/>
    <n v="67"/>
    <n v="1"/>
    <n v="1"/>
    <x v="1"/>
    <x v="1"/>
    <s v="Single"/>
    <n v="2216"/>
    <x v="1"/>
    <n v="3872"/>
    <n v="7"/>
    <x v="0"/>
    <n v="13"/>
    <n v="3"/>
    <n v="4"/>
    <n v="0"/>
    <n v="10"/>
    <n v="4"/>
    <n v="3"/>
    <n v="7"/>
    <x v="0"/>
    <n v="7"/>
    <n v="3"/>
    <n v="7"/>
  </r>
  <r>
    <n v="36"/>
    <x v="1"/>
    <s v="Non-Travel"/>
    <n v="427"/>
    <x v="1"/>
    <n v="8"/>
    <n v="3"/>
    <s v="Life Sciences"/>
    <n v="742"/>
    <n v="1"/>
    <s v="Female"/>
    <n v="63"/>
    <n v="4"/>
    <n v="3"/>
    <x v="7"/>
    <x v="3"/>
    <s v="Married"/>
    <n v="11713"/>
    <x v="2"/>
    <n v="20335"/>
    <n v="9"/>
    <x v="1"/>
    <n v="14"/>
    <n v="3"/>
    <n v="1"/>
    <n v="1"/>
    <n v="10"/>
    <n v="2"/>
    <n v="3"/>
    <n v="8"/>
    <x v="0"/>
    <n v="7"/>
    <n v="0"/>
    <n v="5"/>
  </r>
  <r>
    <n v="38"/>
    <x v="1"/>
    <s v="Travel_Rarely"/>
    <n v="168"/>
    <x v="1"/>
    <n v="1"/>
    <n v="3"/>
    <s v="Life Sciences"/>
    <n v="743"/>
    <n v="3"/>
    <s v="Female"/>
    <n v="81"/>
    <n v="3"/>
    <n v="3"/>
    <x v="3"/>
    <x v="2"/>
    <s v="Single"/>
    <n v="7861"/>
    <x v="2"/>
    <n v="15397"/>
    <n v="4"/>
    <x v="0"/>
    <n v="14"/>
    <n v="3"/>
    <n v="4"/>
    <n v="0"/>
    <n v="10"/>
    <n v="4"/>
    <n v="4"/>
    <n v="1"/>
    <x v="1"/>
    <n v="0"/>
    <n v="0"/>
    <n v="0"/>
  </r>
  <r>
    <n v="44"/>
    <x v="1"/>
    <s v="Non-Travel"/>
    <n v="381"/>
    <x v="1"/>
    <n v="24"/>
    <n v="3"/>
    <s v="Medical"/>
    <n v="744"/>
    <n v="1"/>
    <s v="Male"/>
    <n v="49"/>
    <n v="1"/>
    <n v="1"/>
    <x v="2"/>
    <x v="2"/>
    <s v="Single"/>
    <n v="3708"/>
    <x v="0"/>
    <n v="2104"/>
    <n v="2"/>
    <x v="1"/>
    <n v="14"/>
    <n v="3"/>
    <n v="3"/>
    <n v="0"/>
    <n v="9"/>
    <n v="5"/>
    <n v="3"/>
    <n v="5"/>
    <x v="2"/>
    <n v="2"/>
    <n v="1"/>
    <n v="4"/>
  </r>
  <r>
    <n v="47"/>
    <x v="1"/>
    <s v="Travel_Frequently"/>
    <n v="217"/>
    <x v="0"/>
    <n v="3"/>
    <n v="3"/>
    <s v="Medical"/>
    <n v="746"/>
    <n v="4"/>
    <s v="Female"/>
    <n v="49"/>
    <n v="3"/>
    <n v="4"/>
    <x v="0"/>
    <x v="2"/>
    <s v="Divorced"/>
    <n v="13770"/>
    <x v="2"/>
    <n v="10225"/>
    <n v="9"/>
    <x v="0"/>
    <n v="12"/>
    <n v="3"/>
    <n v="4"/>
    <n v="2"/>
    <n v="28"/>
    <n v="2"/>
    <n v="2"/>
    <n v="22"/>
    <x v="3"/>
    <n v="2"/>
    <n v="11"/>
    <n v="13"/>
  </r>
  <r>
    <n v="30"/>
    <x v="1"/>
    <s v="Travel_Rarely"/>
    <n v="501"/>
    <x v="0"/>
    <n v="27"/>
    <n v="5"/>
    <s v="Marketing"/>
    <n v="747"/>
    <n v="3"/>
    <s v="Male"/>
    <n v="99"/>
    <n v="3"/>
    <n v="2"/>
    <x v="0"/>
    <x v="0"/>
    <s v="Divorced"/>
    <n v="5304"/>
    <x v="0"/>
    <n v="25275"/>
    <n v="7"/>
    <x v="1"/>
    <n v="23"/>
    <n v="4"/>
    <n v="4"/>
    <n v="1"/>
    <n v="10"/>
    <n v="2"/>
    <n v="2"/>
    <n v="8"/>
    <x v="0"/>
    <n v="7"/>
    <n v="7"/>
    <n v="7"/>
  </r>
  <r>
    <n v="29"/>
    <x v="1"/>
    <s v="Travel_Rarely"/>
    <n v="1396"/>
    <x v="0"/>
    <n v="10"/>
    <n v="3"/>
    <s v="Life Sciences"/>
    <n v="749"/>
    <n v="3"/>
    <s v="Male"/>
    <n v="99"/>
    <n v="3"/>
    <n v="1"/>
    <x v="6"/>
    <x v="2"/>
    <s v="Single"/>
    <n v="2642"/>
    <x v="1"/>
    <n v="2755"/>
    <n v="1"/>
    <x v="1"/>
    <n v="11"/>
    <n v="3"/>
    <n v="3"/>
    <n v="0"/>
    <n v="1"/>
    <n v="6"/>
    <n v="3"/>
    <n v="1"/>
    <x v="1"/>
    <n v="0"/>
    <n v="0"/>
    <n v="0"/>
  </r>
  <r>
    <n v="42"/>
    <x v="0"/>
    <s v="Travel_Frequently"/>
    <n v="933"/>
    <x v="1"/>
    <n v="19"/>
    <n v="3"/>
    <s v="Medical"/>
    <n v="752"/>
    <n v="3"/>
    <s v="Male"/>
    <n v="57"/>
    <n v="4"/>
    <n v="1"/>
    <x v="1"/>
    <x v="2"/>
    <s v="Divorced"/>
    <n v="2759"/>
    <x v="1"/>
    <n v="20366"/>
    <n v="6"/>
    <x v="0"/>
    <n v="12"/>
    <n v="3"/>
    <n v="4"/>
    <n v="0"/>
    <n v="7"/>
    <n v="2"/>
    <n v="3"/>
    <n v="2"/>
    <x v="1"/>
    <n v="2"/>
    <n v="2"/>
    <n v="2"/>
  </r>
  <r>
    <n v="43"/>
    <x v="1"/>
    <s v="Travel_Frequently"/>
    <n v="775"/>
    <x v="0"/>
    <n v="15"/>
    <n v="3"/>
    <s v="Life Sciences"/>
    <n v="754"/>
    <n v="4"/>
    <s v="Male"/>
    <n v="47"/>
    <n v="2"/>
    <n v="2"/>
    <x v="0"/>
    <x v="0"/>
    <s v="Married"/>
    <n v="6804"/>
    <x v="0"/>
    <n v="23683"/>
    <n v="3"/>
    <x v="1"/>
    <n v="18"/>
    <n v="3"/>
    <n v="3"/>
    <n v="1"/>
    <n v="7"/>
    <n v="5"/>
    <n v="3"/>
    <n v="2"/>
    <x v="1"/>
    <n v="2"/>
    <n v="2"/>
    <n v="2"/>
  </r>
  <r>
    <n v="34"/>
    <x v="1"/>
    <s v="Travel_Rarely"/>
    <n v="970"/>
    <x v="1"/>
    <n v="8"/>
    <n v="2"/>
    <s v="Medical"/>
    <n v="757"/>
    <n v="2"/>
    <s v="Female"/>
    <n v="96"/>
    <n v="3"/>
    <n v="2"/>
    <x v="4"/>
    <x v="2"/>
    <s v="Single"/>
    <n v="6142"/>
    <x v="0"/>
    <n v="7360"/>
    <n v="3"/>
    <x v="1"/>
    <n v="11"/>
    <n v="3"/>
    <n v="4"/>
    <n v="0"/>
    <n v="10"/>
    <n v="2"/>
    <n v="3"/>
    <n v="5"/>
    <x v="2"/>
    <n v="1"/>
    <n v="4"/>
    <n v="3"/>
  </r>
  <r>
    <n v="23"/>
    <x v="1"/>
    <s v="Travel_Rarely"/>
    <n v="650"/>
    <x v="1"/>
    <n v="9"/>
    <n v="1"/>
    <s v="Medical"/>
    <n v="758"/>
    <n v="2"/>
    <s v="Male"/>
    <n v="37"/>
    <n v="3"/>
    <n v="1"/>
    <x v="2"/>
    <x v="3"/>
    <s v="Married"/>
    <n v="2500"/>
    <x v="1"/>
    <n v="4344"/>
    <n v="1"/>
    <x v="1"/>
    <n v="14"/>
    <n v="3"/>
    <n v="4"/>
    <n v="1"/>
    <n v="5"/>
    <n v="2"/>
    <n v="4"/>
    <n v="4"/>
    <x v="2"/>
    <n v="3"/>
    <n v="0"/>
    <n v="2"/>
  </r>
  <r>
    <n v="39"/>
    <x v="1"/>
    <s v="Travel_Rarely"/>
    <n v="141"/>
    <x v="2"/>
    <n v="3"/>
    <n v="3"/>
    <s v="Human Resources"/>
    <n v="760"/>
    <n v="3"/>
    <s v="Female"/>
    <n v="44"/>
    <n v="4"/>
    <n v="2"/>
    <x v="8"/>
    <x v="1"/>
    <s v="Married"/>
    <n v="6389"/>
    <x v="0"/>
    <n v="18767"/>
    <n v="9"/>
    <x v="1"/>
    <n v="15"/>
    <n v="3"/>
    <n v="3"/>
    <n v="1"/>
    <n v="12"/>
    <n v="3"/>
    <n v="1"/>
    <n v="8"/>
    <x v="0"/>
    <n v="3"/>
    <n v="3"/>
    <n v="6"/>
  </r>
  <r>
    <n v="56"/>
    <x v="1"/>
    <s v="Travel_Rarely"/>
    <n v="832"/>
    <x v="1"/>
    <n v="9"/>
    <n v="3"/>
    <s v="Medical"/>
    <n v="762"/>
    <n v="3"/>
    <s v="Male"/>
    <n v="81"/>
    <n v="3"/>
    <n v="4"/>
    <x v="4"/>
    <x v="0"/>
    <s v="Married"/>
    <n v="11103"/>
    <x v="2"/>
    <n v="20420"/>
    <n v="7"/>
    <x v="1"/>
    <n v="11"/>
    <n v="3"/>
    <n v="3"/>
    <n v="0"/>
    <n v="30"/>
    <n v="1"/>
    <n v="2"/>
    <n v="10"/>
    <x v="0"/>
    <n v="7"/>
    <n v="1"/>
    <n v="1"/>
  </r>
  <r>
    <n v="40"/>
    <x v="1"/>
    <s v="Travel_Rarely"/>
    <n v="804"/>
    <x v="1"/>
    <n v="2"/>
    <n v="1"/>
    <s v="Medical"/>
    <n v="763"/>
    <n v="4"/>
    <s v="Female"/>
    <n v="86"/>
    <n v="2"/>
    <n v="1"/>
    <x v="1"/>
    <x v="0"/>
    <s v="Single"/>
    <n v="2342"/>
    <x v="1"/>
    <n v="22929"/>
    <n v="0"/>
    <x v="0"/>
    <n v="20"/>
    <n v="4"/>
    <n v="4"/>
    <n v="0"/>
    <n v="5"/>
    <n v="2"/>
    <n v="2"/>
    <n v="4"/>
    <x v="2"/>
    <n v="2"/>
    <n v="2"/>
    <n v="3"/>
  </r>
  <r>
    <n v="27"/>
    <x v="1"/>
    <s v="Travel_Rarely"/>
    <n v="975"/>
    <x v="1"/>
    <n v="7"/>
    <n v="3"/>
    <s v="Medical"/>
    <n v="764"/>
    <n v="4"/>
    <s v="Female"/>
    <n v="55"/>
    <n v="2"/>
    <n v="2"/>
    <x v="4"/>
    <x v="3"/>
    <s v="Single"/>
    <n v="6811"/>
    <x v="0"/>
    <n v="23398"/>
    <n v="8"/>
    <x v="1"/>
    <n v="19"/>
    <n v="3"/>
    <n v="1"/>
    <n v="0"/>
    <n v="9"/>
    <n v="2"/>
    <n v="1"/>
    <n v="7"/>
    <x v="0"/>
    <n v="6"/>
    <n v="0"/>
    <n v="7"/>
  </r>
  <r>
    <n v="29"/>
    <x v="1"/>
    <s v="Travel_Rarely"/>
    <n v="1090"/>
    <x v="0"/>
    <n v="10"/>
    <n v="3"/>
    <s v="Marketing"/>
    <n v="766"/>
    <n v="4"/>
    <s v="Male"/>
    <n v="83"/>
    <n v="3"/>
    <n v="1"/>
    <x v="6"/>
    <x v="1"/>
    <s v="Divorced"/>
    <n v="2297"/>
    <x v="1"/>
    <n v="17967"/>
    <n v="1"/>
    <x v="1"/>
    <n v="14"/>
    <n v="3"/>
    <n v="4"/>
    <n v="2"/>
    <n v="2"/>
    <n v="2"/>
    <n v="3"/>
    <n v="2"/>
    <x v="1"/>
    <n v="2"/>
    <n v="2"/>
    <n v="2"/>
  </r>
  <r>
    <n v="53"/>
    <x v="1"/>
    <s v="Travel_Rarely"/>
    <n v="346"/>
    <x v="1"/>
    <n v="6"/>
    <n v="3"/>
    <s v="Life Sciences"/>
    <n v="769"/>
    <n v="4"/>
    <s v="Male"/>
    <n v="86"/>
    <n v="3"/>
    <n v="2"/>
    <x v="2"/>
    <x v="0"/>
    <s v="Single"/>
    <n v="2450"/>
    <x v="1"/>
    <n v="10919"/>
    <n v="2"/>
    <x v="1"/>
    <n v="17"/>
    <n v="3"/>
    <n v="4"/>
    <n v="0"/>
    <n v="19"/>
    <n v="4"/>
    <n v="3"/>
    <n v="2"/>
    <x v="1"/>
    <n v="2"/>
    <n v="2"/>
    <n v="2"/>
  </r>
  <r>
    <n v="35"/>
    <x v="1"/>
    <s v="Non-Travel"/>
    <n v="1225"/>
    <x v="1"/>
    <n v="2"/>
    <n v="4"/>
    <s v="Life Sciences"/>
    <n v="771"/>
    <n v="4"/>
    <s v="Female"/>
    <n v="61"/>
    <n v="3"/>
    <n v="2"/>
    <x v="4"/>
    <x v="3"/>
    <s v="Divorced"/>
    <n v="5093"/>
    <x v="0"/>
    <n v="4761"/>
    <n v="2"/>
    <x v="1"/>
    <n v="11"/>
    <n v="3"/>
    <n v="1"/>
    <n v="1"/>
    <n v="16"/>
    <n v="2"/>
    <n v="4"/>
    <n v="1"/>
    <x v="1"/>
    <n v="0"/>
    <n v="0"/>
    <n v="0"/>
  </r>
  <r>
    <n v="32"/>
    <x v="1"/>
    <s v="Travel_Frequently"/>
    <n v="430"/>
    <x v="1"/>
    <n v="24"/>
    <n v="4"/>
    <s v="Life Sciences"/>
    <n v="772"/>
    <n v="1"/>
    <s v="Male"/>
    <n v="80"/>
    <n v="3"/>
    <n v="2"/>
    <x v="2"/>
    <x v="0"/>
    <s v="Married"/>
    <n v="5309"/>
    <x v="0"/>
    <n v="21146"/>
    <n v="1"/>
    <x v="1"/>
    <n v="15"/>
    <n v="3"/>
    <n v="4"/>
    <n v="2"/>
    <n v="10"/>
    <n v="2"/>
    <n v="3"/>
    <n v="10"/>
    <x v="0"/>
    <n v="8"/>
    <n v="4"/>
    <n v="7"/>
  </r>
  <r>
    <n v="38"/>
    <x v="1"/>
    <s v="Travel_Rarely"/>
    <n v="268"/>
    <x v="1"/>
    <n v="2"/>
    <n v="5"/>
    <s v="Medical"/>
    <n v="773"/>
    <n v="4"/>
    <s v="Male"/>
    <n v="92"/>
    <n v="3"/>
    <n v="1"/>
    <x v="1"/>
    <x v="2"/>
    <s v="Married"/>
    <n v="3057"/>
    <x v="0"/>
    <n v="20471"/>
    <n v="6"/>
    <x v="0"/>
    <n v="13"/>
    <n v="3"/>
    <n v="2"/>
    <n v="1"/>
    <n v="6"/>
    <n v="0"/>
    <n v="1"/>
    <n v="1"/>
    <x v="1"/>
    <n v="0"/>
    <n v="0"/>
    <n v="1"/>
  </r>
  <r>
    <n v="34"/>
    <x v="1"/>
    <s v="Travel_Rarely"/>
    <n v="167"/>
    <x v="1"/>
    <n v="8"/>
    <n v="5"/>
    <s v="Life Sciences"/>
    <n v="775"/>
    <n v="2"/>
    <s v="Female"/>
    <n v="32"/>
    <n v="3"/>
    <n v="2"/>
    <x v="3"/>
    <x v="3"/>
    <s v="Divorced"/>
    <n v="5121"/>
    <x v="0"/>
    <n v="4187"/>
    <n v="3"/>
    <x v="1"/>
    <n v="14"/>
    <n v="3"/>
    <n v="3"/>
    <n v="1"/>
    <n v="7"/>
    <n v="3"/>
    <n v="3"/>
    <n v="0"/>
    <x v="1"/>
    <n v="0"/>
    <n v="0"/>
    <n v="0"/>
  </r>
  <r>
    <n v="52"/>
    <x v="1"/>
    <s v="Travel_Rarely"/>
    <n v="621"/>
    <x v="0"/>
    <n v="3"/>
    <n v="4"/>
    <s v="Marketing"/>
    <n v="776"/>
    <n v="3"/>
    <s v="Male"/>
    <n v="31"/>
    <n v="2"/>
    <n v="4"/>
    <x v="5"/>
    <x v="3"/>
    <s v="Married"/>
    <n v="16856"/>
    <x v="2"/>
    <n v="10084"/>
    <n v="1"/>
    <x v="1"/>
    <n v="11"/>
    <n v="3"/>
    <n v="1"/>
    <n v="0"/>
    <n v="34"/>
    <n v="3"/>
    <n v="4"/>
    <n v="34"/>
    <x v="3"/>
    <n v="6"/>
    <n v="1"/>
    <n v="16"/>
  </r>
  <r>
    <n v="33"/>
    <x v="0"/>
    <s v="Travel_Rarely"/>
    <n v="527"/>
    <x v="1"/>
    <n v="1"/>
    <n v="4"/>
    <s v="Other"/>
    <n v="780"/>
    <n v="4"/>
    <s v="Male"/>
    <n v="63"/>
    <n v="3"/>
    <n v="1"/>
    <x v="1"/>
    <x v="0"/>
    <s v="Single"/>
    <n v="2686"/>
    <x v="1"/>
    <n v="5207"/>
    <n v="1"/>
    <x v="0"/>
    <n v="13"/>
    <n v="3"/>
    <n v="3"/>
    <n v="0"/>
    <n v="10"/>
    <n v="2"/>
    <n v="2"/>
    <n v="10"/>
    <x v="0"/>
    <n v="9"/>
    <n v="7"/>
    <n v="8"/>
  </r>
  <r>
    <n v="25"/>
    <x v="1"/>
    <s v="Travel_Rarely"/>
    <n v="883"/>
    <x v="0"/>
    <n v="26"/>
    <n v="1"/>
    <s v="Medical"/>
    <n v="781"/>
    <n v="3"/>
    <s v="Female"/>
    <n v="32"/>
    <n v="3"/>
    <n v="2"/>
    <x v="0"/>
    <x v="0"/>
    <s v="Single"/>
    <n v="6180"/>
    <x v="0"/>
    <n v="22807"/>
    <n v="1"/>
    <x v="1"/>
    <n v="23"/>
    <n v="4"/>
    <n v="2"/>
    <n v="0"/>
    <n v="6"/>
    <n v="5"/>
    <n v="2"/>
    <n v="6"/>
    <x v="0"/>
    <n v="5"/>
    <n v="1"/>
    <n v="4"/>
  </r>
  <r>
    <n v="45"/>
    <x v="1"/>
    <s v="Travel_Rarely"/>
    <n v="954"/>
    <x v="0"/>
    <n v="2"/>
    <n v="2"/>
    <s v="Technical Degree"/>
    <n v="783"/>
    <n v="2"/>
    <s v="Male"/>
    <n v="46"/>
    <n v="1"/>
    <n v="2"/>
    <x v="6"/>
    <x v="2"/>
    <s v="Single"/>
    <n v="6632"/>
    <x v="0"/>
    <n v="12388"/>
    <n v="0"/>
    <x v="1"/>
    <n v="13"/>
    <n v="3"/>
    <n v="1"/>
    <n v="0"/>
    <n v="9"/>
    <n v="3"/>
    <n v="3"/>
    <n v="8"/>
    <x v="0"/>
    <n v="7"/>
    <n v="3"/>
    <n v="1"/>
  </r>
  <r>
    <n v="23"/>
    <x v="1"/>
    <s v="Travel_Rarely"/>
    <n v="310"/>
    <x v="1"/>
    <n v="10"/>
    <n v="1"/>
    <s v="Medical"/>
    <n v="784"/>
    <n v="1"/>
    <s v="Male"/>
    <n v="79"/>
    <n v="4"/>
    <n v="1"/>
    <x v="1"/>
    <x v="2"/>
    <s v="Single"/>
    <n v="3505"/>
    <x v="0"/>
    <n v="19630"/>
    <n v="1"/>
    <x v="1"/>
    <n v="18"/>
    <n v="3"/>
    <n v="4"/>
    <n v="0"/>
    <n v="2"/>
    <n v="3"/>
    <n v="3"/>
    <n v="2"/>
    <x v="1"/>
    <n v="2"/>
    <n v="0"/>
    <n v="2"/>
  </r>
  <r>
    <n v="47"/>
    <x v="0"/>
    <s v="Travel_Frequently"/>
    <n v="719"/>
    <x v="0"/>
    <n v="27"/>
    <n v="2"/>
    <s v="Life Sciences"/>
    <n v="785"/>
    <n v="2"/>
    <s v="Female"/>
    <n v="77"/>
    <n v="4"/>
    <n v="2"/>
    <x v="0"/>
    <x v="2"/>
    <s v="Single"/>
    <n v="6397"/>
    <x v="0"/>
    <n v="10339"/>
    <n v="4"/>
    <x v="0"/>
    <n v="12"/>
    <n v="3"/>
    <n v="4"/>
    <n v="0"/>
    <n v="8"/>
    <n v="2"/>
    <n v="3"/>
    <n v="5"/>
    <x v="2"/>
    <n v="4"/>
    <n v="1"/>
    <n v="3"/>
  </r>
  <r>
    <n v="34"/>
    <x v="1"/>
    <s v="Travel_Rarely"/>
    <n v="304"/>
    <x v="0"/>
    <n v="2"/>
    <n v="3"/>
    <s v="Other"/>
    <n v="786"/>
    <n v="4"/>
    <s v="Male"/>
    <n v="60"/>
    <n v="3"/>
    <n v="2"/>
    <x v="0"/>
    <x v="0"/>
    <s v="Single"/>
    <n v="6274"/>
    <x v="0"/>
    <n v="18686"/>
    <n v="1"/>
    <x v="1"/>
    <n v="22"/>
    <n v="4"/>
    <n v="3"/>
    <n v="0"/>
    <n v="6"/>
    <n v="5"/>
    <n v="3"/>
    <n v="6"/>
    <x v="0"/>
    <n v="5"/>
    <n v="1"/>
    <n v="4"/>
  </r>
  <r>
    <n v="55"/>
    <x v="0"/>
    <s v="Travel_Rarely"/>
    <n v="725"/>
    <x v="1"/>
    <n v="2"/>
    <n v="3"/>
    <s v="Medical"/>
    <n v="787"/>
    <n v="4"/>
    <s v="Male"/>
    <n v="78"/>
    <n v="3"/>
    <n v="5"/>
    <x v="5"/>
    <x v="3"/>
    <s v="Married"/>
    <n v="19859"/>
    <x v="2"/>
    <n v="21199"/>
    <n v="5"/>
    <x v="0"/>
    <n v="13"/>
    <n v="3"/>
    <n v="4"/>
    <n v="1"/>
    <n v="24"/>
    <n v="2"/>
    <n v="3"/>
    <n v="5"/>
    <x v="2"/>
    <n v="2"/>
    <n v="1"/>
    <n v="4"/>
  </r>
  <r>
    <n v="36"/>
    <x v="1"/>
    <s v="Non-Travel"/>
    <n v="1434"/>
    <x v="0"/>
    <n v="8"/>
    <n v="4"/>
    <s v="Life Sciences"/>
    <n v="789"/>
    <n v="1"/>
    <s v="Male"/>
    <n v="76"/>
    <n v="2"/>
    <n v="3"/>
    <x v="0"/>
    <x v="3"/>
    <s v="Single"/>
    <n v="7587"/>
    <x v="2"/>
    <n v="14229"/>
    <n v="1"/>
    <x v="1"/>
    <n v="15"/>
    <n v="3"/>
    <n v="2"/>
    <n v="0"/>
    <n v="10"/>
    <n v="1"/>
    <n v="3"/>
    <n v="10"/>
    <x v="0"/>
    <n v="7"/>
    <n v="0"/>
    <n v="9"/>
  </r>
  <r>
    <n v="52"/>
    <x v="1"/>
    <s v="Non-Travel"/>
    <n v="715"/>
    <x v="1"/>
    <n v="19"/>
    <n v="4"/>
    <s v="Medical"/>
    <n v="791"/>
    <n v="4"/>
    <s v="Male"/>
    <n v="41"/>
    <n v="3"/>
    <n v="1"/>
    <x v="1"/>
    <x v="0"/>
    <s v="Married"/>
    <n v="4258"/>
    <x v="0"/>
    <n v="26589"/>
    <n v="0"/>
    <x v="1"/>
    <n v="18"/>
    <n v="3"/>
    <n v="1"/>
    <n v="1"/>
    <n v="5"/>
    <n v="3"/>
    <n v="3"/>
    <n v="4"/>
    <x v="2"/>
    <n v="3"/>
    <n v="1"/>
    <n v="2"/>
  </r>
  <r>
    <n v="26"/>
    <x v="1"/>
    <s v="Travel_Frequently"/>
    <n v="575"/>
    <x v="1"/>
    <n v="1"/>
    <n v="2"/>
    <s v="Life Sciences"/>
    <n v="792"/>
    <n v="1"/>
    <s v="Female"/>
    <n v="71"/>
    <n v="1"/>
    <n v="1"/>
    <x v="2"/>
    <x v="0"/>
    <s v="Divorced"/>
    <n v="4364"/>
    <x v="0"/>
    <n v="5288"/>
    <n v="3"/>
    <x v="1"/>
    <n v="14"/>
    <n v="3"/>
    <n v="1"/>
    <n v="1"/>
    <n v="5"/>
    <n v="2"/>
    <n v="3"/>
    <n v="2"/>
    <x v="1"/>
    <n v="2"/>
    <n v="2"/>
    <n v="0"/>
  </r>
  <r>
    <n v="29"/>
    <x v="1"/>
    <s v="Travel_Rarely"/>
    <n v="657"/>
    <x v="1"/>
    <n v="27"/>
    <n v="3"/>
    <s v="Medical"/>
    <n v="793"/>
    <n v="2"/>
    <s v="Female"/>
    <n v="66"/>
    <n v="3"/>
    <n v="2"/>
    <x v="4"/>
    <x v="2"/>
    <s v="Married"/>
    <n v="4335"/>
    <x v="0"/>
    <n v="25549"/>
    <n v="4"/>
    <x v="1"/>
    <n v="12"/>
    <n v="3"/>
    <n v="1"/>
    <n v="1"/>
    <n v="11"/>
    <n v="3"/>
    <n v="2"/>
    <n v="8"/>
    <x v="0"/>
    <n v="7"/>
    <n v="1"/>
    <n v="1"/>
  </r>
  <r>
    <n v="26"/>
    <x v="0"/>
    <s v="Travel_Rarely"/>
    <n v="1146"/>
    <x v="0"/>
    <n v="8"/>
    <n v="3"/>
    <s v="Technical Degree"/>
    <n v="796"/>
    <n v="4"/>
    <s v="Male"/>
    <n v="38"/>
    <n v="2"/>
    <n v="2"/>
    <x v="0"/>
    <x v="3"/>
    <s v="Single"/>
    <n v="5326"/>
    <x v="0"/>
    <n v="3064"/>
    <n v="6"/>
    <x v="1"/>
    <n v="17"/>
    <n v="3"/>
    <n v="3"/>
    <n v="0"/>
    <n v="6"/>
    <n v="2"/>
    <n v="2"/>
    <n v="4"/>
    <x v="2"/>
    <n v="3"/>
    <n v="1"/>
    <n v="2"/>
  </r>
  <r>
    <n v="34"/>
    <x v="1"/>
    <s v="Travel_Rarely"/>
    <n v="182"/>
    <x v="1"/>
    <n v="1"/>
    <n v="4"/>
    <s v="Life Sciences"/>
    <n v="797"/>
    <n v="2"/>
    <s v="Female"/>
    <n v="72"/>
    <n v="4"/>
    <n v="1"/>
    <x v="1"/>
    <x v="0"/>
    <s v="Single"/>
    <n v="3280"/>
    <x v="0"/>
    <n v="13551"/>
    <n v="2"/>
    <x v="1"/>
    <n v="16"/>
    <n v="3"/>
    <n v="3"/>
    <n v="0"/>
    <n v="10"/>
    <n v="2"/>
    <n v="3"/>
    <n v="4"/>
    <x v="2"/>
    <n v="2"/>
    <n v="1"/>
    <n v="3"/>
  </r>
  <r>
    <n v="54"/>
    <x v="1"/>
    <s v="Travel_Rarely"/>
    <n v="376"/>
    <x v="1"/>
    <n v="19"/>
    <n v="4"/>
    <s v="Medical"/>
    <n v="799"/>
    <n v="4"/>
    <s v="Female"/>
    <n v="95"/>
    <n v="3"/>
    <n v="2"/>
    <x v="3"/>
    <x v="3"/>
    <s v="Divorced"/>
    <n v="5485"/>
    <x v="0"/>
    <n v="22670"/>
    <n v="9"/>
    <x v="0"/>
    <n v="11"/>
    <n v="3"/>
    <n v="2"/>
    <n v="2"/>
    <n v="9"/>
    <n v="4"/>
    <n v="3"/>
    <n v="5"/>
    <x v="2"/>
    <n v="3"/>
    <n v="1"/>
    <n v="4"/>
  </r>
  <r>
    <n v="27"/>
    <x v="1"/>
    <s v="Travel_Frequently"/>
    <n v="829"/>
    <x v="0"/>
    <n v="8"/>
    <n v="1"/>
    <s v="Marketing"/>
    <n v="800"/>
    <n v="3"/>
    <s v="Male"/>
    <n v="84"/>
    <n v="3"/>
    <n v="2"/>
    <x v="0"/>
    <x v="0"/>
    <s v="Married"/>
    <n v="4342"/>
    <x v="0"/>
    <n v="24008"/>
    <n v="0"/>
    <x v="1"/>
    <n v="19"/>
    <n v="3"/>
    <n v="2"/>
    <n v="1"/>
    <n v="5"/>
    <n v="3"/>
    <n v="3"/>
    <n v="4"/>
    <x v="2"/>
    <n v="2"/>
    <n v="1"/>
    <n v="1"/>
  </r>
  <r>
    <n v="37"/>
    <x v="1"/>
    <s v="Travel_Rarely"/>
    <n v="571"/>
    <x v="1"/>
    <n v="10"/>
    <n v="1"/>
    <s v="Life Sciences"/>
    <n v="802"/>
    <n v="4"/>
    <s v="Female"/>
    <n v="82"/>
    <n v="3"/>
    <n v="1"/>
    <x v="1"/>
    <x v="3"/>
    <s v="Divorced"/>
    <n v="2782"/>
    <x v="1"/>
    <n v="19905"/>
    <n v="0"/>
    <x v="0"/>
    <n v="13"/>
    <n v="3"/>
    <n v="2"/>
    <n v="2"/>
    <n v="6"/>
    <n v="3"/>
    <n v="2"/>
    <n v="5"/>
    <x v="2"/>
    <n v="3"/>
    <n v="4"/>
    <n v="3"/>
  </r>
  <r>
    <n v="38"/>
    <x v="1"/>
    <s v="Travel_Frequently"/>
    <n v="240"/>
    <x v="1"/>
    <n v="2"/>
    <n v="4"/>
    <s v="Life Sciences"/>
    <n v="803"/>
    <n v="1"/>
    <s v="Female"/>
    <n v="75"/>
    <n v="4"/>
    <n v="2"/>
    <x v="3"/>
    <x v="3"/>
    <s v="Single"/>
    <n v="5980"/>
    <x v="0"/>
    <n v="26085"/>
    <n v="6"/>
    <x v="0"/>
    <n v="12"/>
    <n v="3"/>
    <n v="4"/>
    <n v="0"/>
    <n v="17"/>
    <n v="2"/>
    <n v="3"/>
    <n v="15"/>
    <x v="3"/>
    <n v="7"/>
    <n v="4"/>
    <n v="12"/>
  </r>
  <r>
    <n v="34"/>
    <x v="1"/>
    <s v="Travel_Rarely"/>
    <n v="121"/>
    <x v="1"/>
    <n v="2"/>
    <n v="4"/>
    <s v="Medical"/>
    <n v="804"/>
    <n v="3"/>
    <s v="Female"/>
    <n v="86"/>
    <n v="2"/>
    <n v="1"/>
    <x v="1"/>
    <x v="3"/>
    <s v="Single"/>
    <n v="4381"/>
    <x v="0"/>
    <n v="7530"/>
    <n v="1"/>
    <x v="1"/>
    <n v="11"/>
    <n v="3"/>
    <n v="3"/>
    <n v="0"/>
    <n v="6"/>
    <n v="3"/>
    <n v="3"/>
    <n v="6"/>
    <x v="0"/>
    <n v="5"/>
    <n v="1"/>
    <n v="3"/>
  </r>
  <r>
    <n v="35"/>
    <x v="1"/>
    <s v="Travel_Rarely"/>
    <n v="384"/>
    <x v="0"/>
    <n v="8"/>
    <n v="4"/>
    <s v="Life Sciences"/>
    <n v="805"/>
    <n v="1"/>
    <s v="Female"/>
    <n v="72"/>
    <n v="3"/>
    <n v="1"/>
    <x v="6"/>
    <x v="0"/>
    <s v="Married"/>
    <n v="2572"/>
    <x v="1"/>
    <n v="20317"/>
    <n v="1"/>
    <x v="1"/>
    <n v="16"/>
    <n v="3"/>
    <n v="2"/>
    <n v="1"/>
    <n v="3"/>
    <n v="1"/>
    <n v="2"/>
    <n v="3"/>
    <x v="2"/>
    <n v="2"/>
    <n v="0"/>
    <n v="2"/>
  </r>
  <r>
    <n v="30"/>
    <x v="1"/>
    <s v="Travel_Rarely"/>
    <n v="921"/>
    <x v="1"/>
    <n v="1"/>
    <n v="3"/>
    <s v="Life Sciences"/>
    <n v="806"/>
    <n v="4"/>
    <s v="Male"/>
    <n v="38"/>
    <n v="1"/>
    <n v="1"/>
    <x v="2"/>
    <x v="2"/>
    <s v="Married"/>
    <n v="3833"/>
    <x v="0"/>
    <n v="24375"/>
    <n v="3"/>
    <x v="1"/>
    <n v="21"/>
    <n v="4"/>
    <n v="3"/>
    <n v="2"/>
    <n v="7"/>
    <n v="2"/>
    <n v="3"/>
    <n v="2"/>
    <x v="1"/>
    <n v="2"/>
    <n v="0"/>
    <n v="2"/>
  </r>
  <r>
    <n v="40"/>
    <x v="1"/>
    <s v="Travel_Frequently"/>
    <n v="791"/>
    <x v="1"/>
    <n v="2"/>
    <n v="2"/>
    <s v="Medical"/>
    <n v="807"/>
    <n v="3"/>
    <s v="Female"/>
    <n v="38"/>
    <n v="4"/>
    <n v="2"/>
    <x v="4"/>
    <x v="1"/>
    <s v="Married"/>
    <n v="4244"/>
    <x v="0"/>
    <n v="9931"/>
    <n v="1"/>
    <x v="1"/>
    <n v="24"/>
    <n v="4"/>
    <n v="4"/>
    <n v="1"/>
    <n v="8"/>
    <n v="2"/>
    <n v="3"/>
    <n v="8"/>
    <x v="0"/>
    <n v="7"/>
    <n v="3"/>
    <n v="7"/>
  </r>
  <r>
    <n v="34"/>
    <x v="1"/>
    <s v="Travel_Rarely"/>
    <n v="1111"/>
    <x v="0"/>
    <n v="8"/>
    <n v="2"/>
    <s v="Life Sciences"/>
    <n v="808"/>
    <n v="3"/>
    <s v="Female"/>
    <n v="93"/>
    <n v="3"/>
    <n v="2"/>
    <x v="0"/>
    <x v="3"/>
    <s v="Married"/>
    <n v="6500"/>
    <x v="0"/>
    <n v="13305"/>
    <n v="5"/>
    <x v="1"/>
    <n v="17"/>
    <n v="3"/>
    <n v="2"/>
    <n v="1"/>
    <n v="6"/>
    <n v="1"/>
    <n v="3"/>
    <n v="3"/>
    <x v="2"/>
    <n v="2"/>
    <n v="1"/>
    <n v="2"/>
  </r>
  <r>
    <n v="42"/>
    <x v="1"/>
    <s v="Travel_Frequently"/>
    <n v="570"/>
    <x v="1"/>
    <n v="8"/>
    <n v="3"/>
    <s v="Life Sciences"/>
    <n v="809"/>
    <n v="2"/>
    <s v="Male"/>
    <n v="66"/>
    <n v="3"/>
    <n v="5"/>
    <x v="5"/>
    <x v="0"/>
    <s v="Divorced"/>
    <n v="18430"/>
    <x v="2"/>
    <n v="16225"/>
    <n v="1"/>
    <x v="1"/>
    <n v="13"/>
    <n v="3"/>
    <n v="2"/>
    <n v="1"/>
    <n v="24"/>
    <n v="4"/>
    <n v="2"/>
    <n v="24"/>
    <x v="3"/>
    <n v="7"/>
    <n v="14"/>
    <n v="9"/>
  </r>
  <r>
    <n v="23"/>
    <x v="0"/>
    <s v="Travel_Rarely"/>
    <n v="1243"/>
    <x v="1"/>
    <n v="6"/>
    <n v="3"/>
    <s v="Life Sciences"/>
    <n v="811"/>
    <n v="3"/>
    <s v="Male"/>
    <n v="63"/>
    <n v="4"/>
    <n v="1"/>
    <x v="2"/>
    <x v="3"/>
    <s v="Married"/>
    <n v="1601"/>
    <x v="1"/>
    <n v="3445"/>
    <n v="1"/>
    <x v="0"/>
    <n v="21"/>
    <n v="4"/>
    <n v="3"/>
    <n v="2"/>
    <n v="1"/>
    <n v="2"/>
    <n v="3"/>
    <n v="0"/>
    <x v="1"/>
    <n v="0"/>
    <n v="0"/>
    <n v="0"/>
  </r>
  <r>
    <n v="24"/>
    <x v="1"/>
    <s v="Non-Travel"/>
    <n v="1092"/>
    <x v="1"/>
    <n v="9"/>
    <n v="3"/>
    <s v="Life Sciences"/>
    <n v="812"/>
    <n v="3"/>
    <s v="Male"/>
    <n v="60"/>
    <n v="2"/>
    <n v="1"/>
    <x v="2"/>
    <x v="1"/>
    <s v="Divorced"/>
    <n v="2694"/>
    <x v="1"/>
    <n v="26551"/>
    <n v="1"/>
    <x v="1"/>
    <n v="11"/>
    <n v="3"/>
    <n v="3"/>
    <n v="3"/>
    <n v="1"/>
    <n v="4"/>
    <n v="3"/>
    <n v="1"/>
    <x v="1"/>
    <n v="0"/>
    <n v="0"/>
    <n v="0"/>
  </r>
  <r>
    <n v="52"/>
    <x v="1"/>
    <s v="Travel_Rarely"/>
    <n v="1325"/>
    <x v="1"/>
    <n v="11"/>
    <n v="4"/>
    <s v="Life Sciences"/>
    <n v="813"/>
    <n v="4"/>
    <s v="Female"/>
    <n v="82"/>
    <n v="3"/>
    <n v="2"/>
    <x v="2"/>
    <x v="2"/>
    <s v="Married"/>
    <n v="3149"/>
    <x v="0"/>
    <n v="21821"/>
    <n v="8"/>
    <x v="1"/>
    <n v="20"/>
    <n v="4"/>
    <n v="2"/>
    <n v="1"/>
    <n v="9"/>
    <n v="3"/>
    <n v="3"/>
    <n v="5"/>
    <x v="2"/>
    <n v="2"/>
    <n v="1"/>
    <n v="4"/>
  </r>
  <r>
    <n v="50"/>
    <x v="1"/>
    <s v="Travel_Rarely"/>
    <n v="691"/>
    <x v="1"/>
    <n v="2"/>
    <n v="3"/>
    <s v="Medical"/>
    <n v="815"/>
    <n v="3"/>
    <s v="Male"/>
    <n v="64"/>
    <n v="3"/>
    <n v="4"/>
    <x v="7"/>
    <x v="2"/>
    <s v="Married"/>
    <n v="17639"/>
    <x v="2"/>
    <n v="6881"/>
    <n v="5"/>
    <x v="1"/>
    <n v="16"/>
    <n v="3"/>
    <n v="4"/>
    <n v="0"/>
    <n v="30"/>
    <n v="3"/>
    <n v="3"/>
    <n v="4"/>
    <x v="2"/>
    <n v="3"/>
    <n v="0"/>
    <n v="3"/>
  </r>
  <r>
    <n v="29"/>
    <x v="0"/>
    <s v="Travel_Rarely"/>
    <n v="805"/>
    <x v="1"/>
    <n v="1"/>
    <n v="2"/>
    <s v="Life Sciences"/>
    <n v="816"/>
    <n v="2"/>
    <s v="Female"/>
    <n v="36"/>
    <n v="2"/>
    <n v="1"/>
    <x v="2"/>
    <x v="3"/>
    <s v="Married"/>
    <n v="2319"/>
    <x v="1"/>
    <n v="6689"/>
    <n v="1"/>
    <x v="0"/>
    <n v="11"/>
    <n v="3"/>
    <n v="4"/>
    <n v="1"/>
    <n v="1"/>
    <n v="1"/>
    <n v="3"/>
    <n v="1"/>
    <x v="1"/>
    <n v="0"/>
    <n v="0"/>
    <n v="0"/>
  </r>
  <r>
    <n v="33"/>
    <x v="1"/>
    <s v="Travel_Rarely"/>
    <n v="213"/>
    <x v="1"/>
    <n v="7"/>
    <n v="3"/>
    <s v="Medical"/>
    <n v="817"/>
    <n v="3"/>
    <s v="Male"/>
    <n v="49"/>
    <n v="3"/>
    <n v="3"/>
    <x v="7"/>
    <x v="2"/>
    <s v="Married"/>
    <n v="11691"/>
    <x v="2"/>
    <n v="25995"/>
    <n v="0"/>
    <x v="1"/>
    <n v="11"/>
    <n v="3"/>
    <n v="4"/>
    <n v="0"/>
    <n v="14"/>
    <n v="3"/>
    <n v="4"/>
    <n v="13"/>
    <x v="3"/>
    <n v="9"/>
    <n v="3"/>
    <n v="7"/>
  </r>
  <r>
    <n v="33"/>
    <x v="0"/>
    <s v="Travel_Rarely"/>
    <n v="118"/>
    <x v="0"/>
    <n v="16"/>
    <n v="3"/>
    <s v="Marketing"/>
    <n v="819"/>
    <n v="1"/>
    <s v="Female"/>
    <n v="69"/>
    <n v="3"/>
    <n v="2"/>
    <x v="0"/>
    <x v="3"/>
    <s v="Single"/>
    <n v="5324"/>
    <x v="0"/>
    <n v="26507"/>
    <n v="5"/>
    <x v="1"/>
    <n v="15"/>
    <n v="3"/>
    <n v="3"/>
    <n v="0"/>
    <n v="6"/>
    <n v="3"/>
    <n v="3"/>
    <n v="3"/>
    <x v="2"/>
    <n v="2"/>
    <n v="0"/>
    <n v="2"/>
  </r>
  <r>
    <n v="47"/>
    <x v="1"/>
    <s v="Travel_Rarely"/>
    <n v="202"/>
    <x v="1"/>
    <n v="2"/>
    <n v="2"/>
    <s v="Other"/>
    <n v="820"/>
    <n v="3"/>
    <s v="Female"/>
    <n v="33"/>
    <n v="3"/>
    <n v="4"/>
    <x v="5"/>
    <x v="0"/>
    <s v="Married"/>
    <n v="16752"/>
    <x v="2"/>
    <n v="12982"/>
    <n v="1"/>
    <x v="0"/>
    <n v="11"/>
    <n v="3"/>
    <n v="3"/>
    <n v="1"/>
    <n v="26"/>
    <n v="3"/>
    <n v="2"/>
    <n v="26"/>
    <x v="3"/>
    <n v="14"/>
    <n v="3"/>
    <n v="0"/>
  </r>
  <r>
    <n v="36"/>
    <x v="1"/>
    <s v="Travel_Rarely"/>
    <n v="676"/>
    <x v="1"/>
    <n v="1"/>
    <n v="3"/>
    <s v="Other"/>
    <n v="823"/>
    <n v="3"/>
    <s v="Female"/>
    <n v="35"/>
    <n v="3"/>
    <n v="2"/>
    <x v="3"/>
    <x v="1"/>
    <s v="Married"/>
    <n v="5228"/>
    <x v="0"/>
    <n v="23361"/>
    <n v="0"/>
    <x v="1"/>
    <n v="15"/>
    <n v="3"/>
    <n v="1"/>
    <n v="1"/>
    <n v="10"/>
    <n v="2"/>
    <n v="3"/>
    <n v="9"/>
    <x v="0"/>
    <n v="7"/>
    <n v="0"/>
    <n v="5"/>
  </r>
  <r>
    <n v="29"/>
    <x v="1"/>
    <s v="Travel_Rarely"/>
    <n v="1252"/>
    <x v="1"/>
    <n v="23"/>
    <n v="2"/>
    <s v="Life Sciences"/>
    <n v="824"/>
    <n v="3"/>
    <s v="Male"/>
    <n v="81"/>
    <n v="4"/>
    <n v="1"/>
    <x v="1"/>
    <x v="2"/>
    <s v="Married"/>
    <n v="2700"/>
    <x v="1"/>
    <n v="23779"/>
    <n v="1"/>
    <x v="1"/>
    <n v="24"/>
    <n v="4"/>
    <n v="3"/>
    <n v="1"/>
    <n v="10"/>
    <n v="3"/>
    <n v="3"/>
    <n v="10"/>
    <x v="0"/>
    <n v="7"/>
    <n v="0"/>
    <n v="7"/>
  </r>
  <r>
    <n v="58"/>
    <x v="0"/>
    <s v="Travel_Rarely"/>
    <n v="286"/>
    <x v="1"/>
    <n v="2"/>
    <n v="4"/>
    <s v="Life Sciences"/>
    <n v="825"/>
    <n v="4"/>
    <s v="Male"/>
    <n v="31"/>
    <n v="3"/>
    <n v="5"/>
    <x v="7"/>
    <x v="1"/>
    <s v="Single"/>
    <n v="19246"/>
    <x v="2"/>
    <n v="25761"/>
    <n v="7"/>
    <x v="0"/>
    <n v="12"/>
    <n v="3"/>
    <n v="4"/>
    <n v="0"/>
    <n v="40"/>
    <n v="2"/>
    <n v="3"/>
    <n v="31"/>
    <x v="3"/>
    <n v="15"/>
    <n v="13"/>
    <n v="8"/>
  </r>
  <r>
    <n v="35"/>
    <x v="1"/>
    <s v="Travel_Rarely"/>
    <n v="1258"/>
    <x v="1"/>
    <n v="1"/>
    <n v="4"/>
    <s v="Life Sciences"/>
    <n v="826"/>
    <n v="4"/>
    <s v="Female"/>
    <n v="40"/>
    <n v="4"/>
    <n v="1"/>
    <x v="1"/>
    <x v="2"/>
    <s v="Single"/>
    <n v="2506"/>
    <x v="1"/>
    <n v="13301"/>
    <n v="3"/>
    <x v="1"/>
    <n v="13"/>
    <n v="3"/>
    <n v="3"/>
    <n v="0"/>
    <n v="7"/>
    <n v="0"/>
    <n v="3"/>
    <n v="2"/>
    <x v="1"/>
    <n v="2"/>
    <n v="2"/>
    <n v="2"/>
  </r>
  <r>
    <n v="42"/>
    <x v="1"/>
    <s v="Travel_Rarely"/>
    <n v="932"/>
    <x v="1"/>
    <n v="1"/>
    <n v="2"/>
    <s v="Life Sciences"/>
    <n v="827"/>
    <n v="4"/>
    <s v="Female"/>
    <n v="43"/>
    <n v="2"/>
    <n v="2"/>
    <x v="3"/>
    <x v="0"/>
    <s v="Married"/>
    <n v="6062"/>
    <x v="0"/>
    <n v="4051"/>
    <n v="9"/>
    <x v="0"/>
    <n v="13"/>
    <n v="3"/>
    <n v="4"/>
    <n v="1"/>
    <n v="8"/>
    <n v="4"/>
    <n v="3"/>
    <n v="4"/>
    <x v="2"/>
    <n v="3"/>
    <n v="0"/>
    <n v="2"/>
  </r>
  <r>
    <n v="28"/>
    <x v="0"/>
    <s v="Travel_Rarely"/>
    <n v="890"/>
    <x v="1"/>
    <n v="2"/>
    <n v="4"/>
    <s v="Medical"/>
    <n v="828"/>
    <n v="3"/>
    <s v="Male"/>
    <n v="46"/>
    <n v="3"/>
    <n v="1"/>
    <x v="1"/>
    <x v="2"/>
    <s v="Single"/>
    <n v="4382"/>
    <x v="0"/>
    <n v="16374"/>
    <n v="6"/>
    <x v="1"/>
    <n v="17"/>
    <n v="3"/>
    <n v="4"/>
    <n v="0"/>
    <n v="5"/>
    <n v="3"/>
    <n v="2"/>
    <n v="2"/>
    <x v="1"/>
    <n v="2"/>
    <n v="2"/>
    <n v="1"/>
  </r>
  <r>
    <n v="36"/>
    <x v="1"/>
    <s v="Travel_Rarely"/>
    <n v="1041"/>
    <x v="2"/>
    <n v="13"/>
    <n v="3"/>
    <s v="Human Resources"/>
    <n v="829"/>
    <n v="3"/>
    <s v="Male"/>
    <n v="36"/>
    <n v="3"/>
    <n v="1"/>
    <x v="8"/>
    <x v="1"/>
    <s v="Married"/>
    <n v="2143"/>
    <x v="1"/>
    <n v="25527"/>
    <n v="4"/>
    <x v="1"/>
    <n v="13"/>
    <n v="3"/>
    <n v="2"/>
    <n v="1"/>
    <n v="8"/>
    <n v="2"/>
    <n v="3"/>
    <n v="5"/>
    <x v="2"/>
    <n v="2"/>
    <n v="0"/>
    <n v="4"/>
  </r>
  <r>
    <n v="32"/>
    <x v="1"/>
    <s v="Travel_Rarely"/>
    <n v="859"/>
    <x v="1"/>
    <n v="4"/>
    <n v="3"/>
    <s v="Life Sciences"/>
    <n v="830"/>
    <n v="3"/>
    <s v="Female"/>
    <n v="98"/>
    <n v="2"/>
    <n v="2"/>
    <x v="3"/>
    <x v="2"/>
    <s v="Married"/>
    <n v="6162"/>
    <x v="0"/>
    <n v="19124"/>
    <n v="1"/>
    <x v="1"/>
    <n v="12"/>
    <n v="3"/>
    <n v="3"/>
    <n v="1"/>
    <n v="14"/>
    <n v="3"/>
    <n v="3"/>
    <n v="14"/>
    <x v="3"/>
    <n v="13"/>
    <n v="6"/>
    <n v="8"/>
  </r>
  <r>
    <n v="40"/>
    <x v="1"/>
    <s v="Travel_Frequently"/>
    <n v="720"/>
    <x v="1"/>
    <n v="16"/>
    <n v="4"/>
    <s v="Medical"/>
    <n v="832"/>
    <n v="1"/>
    <s v="Male"/>
    <n v="51"/>
    <n v="2"/>
    <n v="2"/>
    <x v="2"/>
    <x v="2"/>
    <s v="Single"/>
    <n v="5094"/>
    <x v="0"/>
    <n v="11983"/>
    <n v="6"/>
    <x v="1"/>
    <n v="14"/>
    <n v="3"/>
    <n v="4"/>
    <n v="0"/>
    <n v="10"/>
    <n v="6"/>
    <n v="3"/>
    <n v="1"/>
    <x v="1"/>
    <n v="0"/>
    <n v="0"/>
    <n v="0"/>
  </r>
  <r>
    <n v="30"/>
    <x v="1"/>
    <s v="Travel_Rarely"/>
    <n v="946"/>
    <x v="1"/>
    <n v="2"/>
    <n v="3"/>
    <s v="Medical"/>
    <n v="833"/>
    <n v="3"/>
    <s v="Female"/>
    <n v="52"/>
    <n v="2"/>
    <n v="2"/>
    <x v="3"/>
    <x v="0"/>
    <s v="Single"/>
    <n v="6877"/>
    <x v="0"/>
    <n v="20234"/>
    <n v="5"/>
    <x v="0"/>
    <n v="24"/>
    <n v="4"/>
    <n v="2"/>
    <n v="0"/>
    <n v="12"/>
    <n v="4"/>
    <n v="2"/>
    <n v="0"/>
    <x v="1"/>
    <n v="0"/>
    <n v="0"/>
    <n v="0"/>
  </r>
  <r>
    <n v="45"/>
    <x v="1"/>
    <s v="Travel_Rarely"/>
    <n v="252"/>
    <x v="1"/>
    <n v="2"/>
    <n v="3"/>
    <s v="Life Sciences"/>
    <n v="834"/>
    <n v="2"/>
    <s v="Female"/>
    <n v="95"/>
    <n v="2"/>
    <n v="1"/>
    <x v="1"/>
    <x v="2"/>
    <s v="Single"/>
    <n v="2274"/>
    <x v="1"/>
    <n v="6153"/>
    <n v="1"/>
    <x v="1"/>
    <n v="14"/>
    <n v="3"/>
    <n v="4"/>
    <n v="0"/>
    <n v="1"/>
    <n v="3"/>
    <n v="3"/>
    <n v="1"/>
    <x v="1"/>
    <n v="0"/>
    <n v="0"/>
    <n v="0"/>
  </r>
  <r>
    <n v="42"/>
    <x v="1"/>
    <s v="Travel_Rarely"/>
    <n v="933"/>
    <x v="1"/>
    <n v="29"/>
    <n v="3"/>
    <s v="Life Sciences"/>
    <n v="836"/>
    <n v="2"/>
    <s v="Male"/>
    <n v="98"/>
    <n v="3"/>
    <n v="2"/>
    <x v="3"/>
    <x v="1"/>
    <s v="Married"/>
    <n v="4434"/>
    <x v="0"/>
    <n v="11806"/>
    <n v="1"/>
    <x v="1"/>
    <n v="13"/>
    <n v="3"/>
    <n v="4"/>
    <n v="1"/>
    <n v="10"/>
    <n v="3"/>
    <n v="2"/>
    <n v="9"/>
    <x v="0"/>
    <n v="8"/>
    <n v="7"/>
    <n v="8"/>
  </r>
  <r>
    <n v="38"/>
    <x v="1"/>
    <s v="Travel_Frequently"/>
    <n v="471"/>
    <x v="1"/>
    <n v="12"/>
    <n v="3"/>
    <s v="Life Sciences"/>
    <n v="837"/>
    <n v="1"/>
    <s v="Male"/>
    <n v="45"/>
    <n v="2"/>
    <n v="2"/>
    <x v="4"/>
    <x v="3"/>
    <s v="Divorced"/>
    <n v="6288"/>
    <x v="0"/>
    <n v="4284"/>
    <n v="2"/>
    <x v="1"/>
    <n v="15"/>
    <n v="3"/>
    <n v="3"/>
    <n v="1"/>
    <n v="13"/>
    <n v="3"/>
    <n v="2"/>
    <n v="4"/>
    <x v="2"/>
    <n v="3"/>
    <n v="1"/>
    <n v="2"/>
  </r>
  <r>
    <n v="34"/>
    <x v="1"/>
    <s v="Travel_Frequently"/>
    <n v="702"/>
    <x v="1"/>
    <n v="16"/>
    <n v="4"/>
    <s v="Life Sciences"/>
    <n v="838"/>
    <n v="3"/>
    <s v="Female"/>
    <n v="100"/>
    <n v="2"/>
    <n v="1"/>
    <x v="1"/>
    <x v="0"/>
    <s v="Single"/>
    <n v="2553"/>
    <x v="1"/>
    <n v="8306"/>
    <n v="1"/>
    <x v="1"/>
    <n v="16"/>
    <n v="3"/>
    <n v="3"/>
    <n v="0"/>
    <n v="6"/>
    <n v="3"/>
    <n v="3"/>
    <n v="5"/>
    <x v="2"/>
    <n v="2"/>
    <n v="1"/>
    <n v="3"/>
  </r>
  <r>
    <n v="49"/>
    <x v="0"/>
    <s v="Travel_Rarely"/>
    <n v="1184"/>
    <x v="0"/>
    <n v="11"/>
    <n v="3"/>
    <s v="Marketing"/>
    <n v="840"/>
    <n v="3"/>
    <s v="Female"/>
    <n v="43"/>
    <n v="3"/>
    <n v="3"/>
    <x v="0"/>
    <x v="0"/>
    <s v="Married"/>
    <n v="7654"/>
    <x v="2"/>
    <n v="5860"/>
    <n v="1"/>
    <x v="1"/>
    <n v="18"/>
    <n v="3"/>
    <n v="1"/>
    <n v="2"/>
    <n v="9"/>
    <n v="3"/>
    <n v="4"/>
    <n v="9"/>
    <x v="0"/>
    <n v="8"/>
    <n v="7"/>
    <n v="7"/>
  </r>
  <r>
    <n v="55"/>
    <x v="0"/>
    <s v="Travel_Rarely"/>
    <n v="436"/>
    <x v="0"/>
    <n v="2"/>
    <n v="1"/>
    <s v="Medical"/>
    <n v="842"/>
    <n v="3"/>
    <s v="Male"/>
    <n v="37"/>
    <n v="3"/>
    <n v="2"/>
    <x v="0"/>
    <x v="0"/>
    <s v="Single"/>
    <n v="5160"/>
    <x v="0"/>
    <n v="21519"/>
    <n v="4"/>
    <x v="1"/>
    <n v="16"/>
    <n v="3"/>
    <n v="3"/>
    <n v="0"/>
    <n v="12"/>
    <n v="3"/>
    <n v="2"/>
    <n v="9"/>
    <x v="0"/>
    <n v="7"/>
    <n v="7"/>
    <n v="3"/>
  </r>
  <r>
    <n v="43"/>
    <x v="1"/>
    <s v="Travel_Rarely"/>
    <n v="589"/>
    <x v="1"/>
    <n v="14"/>
    <n v="2"/>
    <s v="Life Sciences"/>
    <n v="843"/>
    <n v="2"/>
    <s v="Male"/>
    <n v="94"/>
    <n v="3"/>
    <n v="4"/>
    <x v="7"/>
    <x v="3"/>
    <s v="Married"/>
    <n v="17159"/>
    <x v="2"/>
    <n v="5200"/>
    <n v="6"/>
    <x v="1"/>
    <n v="24"/>
    <n v="4"/>
    <n v="3"/>
    <n v="1"/>
    <n v="22"/>
    <n v="3"/>
    <n v="3"/>
    <n v="4"/>
    <x v="2"/>
    <n v="1"/>
    <n v="1"/>
    <n v="0"/>
  </r>
  <r>
    <n v="27"/>
    <x v="1"/>
    <s v="Travel_Rarely"/>
    <n v="269"/>
    <x v="1"/>
    <n v="5"/>
    <n v="1"/>
    <s v="Technical Degree"/>
    <n v="844"/>
    <n v="3"/>
    <s v="Male"/>
    <n v="42"/>
    <n v="2"/>
    <n v="3"/>
    <x v="7"/>
    <x v="0"/>
    <s v="Divorced"/>
    <n v="12808"/>
    <x v="2"/>
    <n v="8842"/>
    <n v="1"/>
    <x v="0"/>
    <n v="16"/>
    <n v="3"/>
    <n v="2"/>
    <n v="1"/>
    <n v="9"/>
    <n v="3"/>
    <n v="3"/>
    <n v="9"/>
    <x v="0"/>
    <n v="8"/>
    <n v="0"/>
    <n v="8"/>
  </r>
  <r>
    <n v="35"/>
    <x v="1"/>
    <s v="Travel_Rarely"/>
    <n v="950"/>
    <x v="1"/>
    <n v="7"/>
    <n v="3"/>
    <s v="Other"/>
    <n v="845"/>
    <n v="3"/>
    <s v="Male"/>
    <n v="59"/>
    <n v="3"/>
    <n v="3"/>
    <x v="3"/>
    <x v="2"/>
    <s v="Single"/>
    <n v="10221"/>
    <x v="2"/>
    <n v="18869"/>
    <n v="3"/>
    <x v="1"/>
    <n v="21"/>
    <n v="4"/>
    <n v="2"/>
    <n v="0"/>
    <n v="17"/>
    <n v="3"/>
    <n v="4"/>
    <n v="8"/>
    <x v="0"/>
    <n v="5"/>
    <n v="1"/>
    <n v="6"/>
  </r>
  <r>
    <n v="28"/>
    <x v="1"/>
    <s v="Travel_Rarely"/>
    <n v="760"/>
    <x v="0"/>
    <n v="2"/>
    <n v="4"/>
    <s v="Marketing"/>
    <n v="846"/>
    <n v="2"/>
    <s v="Female"/>
    <n v="81"/>
    <n v="3"/>
    <n v="2"/>
    <x v="0"/>
    <x v="1"/>
    <s v="Married"/>
    <n v="4779"/>
    <x v="0"/>
    <n v="3698"/>
    <n v="1"/>
    <x v="0"/>
    <n v="20"/>
    <n v="4"/>
    <n v="1"/>
    <n v="0"/>
    <n v="8"/>
    <n v="2"/>
    <n v="3"/>
    <n v="8"/>
    <x v="0"/>
    <n v="7"/>
    <n v="7"/>
    <n v="5"/>
  </r>
  <r>
    <n v="34"/>
    <x v="1"/>
    <s v="Travel_Rarely"/>
    <n v="829"/>
    <x v="2"/>
    <n v="3"/>
    <n v="2"/>
    <s v="Human Resources"/>
    <n v="847"/>
    <n v="3"/>
    <s v="Male"/>
    <n v="88"/>
    <n v="3"/>
    <n v="1"/>
    <x v="8"/>
    <x v="0"/>
    <s v="Married"/>
    <n v="3737"/>
    <x v="0"/>
    <n v="2243"/>
    <n v="0"/>
    <x v="1"/>
    <n v="19"/>
    <n v="3"/>
    <n v="3"/>
    <n v="1"/>
    <n v="4"/>
    <n v="1"/>
    <n v="1"/>
    <n v="3"/>
    <x v="2"/>
    <n v="2"/>
    <n v="0"/>
    <n v="2"/>
  </r>
  <r>
    <n v="26"/>
    <x v="0"/>
    <s v="Travel_Frequently"/>
    <n v="887"/>
    <x v="1"/>
    <n v="5"/>
    <n v="2"/>
    <s v="Medical"/>
    <n v="848"/>
    <n v="3"/>
    <s v="Female"/>
    <n v="88"/>
    <n v="2"/>
    <n v="1"/>
    <x v="1"/>
    <x v="2"/>
    <s v="Married"/>
    <n v="2366"/>
    <x v="1"/>
    <n v="20898"/>
    <n v="1"/>
    <x v="0"/>
    <n v="14"/>
    <n v="3"/>
    <n v="1"/>
    <n v="1"/>
    <n v="8"/>
    <n v="2"/>
    <n v="3"/>
    <n v="8"/>
    <x v="0"/>
    <n v="7"/>
    <n v="1"/>
    <n v="7"/>
  </r>
  <r>
    <n v="27"/>
    <x v="1"/>
    <s v="Non-Travel"/>
    <n v="443"/>
    <x v="1"/>
    <n v="3"/>
    <n v="3"/>
    <s v="Medical"/>
    <n v="850"/>
    <n v="4"/>
    <s v="Male"/>
    <n v="50"/>
    <n v="3"/>
    <n v="1"/>
    <x v="1"/>
    <x v="0"/>
    <s v="Married"/>
    <n v="1706"/>
    <x v="1"/>
    <n v="16571"/>
    <n v="1"/>
    <x v="1"/>
    <n v="11"/>
    <n v="3"/>
    <n v="3"/>
    <n v="3"/>
    <n v="0"/>
    <n v="6"/>
    <n v="2"/>
    <n v="0"/>
    <x v="1"/>
    <n v="0"/>
    <n v="0"/>
    <n v="0"/>
  </r>
  <r>
    <n v="51"/>
    <x v="1"/>
    <s v="Travel_Rarely"/>
    <n v="1318"/>
    <x v="0"/>
    <n v="26"/>
    <n v="4"/>
    <s v="Marketing"/>
    <n v="851"/>
    <n v="1"/>
    <s v="Female"/>
    <n v="66"/>
    <n v="3"/>
    <n v="4"/>
    <x v="5"/>
    <x v="2"/>
    <s v="Married"/>
    <n v="16307"/>
    <x v="2"/>
    <n v="5594"/>
    <n v="2"/>
    <x v="1"/>
    <n v="14"/>
    <n v="3"/>
    <n v="3"/>
    <n v="1"/>
    <n v="29"/>
    <n v="2"/>
    <n v="2"/>
    <n v="20"/>
    <x v="3"/>
    <n v="6"/>
    <n v="4"/>
    <n v="17"/>
  </r>
  <r>
    <n v="44"/>
    <x v="1"/>
    <s v="Travel_Rarely"/>
    <n v="625"/>
    <x v="1"/>
    <n v="4"/>
    <n v="3"/>
    <s v="Medical"/>
    <n v="852"/>
    <n v="4"/>
    <s v="Male"/>
    <n v="50"/>
    <n v="3"/>
    <n v="2"/>
    <x v="4"/>
    <x v="1"/>
    <s v="Single"/>
    <n v="5933"/>
    <x v="0"/>
    <n v="5197"/>
    <n v="9"/>
    <x v="1"/>
    <n v="12"/>
    <n v="3"/>
    <n v="4"/>
    <n v="0"/>
    <n v="10"/>
    <n v="2"/>
    <n v="2"/>
    <n v="5"/>
    <x v="2"/>
    <n v="2"/>
    <n v="2"/>
    <n v="3"/>
  </r>
  <r>
    <n v="25"/>
    <x v="1"/>
    <s v="Travel_Rarely"/>
    <n v="180"/>
    <x v="1"/>
    <n v="2"/>
    <n v="1"/>
    <s v="Medical"/>
    <n v="854"/>
    <n v="1"/>
    <s v="Male"/>
    <n v="65"/>
    <n v="4"/>
    <n v="1"/>
    <x v="1"/>
    <x v="3"/>
    <s v="Single"/>
    <n v="3424"/>
    <x v="0"/>
    <n v="21632"/>
    <n v="7"/>
    <x v="1"/>
    <n v="13"/>
    <n v="3"/>
    <n v="3"/>
    <n v="0"/>
    <n v="6"/>
    <n v="3"/>
    <n v="2"/>
    <n v="4"/>
    <x v="2"/>
    <n v="3"/>
    <n v="0"/>
    <n v="1"/>
  </r>
  <r>
    <n v="33"/>
    <x v="1"/>
    <s v="Travel_Rarely"/>
    <n v="586"/>
    <x v="0"/>
    <n v="1"/>
    <n v="3"/>
    <s v="Medical"/>
    <n v="855"/>
    <n v="1"/>
    <s v="Male"/>
    <n v="48"/>
    <n v="4"/>
    <n v="2"/>
    <x v="0"/>
    <x v="3"/>
    <s v="Divorced"/>
    <n v="4037"/>
    <x v="0"/>
    <n v="21816"/>
    <n v="1"/>
    <x v="1"/>
    <n v="22"/>
    <n v="4"/>
    <n v="1"/>
    <n v="1"/>
    <n v="9"/>
    <n v="5"/>
    <n v="3"/>
    <n v="9"/>
    <x v="0"/>
    <n v="8"/>
    <n v="0"/>
    <n v="8"/>
  </r>
  <r>
    <n v="35"/>
    <x v="1"/>
    <s v="Travel_Rarely"/>
    <n v="1343"/>
    <x v="1"/>
    <n v="27"/>
    <n v="1"/>
    <s v="Medical"/>
    <n v="856"/>
    <n v="3"/>
    <s v="Female"/>
    <n v="53"/>
    <n v="2"/>
    <n v="1"/>
    <x v="1"/>
    <x v="3"/>
    <s v="Single"/>
    <n v="2559"/>
    <x v="1"/>
    <n v="17852"/>
    <n v="1"/>
    <x v="1"/>
    <n v="11"/>
    <n v="3"/>
    <n v="4"/>
    <n v="0"/>
    <n v="6"/>
    <n v="3"/>
    <n v="2"/>
    <n v="6"/>
    <x v="0"/>
    <n v="5"/>
    <n v="1"/>
    <n v="1"/>
  </r>
  <r>
    <n v="36"/>
    <x v="1"/>
    <s v="Travel_Rarely"/>
    <n v="928"/>
    <x v="0"/>
    <n v="1"/>
    <n v="2"/>
    <s v="Life Sciences"/>
    <n v="857"/>
    <n v="2"/>
    <s v="Male"/>
    <n v="56"/>
    <n v="3"/>
    <n v="2"/>
    <x v="0"/>
    <x v="0"/>
    <s v="Married"/>
    <n v="6201"/>
    <x v="0"/>
    <n v="2823"/>
    <n v="1"/>
    <x v="0"/>
    <n v="14"/>
    <n v="3"/>
    <n v="4"/>
    <n v="1"/>
    <n v="18"/>
    <n v="1"/>
    <n v="2"/>
    <n v="18"/>
    <x v="3"/>
    <n v="14"/>
    <n v="4"/>
    <n v="11"/>
  </r>
  <r>
    <n v="32"/>
    <x v="1"/>
    <s v="Travel_Rarely"/>
    <n v="117"/>
    <x v="0"/>
    <n v="13"/>
    <n v="4"/>
    <s v="Life Sciences"/>
    <n v="859"/>
    <n v="2"/>
    <s v="Male"/>
    <n v="73"/>
    <n v="3"/>
    <n v="2"/>
    <x v="0"/>
    <x v="0"/>
    <s v="Divorced"/>
    <n v="4403"/>
    <x v="0"/>
    <n v="9250"/>
    <n v="2"/>
    <x v="1"/>
    <n v="11"/>
    <n v="3"/>
    <n v="3"/>
    <n v="1"/>
    <n v="8"/>
    <n v="3"/>
    <n v="2"/>
    <n v="5"/>
    <x v="2"/>
    <n v="2"/>
    <n v="0"/>
    <n v="3"/>
  </r>
  <r>
    <n v="30"/>
    <x v="1"/>
    <s v="Travel_Frequently"/>
    <n v="1012"/>
    <x v="1"/>
    <n v="5"/>
    <n v="4"/>
    <s v="Life Sciences"/>
    <n v="861"/>
    <n v="2"/>
    <s v="Male"/>
    <n v="75"/>
    <n v="2"/>
    <n v="1"/>
    <x v="1"/>
    <x v="0"/>
    <s v="Divorced"/>
    <n v="3761"/>
    <x v="0"/>
    <n v="2373"/>
    <n v="9"/>
    <x v="1"/>
    <n v="12"/>
    <n v="3"/>
    <n v="2"/>
    <n v="1"/>
    <n v="10"/>
    <n v="3"/>
    <n v="2"/>
    <n v="5"/>
    <x v="2"/>
    <n v="4"/>
    <n v="0"/>
    <n v="3"/>
  </r>
  <r>
    <n v="53"/>
    <x v="1"/>
    <s v="Travel_Rarely"/>
    <n v="661"/>
    <x v="0"/>
    <n v="7"/>
    <n v="2"/>
    <s v="Marketing"/>
    <n v="862"/>
    <n v="1"/>
    <s v="Female"/>
    <n v="78"/>
    <n v="2"/>
    <n v="3"/>
    <x v="0"/>
    <x v="0"/>
    <s v="Married"/>
    <n v="10934"/>
    <x v="2"/>
    <n v="20715"/>
    <n v="7"/>
    <x v="0"/>
    <n v="18"/>
    <n v="3"/>
    <n v="4"/>
    <n v="1"/>
    <n v="35"/>
    <n v="3"/>
    <n v="3"/>
    <n v="5"/>
    <x v="2"/>
    <n v="2"/>
    <n v="0"/>
    <n v="4"/>
  </r>
  <r>
    <n v="45"/>
    <x v="1"/>
    <s v="Travel_Rarely"/>
    <n v="930"/>
    <x v="0"/>
    <n v="9"/>
    <n v="3"/>
    <s v="Marketing"/>
    <n v="864"/>
    <n v="4"/>
    <s v="Male"/>
    <n v="74"/>
    <n v="3"/>
    <n v="3"/>
    <x v="0"/>
    <x v="3"/>
    <s v="Divorced"/>
    <n v="10761"/>
    <x v="2"/>
    <n v="19239"/>
    <n v="4"/>
    <x v="0"/>
    <n v="12"/>
    <n v="3"/>
    <n v="3"/>
    <n v="1"/>
    <n v="18"/>
    <n v="2"/>
    <n v="3"/>
    <n v="5"/>
    <x v="2"/>
    <n v="4"/>
    <n v="0"/>
    <n v="2"/>
  </r>
  <r>
    <n v="32"/>
    <x v="1"/>
    <s v="Travel_Rarely"/>
    <n v="638"/>
    <x v="1"/>
    <n v="8"/>
    <n v="2"/>
    <s v="Medical"/>
    <n v="865"/>
    <n v="3"/>
    <s v="Female"/>
    <n v="91"/>
    <n v="4"/>
    <n v="2"/>
    <x v="1"/>
    <x v="2"/>
    <s v="Married"/>
    <n v="5175"/>
    <x v="0"/>
    <n v="22162"/>
    <n v="5"/>
    <x v="1"/>
    <n v="12"/>
    <n v="3"/>
    <n v="3"/>
    <n v="1"/>
    <n v="9"/>
    <n v="3"/>
    <n v="2"/>
    <n v="5"/>
    <x v="2"/>
    <n v="3"/>
    <n v="1"/>
    <n v="3"/>
  </r>
  <r>
    <n v="52"/>
    <x v="1"/>
    <s v="Travel_Frequently"/>
    <n v="890"/>
    <x v="1"/>
    <n v="25"/>
    <n v="4"/>
    <s v="Medical"/>
    <n v="867"/>
    <n v="3"/>
    <s v="Female"/>
    <n v="81"/>
    <n v="2"/>
    <n v="4"/>
    <x v="3"/>
    <x v="0"/>
    <s v="Married"/>
    <n v="13826"/>
    <x v="2"/>
    <n v="19028"/>
    <n v="3"/>
    <x v="1"/>
    <n v="22"/>
    <n v="4"/>
    <n v="3"/>
    <n v="0"/>
    <n v="31"/>
    <n v="3"/>
    <n v="3"/>
    <n v="9"/>
    <x v="0"/>
    <n v="8"/>
    <n v="0"/>
    <n v="0"/>
  </r>
  <r>
    <n v="37"/>
    <x v="1"/>
    <s v="Travel_Rarely"/>
    <n v="342"/>
    <x v="0"/>
    <n v="16"/>
    <n v="4"/>
    <s v="Marketing"/>
    <n v="868"/>
    <n v="4"/>
    <s v="Male"/>
    <n v="66"/>
    <n v="2"/>
    <n v="2"/>
    <x v="0"/>
    <x v="2"/>
    <s v="Divorced"/>
    <n v="6334"/>
    <x v="0"/>
    <n v="24558"/>
    <n v="4"/>
    <x v="1"/>
    <n v="19"/>
    <n v="3"/>
    <n v="4"/>
    <n v="2"/>
    <n v="9"/>
    <n v="2"/>
    <n v="3"/>
    <n v="1"/>
    <x v="1"/>
    <n v="0"/>
    <n v="0"/>
    <n v="0"/>
  </r>
  <r>
    <n v="28"/>
    <x v="1"/>
    <s v="Travel_Rarely"/>
    <n v="1169"/>
    <x v="2"/>
    <n v="8"/>
    <n v="2"/>
    <s v="Medical"/>
    <n v="869"/>
    <n v="2"/>
    <s v="Male"/>
    <n v="63"/>
    <n v="2"/>
    <n v="1"/>
    <x v="8"/>
    <x v="0"/>
    <s v="Divorced"/>
    <n v="4936"/>
    <x v="0"/>
    <n v="23965"/>
    <n v="1"/>
    <x v="1"/>
    <n v="13"/>
    <n v="3"/>
    <n v="4"/>
    <n v="1"/>
    <n v="6"/>
    <n v="6"/>
    <n v="3"/>
    <n v="5"/>
    <x v="2"/>
    <n v="1"/>
    <n v="0"/>
    <n v="4"/>
  </r>
  <r>
    <n v="22"/>
    <x v="1"/>
    <s v="Travel_Rarely"/>
    <n v="1230"/>
    <x v="1"/>
    <n v="1"/>
    <n v="2"/>
    <s v="Life Sciences"/>
    <n v="872"/>
    <n v="4"/>
    <s v="Male"/>
    <n v="33"/>
    <n v="2"/>
    <n v="2"/>
    <x v="3"/>
    <x v="0"/>
    <s v="Married"/>
    <n v="4775"/>
    <x v="0"/>
    <n v="19146"/>
    <n v="6"/>
    <x v="1"/>
    <n v="22"/>
    <n v="4"/>
    <n v="1"/>
    <n v="2"/>
    <n v="4"/>
    <n v="2"/>
    <n v="1"/>
    <n v="2"/>
    <x v="1"/>
    <n v="2"/>
    <n v="2"/>
    <n v="2"/>
  </r>
  <r>
    <n v="44"/>
    <x v="1"/>
    <s v="Travel_Rarely"/>
    <n v="986"/>
    <x v="1"/>
    <n v="8"/>
    <n v="4"/>
    <s v="Life Sciences"/>
    <n v="874"/>
    <n v="1"/>
    <s v="Male"/>
    <n v="62"/>
    <n v="4"/>
    <n v="1"/>
    <x v="2"/>
    <x v="0"/>
    <s v="Married"/>
    <n v="2818"/>
    <x v="1"/>
    <n v="5044"/>
    <n v="2"/>
    <x v="0"/>
    <n v="24"/>
    <n v="4"/>
    <n v="3"/>
    <n v="1"/>
    <n v="10"/>
    <n v="2"/>
    <n v="2"/>
    <n v="3"/>
    <x v="2"/>
    <n v="2"/>
    <n v="0"/>
    <n v="2"/>
  </r>
  <r>
    <n v="42"/>
    <x v="1"/>
    <s v="Travel_Frequently"/>
    <n v="1271"/>
    <x v="1"/>
    <n v="2"/>
    <n v="1"/>
    <s v="Medical"/>
    <n v="875"/>
    <n v="2"/>
    <s v="Male"/>
    <n v="35"/>
    <n v="3"/>
    <n v="1"/>
    <x v="1"/>
    <x v="0"/>
    <s v="Single"/>
    <n v="2515"/>
    <x v="1"/>
    <n v="9068"/>
    <n v="5"/>
    <x v="0"/>
    <n v="14"/>
    <n v="3"/>
    <n v="4"/>
    <n v="0"/>
    <n v="8"/>
    <n v="2"/>
    <n v="3"/>
    <n v="2"/>
    <x v="1"/>
    <n v="1"/>
    <n v="2"/>
    <n v="2"/>
  </r>
  <r>
    <n v="36"/>
    <x v="1"/>
    <s v="Travel_Rarely"/>
    <n v="1278"/>
    <x v="2"/>
    <n v="8"/>
    <n v="3"/>
    <s v="Life Sciences"/>
    <n v="878"/>
    <n v="1"/>
    <s v="Male"/>
    <n v="77"/>
    <n v="2"/>
    <n v="1"/>
    <x v="8"/>
    <x v="3"/>
    <s v="Married"/>
    <n v="2342"/>
    <x v="1"/>
    <n v="8635"/>
    <n v="0"/>
    <x v="1"/>
    <n v="21"/>
    <n v="4"/>
    <n v="3"/>
    <n v="0"/>
    <n v="6"/>
    <n v="3"/>
    <n v="3"/>
    <n v="5"/>
    <x v="2"/>
    <n v="4"/>
    <n v="0"/>
    <n v="3"/>
  </r>
  <r>
    <n v="25"/>
    <x v="1"/>
    <s v="Travel_Rarely"/>
    <n v="141"/>
    <x v="0"/>
    <n v="3"/>
    <n v="1"/>
    <s v="Other"/>
    <n v="879"/>
    <n v="3"/>
    <s v="Male"/>
    <n v="98"/>
    <n v="3"/>
    <n v="2"/>
    <x v="0"/>
    <x v="3"/>
    <s v="Married"/>
    <n v="4194"/>
    <x v="0"/>
    <n v="14363"/>
    <n v="1"/>
    <x v="0"/>
    <n v="18"/>
    <n v="3"/>
    <n v="4"/>
    <n v="0"/>
    <n v="5"/>
    <n v="3"/>
    <n v="3"/>
    <n v="5"/>
    <x v="2"/>
    <n v="3"/>
    <n v="0"/>
    <n v="3"/>
  </r>
  <r>
    <n v="35"/>
    <x v="1"/>
    <s v="Travel_Rarely"/>
    <n v="607"/>
    <x v="1"/>
    <n v="9"/>
    <n v="3"/>
    <s v="Life Sciences"/>
    <n v="880"/>
    <n v="4"/>
    <s v="Female"/>
    <n v="66"/>
    <n v="2"/>
    <n v="3"/>
    <x v="3"/>
    <x v="2"/>
    <s v="Married"/>
    <n v="10685"/>
    <x v="2"/>
    <n v="23457"/>
    <n v="1"/>
    <x v="0"/>
    <n v="20"/>
    <n v="4"/>
    <n v="2"/>
    <n v="1"/>
    <n v="17"/>
    <n v="2"/>
    <n v="3"/>
    <n v="17"/>
    <x v="3"/>
    <n v="14"/>
    <n v="5"/>
    <n v="15"/>
  </r>
  <r>
    <n v="35"/>
    <x v="0"/>
    <s v="Travel_Frequently"/>
    <n v="130"/>
    <x v="1"/>
    <n v="25"/>
    <n v="4"/>
    <s v="Life Sciences"/>
    <n v="881"/>
    <n v="4"/>
    <s v="Female"/>
    <n v="96"/>
    <n v="3"/>
    <n v="1"/>
    <x v="1"/>
    <x v="1"/>
    <s v="Divorced"/>
    <n v="2022"/>
    <x v="1"/>
    <n v="16612"/>
    <n v="1"/>
    <x v="0"/>
    <n v="19"/>
    <n v="3"/>
    <n v="1"/>
    <n v="1"/>
    <n v="10"/>
    <n v="3"/>
    <n v="2"/>
    <n v="10"/>
    <x v="0"/>
    <n v="2"/>
    <n v="7"/>
    <n v="8"/>
  </r>
  <r>
    <n v="32"/>
    <x v="1"/>
    <s v="Non-Travel"/>
    <n v="300"/>
    <x v="1"/>
    <n v="1"/>
    <n v="3"/>
    <s v="Life Sciences"/>
    <n v="882"/>
    <n v="4"/>
    <s v="Male"/>
    <n v="61"/>
    <n v="3"/>
    <n v="1"/>
    <x v="2"/>
    <x v="0"/>
    <s v="Divorced"/>
    <n v="2314"/>
    <x v="1"/>
    <n v="9148"/>
    <n v="0"/>
    <x v="1"/>
    <n v="12"/>
    <n v="3"/>
    <n v="2"/>
    <n v="1"/>
    <n v="4"/>
    <n v="2"/>
    <n v="3"/>
    <n v="3"/>
    <x v="2"/>
    <n v="0"/>
    <n v="0"/>
    <n v="2"/>
  </r>
  <r>
    <n v="25"/>
    <x v="1"/>
    <s v="Travel_Rarely"/>
    <n v="583"/>
    <x v="0"/>
    <n v="4"/>
    <n v="1"/>
    <s v="Marketing"/>
    <n v="885"/>
    <n v="3"/>
    <s v="Male"/>
    <n v="87"/>
    <n v="2"/>
    <n v="2"/>
    <x v="0"/>
    <x v="3"/>
    <s v="Married"/>
    <n v="4256"/>
    <x v="0"/>
    <n v="18154"/>
    <n v="1"/>
    <x v="1"/>
    <n v="12"/>
    <n v="3"/>
    <n v="1"/>
    <n v="0"/>
    <n v="5"/>
    <n v="1"/>
    <n v="4"/>
    <n v="5"/>
    <x v="2"/>
    <n v="2"/>
    <n v="0"/>
    <n v="3"/>
  </r>
  <r>
    <n v="49"/>
    <x v="1"/>
    <s v="Travel_Rarely"/>
    <n v="1418"/>
    <x v="1"/>
    <n v="1"/>
    <n v="3"/>
    <s v="Technical Degree"/>
    <n v="887"/>
    <n v="3"/>
    <s v="Female"/>
    <n v="36"/>
    <n v="3"/>
    <n v="1"/>
    <x v="1"/>
    <x v="3"/>
    <s v="Married"/>
    <n v="3580"/>
    <x v="0"/>
    <n v="10554"/>
    <n v="2"/>
    <x v="1"/>
    <n v="16"/>
    <n v="3"/>
    <n v="2"/>
    <n v="1"/>
    <n v="7"/>
    <n v="2"/>
    <n v="3"/>
    <n v="4"/>
    <x v="2"/>
    <n v="2"/>
    <n v="0"/>
    <n v="2"/>
  </r>
  <r>
    <n v="24"/>
    <x v="1"/>
    <s v="Non-Travel"/>
    <n v="1269"/>
    <x v="1"/>
    <n v="4"/>
    <n v="1"/>
    <s v="Life Sciences"/>
    <n v="888"/>
    <n v="1"/>
    <s v="Male"/>
    <n v="46"/>
    <n v="2"/>
    <n v="1"/>
    <x v="2"/>
    <x v="0"/>
    <s v="Married"/>
    <n v="3162"/>
    <x v="0"/>
    <n v="10778"/>
    <n v="0"/>
    <x v="1"/>
    <n v="17"/>
    <n v="3"/>
    <n v="4"/>
    <n v="0"/>
    <n v="6"/>
    <n v="2"/>
    <n v="2"/>
    <n v="5"/>
    <x v="2"/>
    <n v="2"/>
    <n v="3"/>
    <n v="4"/>
  </r>
  <r>
    <n v="32"/>
    <x v="1"/>
    <s v="Travel_Frequently"/>
    <n v="379"/>
    <x v="0"/>
    <n v="5"/>
    <n v="2"/>
    <s v="Life Sciences"/>
    <n v="889"/>
    <n v="2"/>
    <s v="Male"/>
    <n v="48"/>
    <n v="3"/>
    <n v="2"/>
    <x v="0"/>
    <x v="1"/>
    <s v="Married"/>
    <n v="6524"/>
    <x v="0"/>
    <n v="8891"/>
    <n v="1"/>
    <x v="1"/>
    <n v="14"/>
    <n v="3"/>
    <n v="4"/>
    <n v="1"/>
    <n v="10"/>
    <n v="3"/>
    <n v="3"/>
    <n v="10"/>
    <x v="0"/>
    <n v="8"/>
    <n v="5"/>
    <n v="3"/>
  </r>
  <r>
    <n v="38"/>
    <x v="1"/>
    <s v="Travel_Rarely"/>
    <n v="395"/>
    <x v="0"/>
    <n v="9"/>
    <n v="3"/>
    <s v="Marketing"/>
    <n v="893"/>
    <n v="2"/>
    <s v="Male"/>
    <n v="98"/>
    <n v="2"/>
    <n v="1"/>
    <x v="6"/>
    <x v="1"/>
    <s v="Married"/>
    <n v="2899"/>
    <x v="1"/>
    <n v="12102"/>
    <n v="0"/>
    <x v="1"/>
    <n v="19"/>
    <n v="3"/>
    <n v="4"/>
    <n v="1"/>
    <n v="3"/>
    <n v="3"/>
    <n v="3"/>
    <n v="2"/>
    <x v="1"/>
    <n v="2"/>
    <n v="1"/>
    <n v="2"/>
  </r>
  <r>
    <n v="42"/>
    <x v="1"/>
    <s v="Travel_Rarely"/>
    <n v="1265"/>
    <x v="1"/>
    <n v="3"/>
    <n v="3"/>
    <s v="Life Sciences"/>
    <n v="894"/>
    <n v="3"/>
    <s v="Female"/>
    <n v="95"/>
    <n v="4"/>
    <n v="2"/>
    <x v="2"/>
    <x v="0"/>
    <s v="Married"/>
    <n v="5231"/>
    <x v="0"/>
    <n v="23726"/>
    <n v="2"/>
    <x v="0"/>
    <n v="13"/>
    <n v="3"/>
    <n v="2"/>
    <n v="1"/>
    <n v="17"/>
    <n v="1"/>
    <n v="2"/>
    <n v="5"/>
    <x v="2"/>
    <n v="3"/>
    <n v="1"/>
    <n v="3"/>
  </r>
  <r>
    <n v="31"/>
    <x v="1"/>
    <s v="Travel_Rarely"/>
    <n v="1222"/>
    <x v="1"/>
    <n v="11"/>
    <n v="4"/>
    <s v="Life Sciences"/>
    <n v="895"/>
    <n v="4"/>
    <s v="Male"/>
    <n v="48"/>
    <n v="3"/>
    <n v="1"/>
    <x v="1"/>
    <x v="0"/>
    <s v="Married"/>
    <n v="2356"/>
    <x v="1"/>
    <n v="14871"/>
    <n v="3"/>
    <x v="0"/>
    <n v="19"/>
    <n v="3"/>
    <n v="2"/>
    <n v="1"/>
    <n v="8"/>
    <n v="2"/>
    <n v="3"/>
    <n v="6"/>
    <x v="0"/>
    <n v="4"/>
    <n v="0"/>
    <n v="2"/>
  </r>
  <r>
    <n v="29"/>
    <x v="0"/>
    <s v="Travel_Rarely"/>
    <n v="341"/>
    <x v="0"/>
    <n v="1"/>
    <n v="3"/>
    <s v="Medical"/>
    <n v="896"/>
    <n v="2"/>
    <s v="Female"/>
    <n v="48"/>
    <n v="2"/>
    <n v="1"/>
    <x v="6"/>
    <x v="2"/>
    <s v="Divorced"/>
    <n v="2800"/>
    <x v="1"/>
    <n v="23522"/>
    <n v="6"/>
    <x v="0"/>
    <n v="19"/>
    <n v="3"/>
    <n v="3"/>
    <n v="3"/>
    <n v="5"/>
    <n v="3"/>
    <n v="3"/>
    <n v="3"/>
    <x v="2"/>
    <n v="2"/>
    <n v="0"/>
    <n v="2"/>
  </r>
  <r>
    <n v="53"/>
    <x v="1"/>
    <s v="Travel_Rarely"/>
    <n v="868"/>
    <x v="0"/>
    <n v="8"/>
    <n v="3"/>
    <s v="Marketing"/>
    <n v="897"/>
    <n v="1"/>
    <s v="Male"/>
    <n v="73"/>
    <n v="3"/>
    <n v="4"/>
    <x v="0"/>
    <x v="0"/>
    <s v="Married"/>
    <n v="11836"/>
    <x v="2"/>
    <n v="22789"/>
    <n v="5"/>
    <x v="1"/>
    <n v="14"/>
    <n v="3"/>
    <n v="3"/>
    <n v="1"/>
    <n v="28"/>
    <n v="3"/>
    <n v="3"/>
    <n v="2"/>
    <x v="1"/>
    <n v="0"/>
    <n v="2"/>
    <n v="2"/>
  </r>
  <r>
    <n v="35"/>
    <x v="1"/>
    <s v="Travel_Rarely"/>
    <n v="672"/>
    <x v="1"/>
    <n v="25"/>
    <n v="3"/>
    <s v="Technical Degree"/>
    <n v="899"/>
    <n v="4"/>
    <s v="Male"/>
    <n v="78"/>
    <n v="2"/>
    <n v="3"/>
    <x v="3"/>
    <x v="1"/>
    <s v="Married"/>
    <n v="10903"/>
    <x v="2"/>
    <n v="9129"/>
    <n v="3"/>
    <x v="1"/>
    <n v="16"/>
    <n v="3"/>
    <n v="1"/>
    <n v="0"/>
    <n v="16"/>
    <n v="2"/>
    <n v="3"/>
    <n v="13"/>
    <x v="3"/>
    <n v="10"/>
    <n v="4"/>
    <n v="8"/>
  </r>
  <r>
    <n v="37"/>
    <x v="1"/>
    <s v="Travel_Frequently"/>
    <n v="1231"/>
    <x v="0"/>
    <n v="21"/>
    <n v="2"/>
    <s v="Medical"/>
    <n v="900"/>
    <n v="3"/>
    <s v="Female"/>
    <n v="54"/>
    <n v="3"/>
    <n v="1"/>
    <x v="6"/>
    <x v="0"/>
    <s v="Married"/>
    <n v="2973"/>
    <x v="1"/>
    <n v="21222"/>
    <n v="5"/>
    <x v="1"/>
    <n v="15"/>
    <n v="3"/>
    <n v="2"/>
    <n v="1"/>
    <n v="10"/>
    <n v="3"/>
    <n v="3"/>
    <n v="5"/>
    <x v="2"/>
    <n v="4"/>
    <n v="0"/>
    <n v="0"/>
  </r>
  <r>
    <n v="53"/>
    <x v="1"/>
    <s v="Travel_Rarely"/>
    <n v="102"/>
    <x v="1"/>
    <n v="23"/>
    <n v="4"/>
    <s v="Life Sciences"/>
    <n v="901"/>
    <n v="4"/>
    <s v="Female"/>
    <n v="72"/>
    <n v="3"/>
    <n v="4"/>
    <x v="7"/>
    <x v="0"/>
    <s v="Single"/>
    <n v="14275"/>
    <x v="2"/>
    <n v="20206"/>
    <n v="6"/>
    <x v="1"/>
    <n v="18"/>
    <n v="3"/>
    <n v="3"/>
    <n v="0"/>
    <n v="33"/>
    <n v="0"/>
    <n v="3"/>
    <n v="12"/>
    <x v="3"/>
    <n v="9"/>
    <n v="3"/>
    <n v="8"/>
  </r>
  <r>
    <n v="43"/>
    <x v="1"/>
    <s v="Travel_Frequently"/>
    <n v="422"/>
    <x v="1"/>
    <n v="1"/>
    <n v="3"/>
    <s v="Life Sciences"/>
    <n v="902"/>
    <n v="4"/>
    <s v="Female"/>
    <n v="33"/>
    <n v="3"/>
    <n v="2"/>
    <x v="4"/>
    <x v="0"/>
    <s v="Married"/>
    <n v="5562"/>
    <x v="0"/>
    <n v="21782"/>
    <n v="4"/>
    <x v="1"/>
    <n v="13"/>
    <n v="3"/>
    <n v="2"/>
    <n v="1"/>
    <n v="12"/>
    <n v="2"/>
    <n v="2"/>
    <n v="5"/>
    <x v="2"/>
    <n v="2"/>
    <n v="2"/>
    <n v="2"/>
  </r>
  <r>
    <n v="47"/>
    <x v="1"/>
    <s v="Travel_Rarely"/>
    <n v="249"/>
    <x v="0"/>
    <n v="2"/>
    <n v="2"/>
    <s v="Marketing"/>
    <n v="903"/>
    <n v="3"/>
    <s v="Female"/>
    <n v="35"/>
    <n v="3"/>
    <n v="2"/>
    <x v="0"/>
    <x v="0"/>
    <s v="Married"/>
    <n v="4537"/>
    <x v="0"/>
    <n v="17783"/>
    <n v="0"/>
    <x v="0"/>
    <n v="22"/>
    <n v="4"/>
    <n v="1"/>
    <n v="1"/>
    <n v="8"/>
    <n v="2"/>
    <n v="3"/>
    <n v="7"/>
    <x v="0"/>
    <n v="6"/>
    <n v="7"/>
    <n v="7"/>
  </r>
  <r>
    <n v="37"/>
    <x v="1"/>
    <s v="Non-Travel"/>
    <n v="1252"/>
    <x v="0"/>
    <n v="19"/>
    <n v="2"/>
    <s v="Medical"/>
    <n v="904"/>
    <n v="1"/>
    <s v="Male"/>
    <n v="32"/>
    <n v="3"/>
    <n v="3"/>
    <x v="0"/>
    <x v="1"/>
    <s v="Single"/>
    <n v="7642"/>
    <x v="2"/>
    <n v="4814"/>
    <n v="1"/>
    <x v="0"/>
    <n v="13"/>
    <n v="3"/>
    <n v="4"/>
    <n v="0"/>
    <n v="10"/>
    <n v="2"/>
    <n v="3"/>
    <n v="10"/>
    <x v="0"/>
    <n v="0"/>
    <n v="0"/>
    <n v="9"/>
  </r>
  <r>
    <n v="50"/>
    <x v="1"/>
    <s v="Non-Travel"/>
    <n v="881"/>
    <x v="1"/>
    <n v="2"/>
    <n v="4"/>
    <s v="Life Sciences"/>
    <n v="905"/>
    <n v="1"/>
    <s v="Male"/>
    <n v="98"/>
    <n v="3"/>
    <n v="4"/>
    <x v="5"/>
    <x v="3"/>
    <s v="Divorced"/>
    <n v="17924"/>
    <x v="2"/>
    <n v="4544"/>
    <n v="1"/>
    <x v="1"/>
    <n v="11"/>
    <n v="3"/>
    <n v="4"/>
    <n v="1"/>
    <n v="31"/>
    <n v="3"/>
    <n v="3"/>
    <n v="31"/>
    <x v="3"/>
    <n v="6"/>
    <n v="14"/>
    <n v="7"/>
  </r>
  <r>
    <n v="39"/>
    <x v="1"/>
    <s v="Travel_Rarely"/>
    <n v="1383"/>
    <x v="2"/>
    <n v="2"/>
    <n v="3"/>
    <s v="Life Sciences"/>
    <n v="909"/>
    <n v="4"/>
    <s v="Female"/>
    <n v="42"/>
    <n v="2"/>
    <n v="2"/>
    <x v="8"/>
    <x v="0"/>
    <s v="Married"/>
    <n v="5204"/>
    <x v="0"/>
    <n v="7790"/>
    <n v="8"/>
    <x v="1"/>
    <n v="11"/>
    <n v="3"/>
    <n v="3"/>
    <n v="2"/>
    <n v="13"/>
    <n v="2"/>
    <n v="3"/>
    <n v="5"/>
    <x v="2"/>
    <n v="4"/>
    <n v="0"/>
    <n v="4"/>
  </r>
  <r>
    <n v="33"/>
    <x v="1"/>
    <s v="Travel_Rarely"/>
    <n v="1075"/>
    <x v="2"/>
    <n v="3"/>
    <n v="2"/>
    <s v="Human Resources"/>
    <n v="910"/>
    <n v="4"/>
    <s v="Male"/>
    <n v="57"/>
    <n v="3"/>
    <n v="1"/>
    <x v="8"/>
    <x v="1"/>
    <s v="Divorced"/>
    <n v="2277"/>
    <x v="1"/>
    <n v="22650"/>
    <n v="3"/>
    <x v="0"/>
    <n v="11"/>
    <n v="3"/>
    <n v="3"/>
    <n v="1"/>
    <n v="7"/>
    <n v="4"/>
    <n v="4"/>
    <n v="4"/>
    <x v="2"/>
    <n v="3"/>
    <n v="0"/>
    <n v="3"/>
  </r>
  <r>
    <n v="32"/>
    <x v="0"/>
    <s v="Travel_Rarely"/>
    <n v="374"/>
    <x v="1"/>
    <n v="25"/>
    <n v="4"/>
    <s v="Life Sciences"/>
    <n v="911"/>
    <n v="1"/>
    <s v="Male"/>
    <n v="87"/>
    <n v="3"/>
    <n v="1"/>
    <x v="2"/>
    <x v="0"/>
    <s v="Single"/>
    <n v="2795"/>
    <x v="1"/>
    <n v="18016"/>
    <n v="1"/>
    <x v="0"/>
    <n v="24"/>
    <n v="4"/>
    <n v="3"/>
    <n v="0"/>
    <n v="1"/>
    <n v="2"/>
    <n v="1"/>
    <n v="1"/>
    <x v="1"/>
    <n v="0"/>
    <n v="0"/>
    <n v="1"/>
  </r>
  <r>
    <n v="29"/>
    <x v="1"/>
    <s v="Travel_Rarely"/>
    <n v="1086"/>
    <x v="1"/>
    <n v="7"/>
    <n v="1"/>
    <s v="Medical"/>
    <n v="912"/>
    <n v="1"/>
    <s v="Female"/>
    <n v="62"/>
    <n v="2"/>
    <n v="1"/>
    <x v="2"/>
    <x v="0"/>
    <s v="Divorced"/>
    <n v="2532"/>
    <x v="1"/>
    <n v="6054"/>
    <n v="6"/>
    <x v="1"/>
    <n v="14"/>
    <n v="3"/>
    <n v="3"/>
    <n v="3"/>
    <n v="8"/>
    <n v="5"/>
    <n v="3"/>
    <n v="4"/>
    <x v="2"/>
    <n v="3"/>
    <n v="0"/>
    <n v="3"/>
  </r>
  <r>
    <n v="44"/>
    <x v="1"/>
    <s v="Travel_Rarely"/>
    <n v="661"/>
    <x v="1"/>
    <n v="9"/>
    <n v="2"/>
    <s v="Life Sciences"/>
    <n v="913"/>
    <n v="2"/>
    <s v="Male"/>
    <n v="61"/>
    <n v="3"/>
    <n v="1"/>
    <x v="1"/>
    <x v="3"/>
    <s v="Married"/>
    <n v="2559"/>
    <x v="1"/>
    <n v="7508"/>
    <n v="1"/>
    <x v="0"/>
    <n v="13"/>
    <n v="3"/>
    <n v="4"/>
    <n v="0"/>
    <n v="8"/>
    <n v="0"/>
    <n v="3"/>
    <n v="8"/>
    <x v="0"/>
    <n v="7"/>
    <n v="7"/>
    <n v="1"/>
  </r>
  <r>
    <n v="28"/>
    <x v="1"/>
    <s v="Travel_Rarely"/>
    <n v="821"/>
    <x v="0"/>
    <n v="5"/>
    <n v="4"/>
    <s v="Medical"/>
    <n v="916"/>
    <n v="1"/>
    <s v="Male"/>
    <n v="98"/>
    <n v="3"/>
    <n v="2"/>
    <x v="0"/>
    <x v="0"/>
    <s v="Single"/>
    <n v="4908"/>
    <x v="0"/>
    <n v="24252"/>
    <n v="1"/>
    <x v="1"/>
    <n v="14"/>
    <n v="3"/>
    <n v="2"/>
    <n v="0"/>
    <n v="4"/>
    <n v="3"/>
    <n v="3"/>
    <n v="4"/>
    <x v="2"/>
    <n v="2"/>
    <n v="0"/>
    <n v="2"/>
  </r>
  <r>
    <n v="58"/>
    <x v="0"/>
    <s v="Travel_Frequently"/>
    <n v="781"/>
    <x v="1"/>
    <n v="2"/>
    <n v="1"/>
    <s v="Life Sciences"/>
    <n v="918"/>
    <n v="4"/>
    <s v="Male"/>
    <n v="57"/>
    <n v="2"/>
    <n v="1"/>
    <x v="2"/>
    <x v="0"/>
    <s v="Divorced"/>
    <n v="2380"/>
    <x v="1"/>
    <n v="13384"/>
    <n v="9"/>
    <x v="0"/>
    <n v="14"/>
    <n v="3"/>
    <n v="4"/>
    <n v="1"/>
    <n v="3"/>
    <n v="3"/>
    <n v="2"/>
    <n v="1"/>
    <x v="1"/>
    <n v="0"/>
    <n v="0"/>
    <n v="0"/>
  </r>
  <r>
    <n v="43"/>
    <x v="1"/>
    <s v="Travel_Rarely"/>
    <n v="177"/>
    <x v="1"/>
    <n v="8"/>
    <n v="3"/>
    <s v="Life Sciences"/>
    <n v="920"/>
    <n v="1"/>
    <s v="Female"/>
    <n v="55"/>
    <n v="3"/>
    <n v="2"/>
    <x v="3"/>
    <x v="1"/>
    <s v="Divorced"/>
    <n v="4765"/>
    <x v="0"/>
    <n v="23814"/>
    <n v="4"/>
    <x v="1"/>
    <n v="21"/>
    <n v="4"/>
    <n v="3"/>
    <n v="1"/>
    <n v="4"/>
    <n v="2"/>
    <n v="4"/>
    <n v="1"/>
    <x v="1"/>
    <n v="0"/>
    <n v="0"/>
    <n v="0"/>
  </r>
  <r>
    <n v="20"/>
    <x v="0"/>
    <s v="Travel_Rarely"/>
    <n v="500"/>
    <x v="0"/>
    <n v="2"/>
    <n v="3"/>
    <s v="Medical"/>
    <n v="922"/>
    <n v="3"/>
    <s v="Female"/>
    <n v="49"/>
    <n v="2"/>
    <n v="1"/>
    <x v="6"/>
    <x v="2"/>
    <s v="Single"/>
    <n v="2044"/>
    <x v="1"/>
    <n v="22052"/>
    <n v="1"/>
    <x v="1"/>
    <n v="13"/>
    <n v="3"/>
    <n v="4"/>
    <n v="0"/>
    <n v="2"/>
    <n v="3"/>
    <n v="2"/>
    <n v="2"/>
    <x v="1"/>
    <n v="2"/>
    <n v="0"/>
    <n v="2"/>
  </r>
  <r>
    <n v="21"/>
    <x v="0"/>
    <s v="Travel_Rarely"/>
    <n v="1427"/>
    <x v="1"/>
    <n v="18"/>
    <n v="1"/>
    <s v="Other"/>
    <n v="923"/>
    <n v="4"/>
    <s v="Female"/>
    <n v="65"/>
    <n v="3"/>
    <n v="1"/>
    <x v="1"/>
    <x v="0"/>
    <s v="Single"/>
    <n v="2693"/>
    <x v="1"/>
    <n v="8870"/>
    <n v="1"/>
    <x v="1"/>
    <n v="19"/>
    <n v="3"/>
    <n v="1"/>
    <n v="0"/>
    <n v="1"/>
    <n v="3"/>
    <n v="2"/>
    <n v="1"/>
    <x v="1"/>
    <n v="0"/>
    <n v="0"/>
    <n v="0"/>
  </r>
  <r>
    <n v="36"/>
    <x v="1"/>
    <s v="Travel_Rarely"/>
    <n v="1425"/>
    <x v="1"/>
    <n v="14"/>
    <n v="1"/>
    <s v="Life Sciences"/>
    <n v="924"/>
    <n v="3"/>
    <s v="Male"/>
    <n v="68"/>
    <n v="3"/>
    <n v="2"/>
    <x v="4"/>
    <x v="0"/>
    <s v="Married"/>
    <n v="6586"/>
    <x v="0"/>
    <n v="4821"/>
    <n v="0"/>
    <x v="0"/>
    <n v="17"/>
    <n v="3"/>
    <n v="1"/>
    <n v="1"/>
    <n v="17"/>
    <n v="2"/>
    <n v="2"/>
    <n v="16"/>
    <x v="3"/>
    <n v="8"/>
    <n v="4"/>
    <n v="11"/>
  </r>
  <r>
    <n v="47"/>
    <x v="1"/>
    <s v="Travel_Rarely"/>
    <n v="1454"/>
    <x v="0"/>
    <n v="2"/>
    <n v="4"/>
    <s v="Life Sciences"/>
    <n v="925"/>
    <n v="4"/>
    <s v="Female"/>
    <n v="65"/>
    <n v="2"/>
    <n v="1"/>
    <x v="6"/>
    <x v="0"/>
    <s v="Single"/>
    <n v="3294"/>
    <x v="0"/>
    <n v="13137"/>
    <n v="1"/>
    <x v="0"/>
    <n v="18"/>
    <n v="3"/>
    <n v="1"/>
    <n v="0"/>
    <n v="3"/>
    <n v="3"/>
    <n v="2"/>
    <n v="3"/>
    <x v="2"/>
    <n v="2"/>
    <n v="1"/>
    <n v="2"/>
  </r>
  <r>
    <n v="22"/>
    <x v="0"/>
    <s v="Travel_Rarely"/>
    <n v="617"/>
    <x v="1"/>
    <n v="3"/>
    <n v="1"/>
    <s v="Life Sciences"/>
    <n v="926"/>
    <n v="2"/>
    <s v="Female"/>
    <n v="34"/>
    <n v="3"/>
    <n v="2"/>
    <x v="3"/>
    <x v="2"/>
    <s v="Married"/>
    <n v="4171"/>
    <x v="0"/>
    <n v="10022"/>
    <n v="0"/>
    <x v="0"/>
    <n v="19"/>
    <n v="3"/>
    <n v="1"/>
    <n v="1"/>
    <n v="4"/>
    <n v="3"/>
    <n v="4"/>
    <n v="3"/>
    <x v="2"/>
    <n v="2"/>
    <n v="0"/>
    <n v="2"/>
  </r>
  <r>
    <n v="41"/>
    <x v="0"/>
    <s v="Travel_Rarely"/>
    <n v="1085"/>
    <x v="1"/>
    <n v="2"/>
    <n v="4"/>
    <s v="Life Sciences"/>
    <n v="927"/>
    <n v="2"/>
    <s v="Female"/>
    <n v="57"/>
    <n v="1"/>
    <n v="1"/>
    <x v="2"/>
    <x v="0"/>
    <s v="Divorced"/>
    <n v="2778"/>
    <x v="1"/>
    <n v="17725"/>
    <n v="4"/>
    <x v="0"/>
    <n v="13"/>
    <n v="3"/>
    <n v="3"/>
    <n v="1"/>
    <n v="10"/>
    <n v="1"/>
    <n v="2"/>
    <n v="7"/>
    <x v="0"/>
    <n v="7"/>
    <n v="1"/>
    <n v="0"/>
  </r>
  <r>
    <n v="28"/>
    <x v="1"/>
    <s v="Travel_Rarely"/>
    <n v="995"/>
    <x v="1"/>
    <n v="9"/>
    <n v="3"/>
    <s v="Medical"/>
    <n v="930"/>
    <n v="3"/>
    <s v="Female"/>
    <n v="77"/>
    <n v="3"/>
    <n v="1"/>
    <x v="1"/>
    <x v="2"/>
    <s v="Divorced"/>
    <n v="2377"/>
    <x v="1"/>
    <n v="9834"/>
    <n v="5"/>
    <x v="1"/>
    <n v="18"/>
    <n v="3"/>
    <n v="2"/>
    <n v="1"/>
    <n v="6"/>
    <n v="2"/>
    <n v="3"/>
    <n v="2"/>
    <x v="1"/>
    <n v="2"/>
    <n v="2"/>
    <n v="2"/>
  </r>
  <r>
    <n v="39"/>
    <x v="0"/>
    <s v="Travel_Rarely"/>
    <n v="1122"/>
    <x v="1"/>
    <n v="6"/>
    <n v="3"/>
    <s v="Medical"/>
    <n v="932"/>
    <n v="4"/>
    <s v="Male"/>
    <n v="70"/>
    <n v="3"/>
    <n v="1"/>
    <x v="2"/>
    <x v="3"/>
    <s v="Married"/>
    <n v="2404"/>
    <x v="1"/>
    <n v="4303"/>
    <n v="7"/>
    <x v="0"/>
    <n v="21"/>
    <n v="4"/>
    <n v="4"/>
    <n v="0"/>
    <n v="8"/>
    <n v="2"/>
    <n v="1"/>
    <n v="2"/>
    <x v="1"/>
    <n v="2"/>
    <n v="2"/>
    <n v="2"/>
  </r>
  <r>
    <n v="27"/>
    <x v="1"/>
    <s v="Travel_Rarely"/>
    <n v="618"/>
    <x v="1"/>
    <n v="4"/>
    <n v="3"/>
    <s v="Life Sciences"/>
    <n v="933"/>
    <n v="2"/>
    <s v="Female"/>
    <n v="76"/>
    <n v="3"/>
    <n v="1"/>
    <x v="1"/>
    <x v="2"/>
    <s v="Single"/>
    <n v="2318"/>
    <x v="1"/>
    <n v="17808"/>
    <n v="1"/>
    <x v="1"/>
    <n v="19"/>
    <n v="3"/>
    <n v="3"/>
    <n v="0"/>
    <n v="1"/>
    <n v="2"/>
    <n v="3"/>
    <n v="1"/>
    <x v="1"/>
    <n v="1"/>
    <n v="0"/>
    <n v="0"/>
  </r>
  <r>
    <n v="34"/>
    <x v="1"/>
    <s v="Travel_Rarely"/>
    <n v="546"/>
    <x v="1"/>
    <n v="10"/>
    <n v="3"/>
    <s v="Life Sciences"/>
    <n v="934"/>
    <n v="2"/>
    <s v="Male"/>
    <n v="83"/>
    <n v="3"/>
    <n v="1"/>
    <x v="2"/>
    <x v="1"/>
    <s v="Divorced"/>
    <n v="2008"/>
    <x v="1"/>
    <n v="6896"/>
    <n v="1"/>
    <x v="1"/>
    <n v="14"/>
    <n v="3"/>
    <n v="2"/>
    <n v="2"/>
    <n v="1"/>
    <n v="3"/>
    <n v="3"/>
    <n v="1"/>
    <x v="1"/>
    <n v="0"/>
    <n v="1"/>
    <n v="0"/>
  </r>
  <r>
    <n v="42"/>
    <x v="1"/>
    <s v="Travel_Rarely"/>
    <n v="462"/>
    <x v="0"/>
    <n v="14"/>
    <n v="2"/>
    <s v="Medical"/>
    <n v="936"/>
    <n v="3"/>
    <s v="Female"/>
    <n v="68"/>
    <n v="2"/>
    <n v="2"/>
    <x v="0"/>
    <x v="2"/>
    <s v="Single"/>
    <n v="6244"/>
    <x v="0"/>
    <n v="7824"/>
    <n v="7"/>
    <x v="1"/>
    <n v="17"/>
    <n v="3"/>
    <n v="1"/>
    <n v="0"/>
    <n v="10"/>
    <n v="6"/>
    <n v="3"/>
    <n v="5"/>
    <x v="2"/>
    <n v="4"/>
    <n v="0"/>
    <n v="3"/>
  </r>
  <r>
    <n v="33"/>
    <x v="1"/>
    <s v="Travel_Rarely"/>
    <n v="1198"/>
    <x v="1"/>
    <n v="1"/>
    <n v="4"/>
    <s v="Other"/>
    <n v="939"/>
    <n v="3"/>
    <s v="Male"/>
    <n v="100"/>
    <n v="2"/>
    <n v="1"/>
    <x v="1"/>
    <x v="3"/>
    <s v="Single"/>
    <n v="2799"/>
    <x v="1"/>
    <n v="3339"/>
    <n v="3"/>
    <x v="0"/>
    <n v="11"/>
    <n v="3"/>
    <n v="2"/>
    <n v="0"/>
    <n v="6"/>
    <n v="1"/>
    <n v="3"/>
    <n v="3"/>
    <x v="2"/>
    <n v="2"/>
    <n v="0"/>
    <n v="2"/>
  </r>
  <r>
    <n v="58"/>
    <x v="1"/>
    <s v="Travel_Rarely"/>
    <n v="1272"/>
    <x v="1"/>
    <n v="5"/>
    <n v="3"/>
    <s v="Technical Degree"/>
    <n v="940"/>
    <n v="3"/>
    <s v="Female"/>
    <n v="37"/>
    <n v="2"/>
    <n v="3"/>
    <x v="4"/>
    <x v="1"/>
    <s v="Divorced"/>
    <n v="10552"/>
    <x v="2"/>
    <n v="9255"/>
    <n v="2"/>
    <x v="0"/>
    <n v="13"/>
    <n v="3"/>
    <n v="4"/>
    <n v="1"/>
    <n v="24"/>
    <n v="3"/>
    <n v="3"/>
    <n v="6"/>
    <x v="0"/>
    <n v="0"/>
    <n v="0"/>
    <n v="4"/>
  </r>
  <r>
    <n v="31"/>
    <x v="1"/>
    <s v="Travel_Rarely"/>
    <n v="154"/>
    <x v="0"/>
    <n v="7"/>
    <n v="4"/>
    <s v="Life Sciences"/>
    <n v="941"/>
    <n v="2"/>
    <s v="Male"/>
    <n v="41"/>
    <n v="2"/>
    <n v="1"/>
    <x v="6"/>
    <x v="2"/>
    <s v="Married"/>
    <n v="2329"/>
    <x v="1"/>
    <n v="11737"/>
    <n v="3"/>
    <x v="1"/>
    <n v="15"/>
    <n v="3"/>
    <n v="2"/>
    <n v="0"/>
    <n v="13"/>
    <n v="2"/>
    <n v="4"/>
    <n v="7"/>
    <x v="0"/>
    <n v="7"/>
    <n v="5"/>
    <n v="2"/>
  </r>
  <r>
    <n v="35"/>
    <x v="1"/>
    <s v="Travel_Rarely"/>
    <n v="1137"/>
    <x v="1"/>
    <n v="21"/>
    <n v="1"/>
    <s v="Life Sciences"/>
    <n v="942"/>
    <n v="4"/>
    <s v="Female"/>
    <n v="51"/>
    <n v="3"/>
    <n v="2"/>
    <x v="4"/>
    <x v="0"/>
    <s v="Married"/>
    <n v="4014"/>
    <x v="0"/>
    <n v="19170"/>
    <n v="1"/>
    <x v="0"/>
    <n v="25"/>
    <n v="4"/>
    <n v="4"/>
    <n v="1"/>
    <n v="10"/>
    <n v="2"/>
    <n v="1"/>
    <n v="10"/>
    <x v="0"/>
    <n v="6"/>
    <n v="0"/>
    <n v="7"/>
  </r>
  <r>
    <n v="49"/>
    <x v="1"/>
    <s v="Travel_Rarely"/>
    <n v="527"/>
    <x v="1"/>
    <n v="8"/>
    <n v="2"/>
    <s v="Other"/>
    <n v="944"/>
    <n v="1"/>
    <s v="Female"/>
    <n v="51"/>
    <n v="3"/>
    <n v="3"/>
    <x v="2"/>
    <x v="1"/>
    <s v="Married"/>
    <n v="7403"/>
    <x v="2"/>
    <n v="22477"/>
    <n v="4"/>
    <x v="1"/>
    <n v="11"/>
    <n v="3"/>
    <n v="3"/>
    <n v="1"/>
    <n v="29"/>
    <n v="3"/>
    <n v="2"/>
    <n v="26"/>
    <x v="3"/>
    <n v="9"/>
    <n v="1"/>
    <n v="7"/>
  </r>
  <r>
    <n v="48"/>
    <x v="1"/>
    <s v="Travel_Rarely"/>
    <n v="1469"/>
    <x v="1"/>
    <n v="20"/>
    <n v="4"/>
    <s v="Medical"/>
    <n v="945"/>
    <n v="4"/>
    <s v="Male"/>
    <n v="51"/>
    <n v="3"/>
    <n v="1"/>
    <x v="1"/>
    <x v="2"/>
    <s v="Married"/>
    <n v="2259"/>
    <x v="1"/>
    <n v="5543"/>
    <n v="4"/>
    <x v="1"/>
    <n v="17"/>
    <n v="3"/>
    <n v="1"/>
    <n v="2"/>
    <n v="13"/>
    <n v="2"/>
    <n v="2"/>
    <n v="0"/>
    <x v="1"/>
    <n v="0"/>
    <n v="0"/>
    <n v="0"/>
  </r>
  <r>
    <n v="31"/>
    <x v="1"/>
    <s v="Non-Travel"/>
    <n v="1188"/>
    <x v="0"/>
    <n v="20"/>
    <n v="2"/>
    <s v="Marketing"/>
    <n v="947"/>
    <n v="4"/>
    <s v="Female"/>
    <n v="45"/>
    <n v="3"/>
    <n v="2"/>
    <x v="0"/>
    <x v="2"/>
    <s v="Married"/>
    <n v="6932"/>
    <x v="0"/>
    <n v="24406"/>
    <n v="1"/>
    <x v="1"/>
    <n v="13"/>
    <n v="3"/>
    <n v="4"/>
    <n v="1"/>
    <n v="9"/>
    <n v="2"/>
    <n v="2"/>
    <n v="9"/>
    <x v="0"/>
    <n v="8"/>
    <n v="0"/>
    <n v="0"/>
  </r>
  <r>
    <n v="36"/>
    <x v="1"/>
    <s v="Travel_Rarely"/>
    <n v="188"/>
    <x v="1"/>
    <n v="7"/>
    <n v="4"/>
    <s v="Other"/>
    <n v="949"/>
    <n v="2"/>
    <s v="Male"/>
    <n v="65"/>
    <n v="3"/>
    <n v="1"/>
    <x v="1"/>
    <x v="0"/>
    <s v="Single"/>
    <n v="4678"/>
    <x v="0"/>
    <n v="23293"/>
    <n v="2"/>
    <x v="1"/>
    <n v="18"/>
    <n v="3"/>
    <n v="3"/>
    <n v="0"/>
    <n v="8"/>
    <n v="6"/>
    <n v="3"/>
    <n v="6"/>
    <x v="0"/>
    <n v="2"/>
    <n v="0"/>
    <n v="1"/>
  </r>
  <r>
    <n v="38"/>
    <x v="1"/>
    <s v="Travel_Rarely"/>
    <n v="1333"/>
    <x v="1"/>
    <n v="1"/>
    <n v="3"/>
    <s v="Technical Degree"/>
    <n v="950"/>
    <n v="4"/>
    <s v="Female"/>
    <n v="80"/>
    <n v="3"/>
    <n v="3"/>
    <x v="7"/>
    <x v="3"/>
    <s v="Married"/>
    <n v="13582"/>
    <x v="2"/>
    <n v="16292"/>
    <n v="1"/>
    <x v="1"/>
    <n v="13"/>
    <n v="3"/>
    <n v="2"/>
    <n v="1"/>
    <n v="15"/>
    <n v="3"/>
    <n v="3"/>
    <n v="15"/>
    <x v="3"/>
    <n v="12"/>
    <n v="5"/>
    <n v="11"/>
  </r>
  <r>
    <n v="32"/>
    <x v="1"/>
    <s v="Non-Travel"/>
    <n v="1184"/>
    <x v="1"/>
    <n v="1"/>
    <n v="3"/>
    <s v="Life Sciences"/>
    <n v="951"/>
    <n v="3"/>
    <s v="Female"/>
    <n v="70"/>
    <n v="2"/>
    <n v="1"/>
    <x v="2"/>
    <x v="1"/>
    <s v="Married"/>
    <n v="2332"/>
    <x v="1"/>
    <n v="3974"/>
    <n v="6"/>
    <x v="1"/>
    <n v="20"/>
    <n v="4"/>
    <n v="3"/>
    <n v="0"/>
    <n v="5"/>
    <n v="3"/>
    <n v="3"/>
    <n v="3"/>
    <x v="2"/>
    <n v="0"/>
    <n v="0"/>
    <n v="2"/>
  </r>
  <r>
    <n v="25"/>
    <x v="0"/>
    <s v="Travel_Rarely"/>
    <n v="867"/>
    <x v="0"/>
    <n v="19"/>
    <n v="2"/>
    <s v="Marketing"/>
    <n v="952"/>
    <n v="3"/>
    <s v="Male"/>
    <n v="36"/>
    <n v="2"/>
    <n v="1"/>
    <x v="6"/>
    <x v="1"/>
    <s v="Married"/>
    <n v="2413"/>
    <x v="1"/>
    <n v="18798"/>
    <n v="1"/>
    <x v="0"/>
    <n v="18"/>
    <n v="3"/>
    <n v="3"/>
    <n v="3"/>
    <n v="1"/>
    <n v="2"/>
    <n v="3"/>
    <n v="1"/>
    <x v="1"/>
    <n v="0"/>
    <n v="0"/>
    <n v="0"/>
  </r>
  <r>
    <n v="40"/>
    <x v="1"/>
    <s v="Travel_Rarely"/>
    <n v="658"/>
    <x v="0"/>
    <n v="10"/>
    <n v="4"/>
    <s v="Marketing"/>
    <n v="954"/>
    <n v="1"/>
    <s v="Male"/>
    <n v="67"/>
    <n v="2"/>
    <n v="3"/>
    <x v="0"/>
    <x v="1"/>
    <s v="Divorced"/>
    <n v="9705"/>
    <x v="2"/>
    <n v="20652"/>
    <n v="2"/>
    <x v="1"/>
    <n v="12"/>
    <n v="3"/>
    <n v="2"/>
    <n v="1"/>
    <n v="11"/>
    <n v="2"/>
    <n v="2"/>
    <n v="1"/>
    <x v="1"/>
    <n v="0"/>
    <n v="0"/>
    <n v="0"/>
  </r>
  <r>
    <n v="26"/>
    <x v="1"/>
    <s v="Travel_Frequently"/>
    <n v="1283"/>
    <x v="0"/>
    <n v="1"/>
    <n v="3"/>
    <s v="Medical"/>
    <n v="956"/>
    <n v="3"/>
    <s v="Male"/>
    <n v="52"/>
    <n v="2"/>
    <n v="2"/>
    <x v="0"/>
    <x v="3"/>
    <s v="Single"/>
    <n v="4294"/>
    <x v="0"/>
    <n v="11148"/>
    <n v="1"/>
    <x v="1"/>
    <n v="12"/>
    <n v="3"/>
    <n v="2"/>
    <n v="0"/>
    <n v="7"/>
    <n v="2"/>
    <n v="3"/>
    <n v="7"/>
    <x v="0"/>
    <n v="7"/>
    <n v="0"/>
    <n v="7"/>
  </r>
  <r>
    <n v="41"/>
    <x v="1"/>
    <s v="Travel_Rarely"/>
    <n v="263"/>
    <x v="1"/>
    <n v="6"/>
    <n v="3"/>
    <s v="Medical"/>
    <n v="957"/>
    <n v="4"/>
    <s v="Male"/>
    <n v="59"/>
    <n v="3"/>
    <n v="1"/>
    <x v="2"/>
    <x v="3"/>
    <s v="Single"/>
    <n v="4721"/>
    <x v="0"/>
    <n v="3119"/>
    <n v="2"/>
    <x v="0"/>
    <n v="13"/>
    <n v="3"/>
    <n v="3"/>
    <n v="0"/>
    <n v="20"/>
    <n v="3"/>
    <n v="3"/>
    <n v="18"/>
    <x v="3"/>
    <n v="13"/>
    <n v="2"/>
    <n v="17"/>
  </r>
  <r>
    <n v="36"/>
    <x v="1"/>
    <s v="Travel_Rarely"/>
    <n v="938"/>
    <x v="1"/>
    <n v="2"/>
    <n v="4"/>
    <s v="Medical"/>
    <n v="958"/>
    <n v="3"/>
    <s v="Male"/>
    <n v="79"/>
    <n v="3"/>
    <n v="1"/>
    <x v="2"/>
    <x v="2"/>
    <s v="Single"/>
    <n v="2519"/>
    <x v="1"/>
    <n v="12287"/>
    <n v="4"/>
    <x v="1"/>
    <n v="21"/>
    <n v="4"/>
    <n v="3"/>
    <n v="0"/>
    <n v="16"/>
    <n v="6"/>
    <n v="3"/>
    <n v="11"/>
    <x v="3"/>
    <n v="8"/>
    <n v="3"/>
    <n v="9"/>
  </r>
  <r>
    <n v="19"/>
    <x v="0"/>
    <s v="Travel_Rarely"/>
    <n v="419"/>
    <x v="0"/>
    <n v="21"/>
    <n v="3"/>
    <s v="Other"/>
    <n v="959"/>
    <n v="4"/>
    <s v="Male"/>
    <n v="37"/>
    <n v="2"/>
    <n v="1"/>
    <x v="6"/>
    <x v="1"/>
    <s v="Single"/>
    <n v="2121"/>
    <x v="1"/>
    <n v="9947"/>
    <n v="1"/>
    <x v="0"/>
    <n v="13"/>
    <n v="3"/>
    <n v="2"/>
    <n v="0"/>
    <n v="1"/>
    <n v="3"/>
    <n v="4"/>
    <n v="1"/>
    <x v="1"/>
    <n v="0"/>
    <n v="0"/>
    <n v="0"/>
  </r>
  <r>
    <n v="20"/>
    <x v="0"/>
    <s v="Travel_Rarely"/>
    <n v="129"/>
    <x v="1"/>
    <n v="4"/>
    <n v="3"/>
    <s v="Technical Degree"/>
    <n v="960"/>
    <n v="1"/>
    <s v="Male"/>
    <n v="84"/>
    <n v="3"/>
    <n v="1"/>
    <x v="2"/>
    <x v="3"/>
    <s v="Single"/>
    <n v="2973"/>
    <x v="1"/>
    <n v="13008"/>
    <n v="1"/>
    <x v="1"/>
    <n v="19"/>
    <n v="3"/>
    <n v="2"/>
    <n v="0"/>
    <n v="1"/>
    <n v="2"/>
    <n v="3"/>
    <n v="1"/>
    <x v="1"/>
    <n v="0"/>
    <n v="0"/>
    <n v="0"/>
  </r>
  <r>
    <n v="31"/>
    <x v="1"/>
    <s v="Travel_Rarely"/>
    <n v="616"/>
    <x v="1"/>
    <n v="12"/>
    <n v="3"/>
    <s v="Medical"/>
    <n v="961"/>
    <n v="4"/>
    <s v="Female"/>
    <n v="41"/>
    <n v="3"/>
    <n v="2"/>
    <x v="4"/>
    <x v="0"/>
    <s v="Married"/>
    <n v="5855"/>
    <x v="0"/>
    <n v="17369"/>
    <n v="0"/>
    <x v="0"/>
    <n v="11"/>
    <n v="3"/>
    <n v="3"/>
    <n v="2"/>
    <n v="10"/>
    <n v="2"/>
    <n v="1"/>
    <n v="9"/>
    <x v="0"/>
    <n v="7"/>
    <n v="8"/>
    <n v="5"/>
  </r>
  <r>
    <n v="40"/>
    <x v="1"/>
    <s v="Travel_Frequently"/>
    <n v="1469"/>
    <x v="1"/>
    <n v="9"/>
    <n v="4"/>
    <s v="Medical"/>
    <n v="964"/>
    <n v="4"/>
    <s v="Male"/>
    <n v="35"/>
    <n v="3"/>
    <n v="1"/>
    <x v="1"/>
    <x v="1"/>
    <s v="Divorced"/>
    <n v="3617"/>
    <x v="0"/>
    <n v="25063"/>
    <n v="8"/>
    <x v="0"/>
    <n v="14"/>
    <n v="3"/>
    <n v="4"/>
    <n v="1"/>
    <n v="3"/>
    <n v="2"/>
    <n v="3"/>
    <n v="1"/>
    <x v="1"/>
    <n v="1"/>
    <n v="0"/>
    <n v="0"/>
  </r>
  <r>
    <n v="32"/>
    <x v="1"/>
    <s v="Travel_Rarely"/>
    <n v="498"/>
    <x v="1"/>
    <n v="3"/>
    <n v="4"/>
    <s v="Medical"/>
    <n v="966"/>
    <n v="3"/>
    <s v="Female"/>
    <n v="93"/>
    <n v="3"/>
    <n v="2"/>
    <x v="3"/>
    <x v="3"/>
    <s v="Married"/>
    <n v="6725"/>
    <x v="0"/>
    <n v="13554"/>
    <n v="1"/>
    <x v="1"/>
    <n v="12"/>
    <n v="3"/>
    <n v="3"/>
    <n v="1"/>
    <n v="8"/>
    <n v="2"/>
    <n v="4"/>
    <n v="8"/>
    <x v="0"/>
    <n v="7"/>
    <n v="6"/>
    <n v="3"/>
  </r>
  <r>
    <n v="36"/>
    <x v="0"/>
    <s v="Travel_Rarely"/>
    <n v="530"/>
    <x v="0"/>
    <n v="3"/>
    <n v="1"/>
    <s v="Life Sciences"/>
    <n v="967"/>
    <n v="3"/>
    <s v="Male"/>
    <n v="51"/>
    <n v="2"/>
    <n v="3"/>
    <x v="0"/>
    <x v="0"/>
    <s v="Married"/>
    <n v="10325"/>
    <x v="2"/>
    <n v="5518"/>
    <n v="1"/>
    <x v="0"/>
    <n v="11"/>
    <n v="3"/>
    <n v="1"/>
    <n v="1"/>
    <n v="16"/>
    <n v="6"/>
    <n v="3"/>
    <n v="16"/>
    <x v="3"/>
    <n v="7"/>
    <n v="3"/>
    <n v="7"/>
  </r>
  <r>
    <n v="33"/>
    <x v="1"/>
    <s v="Travel_Rarely"/>
    <n v="1069"/>
    <x v="1"/>
    <n v="1"/>
    <n v="3"/>
    <s v="Life Sciences"/>
    <n v="969"/>
    <n v="2"/>
    <s v="Female"/>
    <n v="42"/>
    <n v="2"/>
    <n v="2"/>
    <x v="4"/>
    <x v="0"/>
    <s v="Single"/>
    <n v="6949"/>
    <x v="0"/>
    <n v="12291"/>
    <n v="0"/>
    <x v="1"/>
    <n v="14"/>
    <n v="3"/>
    <n v="1"/>
    <n v="0"/>
    <n v="6"/>
    <n v="3"/>
    <n v="3"/>
    <n v="5"/>
    <x v="2"/>
    <n v="0"/>
    <n v="1"/>
    <n v="4"/>
  </r>
  <r>
    <n v="37"/>
    <x v="0"/>
    <s v="Travel_Rarely"/>
    <n v="625"/>
    <x v="0"/>
    <n v="1"/>
    <n v="4"/>
    <s v="Life Sciences"/>
    <n v="970"/>
    <n v="1"/>
    <s v="Male"/>
    <n v="46"/>
    <n v="2"/>
    <n v="3"/>
    <x v="0"/>
    <x v="2"/>
    <s v="Married"/>
    <n v="10609"/>
    <x v="2"/>
    <n v="14922"/>
    <n v="5"/>
    <x v="1"/>
    <n v="11"/>
    <n v="3"/>
    <n v="3"/>
    <n v="0"/>
    <n v="17"/>
    <n v="2"/>
    <n v="1"/>
    <n v="14"/>
    <x v="3"/>
    <n v="1"/>
    <n v="11"/>
    <n v="7"/>
  </r>
  <r>
    <n v="45"/>
    <x v="1"/>
    <s v="Non-Travel"/>
    <n v="805"/>
    <x v="1"/>
    <n v="4"/>
    <n v="2"/>
    <s v="Life Sciences"/>
    <n v="972"/>
    <n v="3"/>
    <s v="Male"/>
    <n v="57"/>
    <n v="3"/>
    <n v="2"/>
    <x v="2"/>
    <x v="1"/>
    <s v="Married"/>
    <n v="4447"/>
    <x v="0"/>
    <n v="23163"/>
    <n v="1"/>
    <x v="1"/>
    <n v="12"/>
    <n v="3"/>
    <n v="2"/>
    <n v="0"/>
    <n v="9"/>
    <n v="5"/>
    <n v="2"/>
    <n v="9"/>
    <x v="0"/>
    <n v="7"/>
    <n v="0"/>
    <n v="8"/>
  </r>
  <r>
    <n v="29"/>
    <x v="1"/>
    <s v="Travel_Frequently"/>
    <n v="1404"/>
    <x v="0"/>
    <n v="20"/>
    <n v="3"/>
    <s v="Technical Degree"/>
    <n v="974"/>
    <n v="3"/>
    <s v="Female"/>
    <n v="84"/>
    <n v="3"/>
    <n v="1"/>
    <x v="6"/>
    <x v="0"/>
    <s v="Married"/>
    <n v="2157"/>
    <x v="1"/>
    <n v="18203"/>
    <n v="1"/>
    <x v="1"/>
    <n v="15"/>
    <n v="3"/>
    <n v="2"/>
    <n v="1"/>
    <n v="3"/>
    <n v="5"/>
    <n v="3"/>
    <n v="3"/>
    <x v="2"/>
    <n v="1"/>
    <n v="0"/>
    <n v="2"/>
  </r>
  <r>
    <n v="35"/>
    <x v="1"/>
    <s v="Travel_Rarely"/>
    <n v="1219"/>
    <x v="0"/>
    <n v="18"/>
    <n v="3"/>
    <s v="Medical"/>
    <n v="975"/>
    <n v="3"/>
    <s v="Female"/>
    <n v="86"/>
    <n v="3"/>
    <n v="2"/>
    <x v="0"/>
    <x v="2"/>
    <s v="Married"/>
    <n v="4601"/>
    <x v="0"/>
    <n v="6179"/>
    <n v="1"/>
    <x v="1"/>
    <n v="16"/>
    <n v="3"/>
    <n v="2"/>
    <n v="0"/>
    <n v="5"/>
    <n v="3"/>
    <n v="3"/>
    <n v="5"/>
    <x v="2"/>
    <n v="2"/>
    <n v="1"/>
    <n v="0"/>
  </r>
  <r>
    <n v="52"/>
    <x v="1"/>
    <s v="Travel_Rarely"/>
    <n v="1053"/>
    <x v="1"/>
    <n v="1"/>
    <n v="2"/>
    <s v="Life Sciences"/>
    <n v="976"/>
    <n v="4"/>
    <s v="Male"/>
    <n v="70"/>
    <n v="3"/>
    <n v="4"/>
    <x v="5"/>
    <x v="0"/>
    <s v="Married"/>
    <n v="17099"/>
    <x v="2"/>
    <n v="13829"/>
    <n v="2"/>
    <x v="1"/>
    <n v="15"/>
    <n v="3"/>
    <n v="2"/>
    <n v="1"/>
    <n v="26"/>
    <n v="2"/>
    <n v="2"/>
    <n v="9"/>
    <x v="0"/>
    <n v="8"/>
    <n v="7"/>
    <n v="8"/>
  </r>
  <r>
    <n v="58"/>
    <x v="0"/>
    <s v="Travel_Rarely"/>
    <n v="289"/>
    <x v="1"/>
    <n v="2"/>
    <n v="3"/>
    <s v="Technical Degree"/>
    <n v="977"/>
    <n v="4"/>
    <s v="Male"/>
    <n v="51"/>
    <n v="3"/>
    <n v="1"/>
    <x v="1"/>
    <x v="2"/>
    <s v="Single"/>
    <n v="2479"/>
    <x v="1"/>
    <n v="26227"/>
    <n v="4"/>
    <x v="1"/>
    <n v="24"/>
    <n v="4"/>
    <n v="1"/>
    <n v="0"/>
    <n v="7"/>
    <n v="4"/>
    <n v="3"/>
    <n v="1"/>
    <x v="1"/>
    <n v="0"/>
    <n v="0"/>
    <n v="0"/>
  </r>
  <r>
    <n v="53"/>
    <x v="1"/>
    <s v="Travel_Rarely"/>
    <n v="1376"/>
    <x v="0"/>
    <n v="2"/>
    <n v="2"/>
    <s v="Medical"/>
    <n v="981"/>
    <n v="3"/>
    <s v="Male"/>
    <n v="45"/>
    <n v="3"/>
    <n v="4"/>
    <x v="5"/>
    <x v="2"/>
    <s v="Divorced"/>
    <n v="14852"/>
    <x v="2"/>
    <n v="13938"/>
    <n v="6"/>
    <x v="1"/>
    <n v="13"/>
    <n v="3"/>
    <n v="3"/>
    <n v="1"/>
    <n v="22"/>
    <n v="3"/>
    <n v="4"/>
    <n v="17"/>
    <x v="3"/>
    <n v="13"/>
    <n v="15"/>
    <n v="2"/>
  </r>
  <r>
    <n v="30"/>
    <x v="1"/>
    <s v="Travel_Rarely"/>
    <n v="231"/>
    <x v="0"/>
    <n v="8"/>
    <n v="2"/>
    <s v="Other"/>
    <n v="982"/>
    <n v="3"/>
    <s v="Male"/>
    <n v="62"/>
    <n v="3"/>
    <n v="3"/>
    <x v="0"/>
    <x v="2"/>
    <s v="Divorced"/>
    <n v="7264"/>
    <x v="2"/>
    <n v="9977"/>
    <n v="5"/>
    <x v="1"/>
    <n v="11"/>
    <n v="3"/>
    <n v="1"/>
    <n v="1"/>
    <n v="10"/>
    <n v="2"/>
    <n v="4"/>
    <n v="8"/>
    <x v="0"/>
    <n v="4"/>
    <n v="7"/>
    <n v="7"/>
  </r>
  <r>
    <n v="38"/>
    <x v="1"/>
    <s v="Non-Travel"/>
    <n v="152"/>
    <x v="0"/>
    <n v="10"/>
    <n v="3"/>
    <s v="Technical Degree"/>
    <n v="983"/>
    <n v="3"/>
    <s v="Female"/>
    <n v="85"/>
    <n v="3"/>
    <n v="2"/>
    <x v="0"/>
    <x v="0"/>
    <s v="Single"/>
    <n v="5666"/>
    <x v="0"/>
    <n v="19899"/>
    <n v="1"/>
    <x v="0"/>
    <n v="13"/>
    <n v="3"/>
    <n v="2"/>
    <n v="0"/>
    <n v="6"/>
    <n v="1"/>
    <n v="3"/>
    <n v="5"/>
    <x v="2"/>
    <n v="3"/>
    <n v="1"/>
    <n v="3"/>
  </r>
  <r>
    <n v="35"/>
    <x v="1"/>
    <s v="Travel_Rarely"/>
    <n v="882"/>
    <x v="0"/>
    <n v="3"/>
    <n v="4"/>
    <s v="Life Sciences"/>
    <n v="984"/>
    <n v="4"/>
    <s v="Male"/>
    <n v="92"/>
    <n v="3"/>
    <n v="3"/>
    <x v="0"/>
    <x v="0"/>
    <s v="Divorced"/>
    <n v="7823"/>
    <x v="2"/>
    <n v="6812"/>
    <n v="6"/>
    <x v="1"/>
    <n v="13"/>
    <n v="3"/>
    <n v="2"/>
    <n v="1"/>
    <n v="12"/>
    <n v="2"/>
    <n v="3"/>
    <n v="10"/>
    <x v="0"/>
    <n v="9"/>
    <n v="0"/>
    <n v="8"/>
  </r>
  <r>
    <n v="39"/>
    <x v="1"/>
    <s v="Travel_Rarely"/>
    <n v="903"/>
    <x v="0"/>
    <n v="2"/>
    <n v="5"/>
    <s v="Life Sciences"/>
    <n v="985"/>
    <n v="1"/>
    <s v="Male"/>
    <n v="41"/>
    <n v="4"/>
    <n v="3"/>
    <x v="0"/>
    <x v="2"/>
    <s v="Single"/>
    <n v="7880"/>
    <x v="2"/>
    <n v="2560"/>
    <n v="0"/>
    <x v="1"/>
    <n v="18"/>
    <n v="3"/>
    <n v="4"/>
    <n v="0"/>
    <n v="9"/>
    <n v="3"/>
    <n v="3"/>
    <n v="8"/>
    <x v="0"/>
    <n v="7"/>
    <n v="0"/>
    <n v="7"/>
  </r>
  <r>
    <n v="40"/>
    <x v="0"/>
    <s v="Non-Travel"/>
    <n v="1479"/>
    <x v="0"/>
    <n v="24"/>
    <n v="3"/>
    <s v="Life Sciences"/>
    <n v="986"/>
    <n v="2"/>
    <s v="Female"/>
    <n v="100"/>
    <n v="4"/>
    <n v="4"/>
    <x v="0"/>
    <x v="1"/>
    <s v="Single"/>
    <n v="13194"/>
    <x v="2"/>
    <n v="17071"/>
    <n v="4"/>
    <x v="0"/>
    <n v="16"/>
    <n v="3"/>
    <n v="4"/>
    <n v="0"/>
    <n v="22"/>
    <n v="2"/>
    <n v="2"/>
    <n v="1"/>
    <x v="1"/>
    <n v="0"/>
    <n v="0"/>
    <n v="0"/>
  </r>
  <r>
    <n v="47"/>
    <x v="1"/>
    <s v="Travel_Frequently"/>
    <n v="1379"/>
    <x v="1"/>
    <n v="16"/>
    <n v="4"/>
    <s v="Medical"/>
    <n v="987"/>
    <n v="3"/>
    <s v="Male"/>
    <n v="64"/>
    <n v="4"/>
    <n v="2"/>
    <x v="3"/>
    <x v="2"/>
    <s v="Divorced"/>
    <n v="5067"/>
    <x v="0"/>
    <n v="6759"/>
    <n v="1"/>
    <x v="0"/>
    <n v="19"/>
    <n v="3"/>
    <n v="3"/>
    <n v="0"/>
    <n v="20"/>
    <n v="3"/>
    <n v="4"/>
    <n v="19"/>
    <x v="3"/>
    <n v="10"/>
    <n v="2"/>
    <n v="7"/>
  </r>
  <r>
    <n v="36"/>
    <x v="1"/>
    <s v="Non-Travel"/>
    <n v="1229"/>
    <x v="0"/>
    <n v="8"/>
    <n v="4"/>
    <s v="Technical Degree"/>
    <n v="990"/>
    <n v="1"/>
    <s v="Male"/>
    <n v="84"/>
    <n v="3"/>
    <n v="2"/>
    <x v="0"/>
    <x v="0"/>
    <s v="Divorced"/>
    <n v="5079"/>
    <x v="0"/>
    <n v="25952"/>
    <n v="4"/>
    <x v="1"/>
    <n v="13"/>
    <n v="3"/>
    <n v="4"/>
    <n v="2"/>
    <n v="12"/>
    <n v="3"/>
    <n v="3"/>
    <n v="7"/>
    <x v="0"/>
    <n v="7"/>
    <n v="0"/>
    <n v="7"/>
  </r>
  <r>
    <n v="31"/>
    <x v="0"/>
    <s v="Non-Travel"/>
    <n v="335"/>
    <x v="1"/>
    <n v="9"/>
    <n v="2"/>
    <s v="Medical"/>
    <n v="991"/>
    <n v="3"/>
    <s v="Male"/>
    <n v="46"/>
    <n v="2"/>
    <n v="1"/>
    <x v="1"/>
    <x v="3"/>
    <s v="Single"/>
    <n v="2321"/>
    <x v="1"/>
    <n v="10322"/>
    <n v="0"/>
    <x v="0"/>
    <n v="22"/>
    <n v="4"/>
    <n v="1"/>
    <n v="0"/>
    <n v="4"/>
    <n v="0"/>
    <n v="3"/>
    <n v="3"/>
    <x v="2"/>
    <n v="2"/>
    <n v="1"/>
    <n v="2"/>
  </r>
  <r>
    <n v="33"/>
    <x v="1"/>
    <s v="Non-Travel"/>
    <n v="722"/>
    <x v="0"/>
    <n v="17"/>
    <n v="3"/>
    <s v="Life Sciences"/>
    <n v="992"/>
    <n v="4"/>
    <s v="Male"/>
    <n v="38"/>
    <n v="3"/>
    <n v="4"/>
    <x v="5"/>
    <x v="2"/>
    <s v="Single"/>
    <n v="17444"/>
    <x v="2"/>
    <n v="20489"/>
    <n v="1"/>
    <x v="1"/>
    <n v="11"/>
    <n v="3"/>
    <n v="4"/>
    <n v="0"/>
    <n v="10"/>
    <n v="2"/>
    <n v="3"/>
    <n v="10"/>
    <x v="0"/>
    <n v="8"/>
    <n v="6"/>
    <n v="0"/>
  </r>
  <r>
    <n v="29"/>
    <x v="0"/>
    <s v="Travel_Rarely"/>
    <n v="906"/>
    <x v="1"/>
    <n v="10"/>
    <n v="3"/>
    <s v="Life Sciences"/>
    <n v="994"/>
    <n v="4"/>
    <s v="Female"/>
    <n v="92"/>
    <n v="2"/>
    <n v="1"/>
    <x v="1"/>
    <x v="3"/>
    <s v="Single"/>
    <n v="2404"/>
    <x v="1"/>
    <n v="11479"/>
    <n v="6"/>
    <x v="0"/>
    <n v="20"/>
    <n v="4"/>
    <n v="3"/>
    <n v="0"/>
    <n v="3"/>
    <n v="5"/>
    <n v="3"/>
    <n v="0"/>
    <x v="1"/>
    <n v="0"/>
    <n v="0"/>
    <n v="0"/>
  </r>
  <r>
    <n v="33"/>
    <x v="1"/>
    <s v="Travel_Rarely"/>
    <n v="461"/>
    <x v="1"/>
    <n v="13"/>
    <n v="1"/>
    <s v="Life Sciences"/>
    <n v="995"/>
    <n v="2"/>
    <s v="Female"/>
    <n v="53"/>
    <n v="3"/>
    <n v="1"/>
    <x v="1"/>
    <x v="0"/>
    <s v="Single"/>
    <n v="3452"/>
    <x v="0"/>
    <n v="17241"/>
    <n v="3"/>
    <x v="1"/>
    <n v="18"/>
    <n v="3"/>
    <n v="1"/>
    <n v="0"/>
    <n v="5"/>
    <n v="4"/>
    <n v="3"/>
    <n v="3"/>
    <x v="2"/>
    <n v="2"/>
    <n v="0"/>
    <n v="2"/>
  </r>
  <r>
    <n v="45"/>
    <x v="1"/>
    <s v="Travel_Rarely"/>
    <n v="974"/>
    <x v="1"/>
    <n v="1"/>
    <n v="4"/>
    <s v="Medical"/>
    <n v="996"/>
    <n v="4"/>
    <s v="Female"/>
    <n v="91"/>
    <n v="3"/>
    <n v="1"/>
    <x v="2"/>
    <x v="0"/>
    <s v="Divorced"/>
    <n v="2270"/>
    <x v="1"/>
    <n v="11005"/>
    <n v="3"/>
    <x v="1"/>
    <n v="14"/>
    <n v="3"/>
    <n v="4"/>
    <n v="2"/>
    <n v="8"/>
    <n v="2"/>
    <n v="3"/>
    <n v="5"/>
    <x v="2"/>
    <n v="3"/>
    <n v="0"/>
    <n v="2"/>
  </r>
  <r>
    <n v="50"/>
    <x v="1"/>
    <s v="Travel_Rarely"/>
    <n v="1126"/>
    <x v="1"/>
    <n v="1"/>
    <n v="2"/>
    <s v="Medical"/>
    <n v="997"/>
    <n v="4"/>
    <s v="Male"/>
    <n v="66"/>
    <n v="3"/>
    <n v="4"/>
    <x v="7"/>
    <x v="0"/>
    <s v="Divorced"/>
    <n v="17399"/>
    <x v="2"/>
    <n v="6615"/>
    <n v="9"/>
    <x v="1"/>
    <n v="22"/>
    <n v="4"/>
    <n v="3"/>
    <n v="1"/>
    <n v="32"/>
    <n v="1"/>
    <n v="2"/>
    <n v="5"/>
    <x v="2"/>
    <n v="4"/>
    <n v="1"/>
    <n v="3"/>
  </r>
  <r>
    <n v="33"/>
    <x v="1"/>
    <s v="Travel_Frequently"/>
    <n v="827"/>
    <x v="1"/>
    <n v="1"/>
    <n v="4"/>
    <s v="Other"/>
    <n v="998"/>
    <n v="3"/>
    <s v="Female"/>
    <n v="84"/>
    <n v="4"/>
    <n v="2"/>
    <x v="4"/>
    <x v="1"/>
    <s v="Married"/>
    <n v="5488"/>
    <x v="0"/>
    <n v="20161"/>
    <n v="1"/>
    <x v="0"/>
    <n v="13"/>
    <n v="3"/>
    <n v="1"/>
    <n v="1"/>
    <n v="6"/>
    <n v="2"/>
    <n v="3"/>
    <n v="6"/>
    <x v="0"/>
    <n v="5"/>
    <n v="1"/>
    <n v="2"/>
  </r>
  <r>
    <n v="41"/>
    <x v="1"/>
    <s v="Travel_Frequently"/>
    <n v="840"/>
    <x v="1"/>
    <n v="9"/>
    <n v="3"/>
    <s v="Medical"/>
    <n v="999"/>
    <n v="1"/>
    <s v="Male"/>
    <n v="64"/>
    <n v="3"/>
    <n v="5"/>
    <x v="7"/>
    <x v="2"/>
    <s v="Divorced"/>
    <n v="19419"/>
    <x v="2"/>
    <n v="3735"/>
    <n v="2"/>
    <x v="1"/>
    <n v="17"/>
    <n v="3"/>
    <n v="2"/>
    <n v="1"/>
    <n v="21"/>
    <n v="2"/>
    <n v="4"/>
    <n v="18"/>
    <x v="3"/>
    <n v="16"/>
    <n v="0"/>
    <n v="11"/>
  </r>
  <r>
    <n v="27"/>
    <x v="1"/>
    <s v="Travel_Rarely"/>
    <n v="1134"/>
    <x v="1"/>
    <n v="16"/>
    <n v="4"/>
    <s v="Technical Degree"/>
    <n v="1001"/>
    <n v="3"/>
    <s v="Female"/>
    <n v="37"/>
    <n v="3"/>
    <n v="1"/>
    <x v="2"/>
    <x v="1"/>
    <s v="Married"/>
    <n v="2811"/>
    <x v="1"/>
    <n v="12086"/>
    <n v="9"/>
    <x v="1"/>
    <n v="14"/>
    <n v="3"/>
    <n v="2"/>
    <n v="1"/>
    <n v="4"/>
    <n v="2"/>
    <n v="3"/>
    <n v="2"/>
    <x v="1"/>
    <n v="2"/>
    <n v="2"/>
    <n v="2"/>
  </r>
  <r>
    <n v="45"/>
    <x v="1"/>
    <s v="Non-Travel"/>
    <n v="248"/>
    <x v="1"/>
    <n v="23"/>
    <n v="2"/>
    <s v="Life Sciences"/>
    <n v="1002"/>
    <n v="4"/>
    <s v="Male"/>
    <n v="42"/>
    <n v="3"/>
    <n v="2"/>
    <x v="2"/>
    <x v="3"/>
    <s v="Married"/>
    <n v="3633"/>
    <x v="0"/>
    <n v="14039"/>
    <n v="1"/>
    <x v="0"/>
    <n v="15"/>
    <n v="3"/>
    <n v="3"/>
    <n v="1"/>
    <n v="9"/>
    <n v="2"/>
    <n v="3"/>
    <n v="9"/>
    <x v="0"/>
    <n v="8"/>
    <n v="0"/>
    <n v="8"/>
  </r>
  <r>
    <n v="47"/>
    <x v="1"/>
    <s v="Travel_Rarely"/>
    <n v="955"/>
    <x v="0"/>
    <n v="4"/>
    <n v="2"/>
    <s v="Life Sciences"/>
    <n v="1003"/>
    <n v="4"/>
    <s v="Female"/>
    <n v="83"/>
    <n v="3"/>
    <n v="2"/>
    <x v="0"/>
    <x v="0"/>
    <s v="Single"/>
    <n v="4163"/>
    <x v="0"/>
    <n v="8571"/>
    <n v="1"/>
    <x v="0"/>
    <n v="17"/>
    <n v="3"/>
    <n v="3"/>
    <n v="0"/>
    <n v="9"/>
    <n v="0"/>
    <n v="3"/>
    <n v="9"/>
    <x v="0"/>
    <n v="0"/>
    <n v="0"/>
    <n v="7"/>
  </r>
  <r>
    <n v="30"/>
    <x v="0"/>
    <s v="Travel_Rarely"/>
    <n v="138"/>
    <x v="1"/>
    <n v="22"/>
    <n v="3"/>
    <s v="Life Sciences"/>
    <n v="1004"/>
    <n v="1"/>
    <s v="Female"/>
    <n v="48"/>
    <n v="3"/>
    <n v="1"/>
    <x v="1"/>
    <x v="2"/>
    <s v="Married"/>
    <n v="2132"/>
    <x v="1"/>
    <n v="11539"/>
    <n v="4"/>
    <x v="0"/>
    <n v="11"/>
    <n v="3"/>
    <n v="2"/>
    <n v="0"/>
    <n v="7"/>
    <n v="2"/>
    <n v="3"/>
    <n v="5"/>
    <x v="2"/>
    <n v="2"/>
    <n v="0"/>
    <n v="1"/>
  </r>
  <r>
    <n v="50"/>
    <x v="1"/>
    <s v="Travel_Rarely"/>
    <n v="939"/>
    <x v="1"/>
    <n v="24"/>
    <n v="3"/>
    <s v="Life Sciences"/>
    <n v="1005"/>
    <n v="4"/>
    <s v="Male"/>
    <n v="95"/>
    <n v="3"/>
    <n v="4"/>
    <x v="3"/>
    <x v="2"/>
    <s v="Married"/>
    <n v="13973"/>
    <x v="2"/>
    <n v="4161"/>
    <n v="3"/>
    <x v="0"/>
    <n v="18"/>
    <n v="3"/>
    <n v="4"/>
    <n v="1"/>
    <n v="22"/>
    <n v="2"/>
    <n v="3"/>
    <n v="12"/>
    <x v="3"/>
    <n v="11"/>
    <n v="1"/>
    <n v="5"/>
  </r>
  <r>
    <n v="38"/>
    <x v="1"/>
    <s v="Travel_Frequently"/>
    <n v="1391"/>
    <x v="1"/>
    <n v="10"/>
    <n v="1"/>
    <s v="Medical"/>
    <n v="1006"/>
    <n v="3"/>
    <s v="Male"/>
    <n v="66"/>
    <n v="3"/>
    <n v="1"/>
    <x v="1"/>
    <x v="2"/>
    <s v="Married"/>
    <n v="2684"/>
    <x v="1"/>
    <n v="12127"/>
    <n v="0"/>
    <x v="1"/>
    <n v="17"/>
    <n v="3"/>
    <n v="2"/>
    <n v="1"/>
    <n v="3"/>
    <n v="0"/>
    <n v="2"/>
    <n v="2"/>
    <x v="1"/>
    <n v="1"/>
    <n v="0"/>
    <n v="2"/>
  </r>
  <r>
    <n v="46"/>
    <x v="1"/>
    <s v="Travel_Rarely"/>
    <n v="566"/>
    <x v="1"/>
    <n v="7"/>
    <n v="2"/>
    <s v="Medical"/>
    <n v="1007"/>
    <n v="4"/>
    <s v="Male"/>
    <n v="75"/>
    <n v="3"/>
    <n v="3"/>
    <x v="3"/>
    <x v="2"/>
    <s v="Divorced"/>
    <n v="10845"/>
    <x v="2"/>
    <n v="24208"/>
    <n v="6"/>
    <x v="1"/>
    <n v="13"/>
    <n v="3"/>
    <n v="2"/>
    <n v="1"/>
    <n v="13"/>
    <n v="3"/>
    <n v="3"/>
    <n v="8"/>
    <x v="0"/>
    <n v="7"/>
    <n v="0"/>
    <n v="7"/>
  </r>
  <r>
    <n v="24"/>
    <x v="1"/>
    <s v="Travel_Rarely"/>
    <n v="1206"/>
    <x v="1"/>
    <n v="17"/>
    <n v="1"/>
    <s v="Medical"/>
    <n v="1009"/>
    <n v="4"/>
    <s v="Female"/>
    <n v="41"/>
    <n v="2"/>
    <n v="2"/>
    <x v="3"/>
    <x v="2"/>
    <s v="Divorced"/>
    <n v="4377"/>
    <x v="0"/>
    <n v="24117"/>
    <n v="1"/>
    <x v="1"/>
    <n v="15"/>
    <n v="3"/>
    <n v="2"/>
    <n v="2"/>
    <n v="5"/>
    <n v="6"/>
    <n v="3"/>
    <n v="4"/>
    <x v="2"/>
    <n v="2"/>
    <n v="3"/>
    <n v="2"/>
  </r>
  <r>
    <n v="35"/>
    <x v="0"/>
    <s v="Travel_Rarely"/>
    <n v="622"/>
    <x v="1"/>
    <n v="14"/>
    <n v="4"/>
    <s v="Other"/>
    <n v="1010"/>
    <n v="3"/>
    <s v="Male"/>
    <n v="39"/>
    <n v="2"/>
    <n v="1"/>
    <x v="2"/>
    <x v="1"/>
    <s v="Divorced"/>
    <n v="3743"/>
    <x v="0"/>
    <n v="10074"/>
    <n v="1"/>
    <x v="0"/>
    <n v="24"/>
    <n v="4"/>
    <n v="4"/>
    <n v="1"/>
    <n v="5"/>
    <n v="2"/>
    <n v="1"/>
    <n v="4"/>
    <x v="2"/>
    <n v="2"/>
    <n v="0"/>
    <n v="2"/>
  </r>
  <r>
    <n v="31"/>
    <x v="1"/>
    <s v="Travel_Frequently"/>
    <n v="853"/>
    <x v="1"/>
    <n v="1"/>
    <n v="1"/>
    <s v="Life Sciences"/>
    <n v="1011"/>
    <n v="3"/>
    <s v="Female"/>
    <n v="96"/>
    <n v="3"/>
    <n v="2"/>
    <x v="3"/>
    <x v="3"/>
    <s v="Married"/>
    <n v="4148"/>
    <x v="0"/>
    <n v="11275"/>
    <n v="1"/>
    <x v="1"/>
    <n v="12"/>
    <n v="3"/>
    <n v="3"/>
    <n v="1"/>
    <n v="4"/>
    <n v="1"/>
    <n v="3"/>
    <n v="4"/>
    <x v="2"/>
    <n v="3"/>
    <n v="0"/>
    <n v="3"/>
  </r>
  <r>
    <n v="18"/>
    <x v="1"/>
    <s v="Non-Travel"/>
    <n v="287"/>
    <x v="1"/>
    <n v="5"/>
    <n v="2"/>
    <s v="Life Sciences"/>
    <n v="1012"/>
    <n v="2"/>
    <s v="Male"/>
    <n v="73"/>
    <n v="3"/>
    <n v="1"/>
    <x v="1"/>
    <x v="0"/>
    <s v="Single"/>
    <n v="1051"/>
    <x v="1"/>
    <n v="13493"/>
    <n v="1"/>
    <x v="1"/>
    <n v="15"/>
    <n v="3"/>
    <n v="4"/>
    <n v="0"/>
    <n v="0"/>
    <n v="2"/>
    <n v="3"/>
    <n v="0"/>
    <x v="1"/>
    <n v="0"/>
    <n v="0"/>
    <n v="0"/>
  </r>
  <r>
    <n v="54"/>
    <x v="1"/>
    <s v="Travel_Rarely"/>
    <n v="1441"/>
    <x v="1"/>
    <n v="17"/>
    <n v="3"/>
    <s v="Technical Degree"/>
    <n v="1013"/>
    <n v="3"/>
    <s v="Female"/>
    <n v="56"/>
    <n v="3"/>
    <n v="3"/>
    <x v="3"/>
    <x v="2"/>
    <s v="Married"/>
    <n v="10739"/>
    <x v="2"/>
    <n v="13943"/>
    <n v="8"/>
    <x v="1"/>
    <n v="11"/>
    <n v="3"/>
    <n v="3"/>
    <n v="1"/>
    <n v="22"/>
    <n v="2"/>
    <n v="3"/>
    <n v="10"/>
    <x v="0"/>
    <n v="7"/>
    <n v="0"/>
    <n v="8"/>
  </r>
  <r>
    <n v="35"/>
    <x v="1"/>
    <s v="Travel_Rarely"/>
    <n v="583"/>
    <x v="1"/>
    <n v="25"/>
    <n v="4"/>
    <s v="Medical"/>
    <n v="1014"/>
    <n v="3"/>
    <s v="Female"/>
    <n v="57"/>
    <n v="3"/>
    <n v="3"/>
    <x v="4"/>
    <x v="2"/>
    <s v="Divorced"/>
    <n v="10388"/>
    <x v="2"/>
    <n v="6975"/>
    <n v="1"/>
    <x v="0"/>
    <n v="11"/>
    <n v="3"/>
    <n v="3"/>
    <n v="1"/>
    <n v="16"/>
    <n v="3"/>
    <n v="2"/>
    <n v="16"/>
    <x v="3"/>
    <n v="10"/>
    <n v="10"/>
    <n v="1"/>
  </r>
  <r>
    <n v="30"/>
    <x v="1"/>
    <s v="Travel_Rarely"/>
    <n v="153"/>
    <x v="1"/>
    <n v="8"/>
    <n v="2"/>
    <s v="Life Sciences"/>
    <n v="1015"/>
    <n v="2"/>
    <s v="Female"/>
    <n v="73"/>
    <n v="4"/>
    <n v="3"/>
    <x v="7"/>
    <x v="3"/>
    <s v="Married"/>
    <n v="11416"/>
    <x v="2"/>
    <n v="17802"/>
    <n v="0"/>
    <x v="0"/>
    <n v="12"/>
    <n v="3"/>
    <n v="3"/>
    <n v="3"/>
    <n v="9"/>
    <n v="4"/>
    <n v="2"/>
    <n v="8"/>
    <x v="0"/>
    <n v="7"/>
    <n v="1"/>
    <n v="7"/>
  </r>
  <r>
    <n v="20"/>
    <x v="0"/>
    <s v="Travel_Rarely"/>
    <n v="1097"/>
    <x v="1"/>
    <n v="11"/>
    <n v="3"/>
    <s v="Medical"/>
    <n v="1016"/>
    <n v="4"/>
    <s v="Female"/>
    <n v="98"/>
    <n v="2"/>
    <n v="1"/>
    <x v="1"/>
    <x v="3"/>
    <s v="Single"/>
    <n v="2600"/>
    <x v="1"/>
    <n v="18275"/>
    <n v="1"/>
    <x v="0"/>
    <n v="15"/>
    <n v="3"/>
    <n v="1"/>
    <n v="0"/>
    <n v="1"/>
    <n v="2"/>
    <n v="3"/>
    <n v="1"/>
    <x v="1"/>
    <n v="0"/>
    <n v="0"/>
    <n v="0"/>
  </r>
  <r>
    <n v="30"/>
    <x v="0"/>
    <s v="Travel_Frequently"/>
    <n v="109"/>
    <x v="1"/>
    <n v="5"/>
    <n v="3"/>
    <s v="Medical"/>
    <n v="1017"/>
    <n v="2"/>
    <s v="Female"/>
    <n v="60"/>
    <n v="3"/>
    <n v="1"/>
    <x v="2"/>
    <x v="1"/>
    <s v="Single"/>
    <n v="2422"/>
    <x v="1"/>
    <n v="25725"/>
    <n v="0"/>
    <x v="1"/>
    <n v="17"/>
    <n v="3"/>
    <n v="1"/>
    <n v="0"/>
    <n v="4"/>
    <n v="3"/>
    <n v="3"/>
    <n v="3"/>
    <x v="2"/>
    <n v="2"/>
    <n v="1"/>
    <n v="2"/>
  </r>
  <r>
    <n v="26"/>
    <x v="1"/>
    <s v="Travel_Rarely"/>
    <n v="1066"/>
    <x v="1"/>
    <n v="2"/>
    <n v="2"/>
    <s v="Medical"/>
    <n v="1018"/>
    <n v="4"/>
    <s v="Male"/>
    <n v="32"/>
    <n v="4"/>
    <n v="2"/>
    <x v="3"/>
    <x v="0"/>
    <s v="Married"/>
    <n v="5472"/>
    <x v="0"/>
    <n v="3334"/>
    <n v="1"/>
    <x v="1"/>
    <n v="12"/>
    <n v="3"/>
    <n v="2"/>
    <n v="0"/>
    <n v="8"/>
    <n v="2"/>
    <n v="3"/>
    <n v="8"/>
    <x v="0"/>
    <n v="7"/>
    <n v="1"/>
    <n v="3"/>
  </r>
  <r>
    <n v="22"/>
    <x v="1"/>
    <s v="Travel_Rarely"/>
    <n v="217"/>
    <x v="1"/>
    <n v="8"/>
    <n v="1"/>
    <s v="Life Sciences"/>
    <n v="1019"/>
    <n v="2"/>
    <s v="Male"/>
    <n v="94"/>
    <n v="1"/>
    <n v="1"/>
    <x v="2"/>
    <x v="3"/>
    <s v="Married"/>
    <n v="2451"/>
    <x v="1"/>
    <n v="6881"/>
    <n v="1"/>
    <x v="1"/>
    <n v="15"/>
    <n v="3"/>
    <n v="1"/>
    <n v="1"/>
    <n v="4"/>
    <n v="3"/>
    <n v="2"/>
    <n v="4"/>
    <x v="2"/>
    <n v="3"/>
    <n v="1"/>
    <n v="1"/>
  </r>
  <r>
    <n v="48"/>
    <x v="1"/>
    <s v="Travel_Rarely"/>
    <n v="277"/>
    <x v="1"/>
    <n v="6"/>
    <n v="3"/>
    <s v="Life Sciences"/>
    <n v="1022"/>
    <n v="1"/>
    <s v="Male"/>
    <n v="97"/>
    <n v="2"/>
    <n v="2"/>
    <x v="4"/>
    <x v="2"/>
    <s v="Single"/>
    <n v="4240"/>
    <x v="0"/>
    <n v="13119"/>
    <n v="2"/>
    <x v="1"/>
    <n v="13"/>
    <n v="3"/>
    <n v="4"/>
    <n v="0"/>
    <n v="19"/>
    <n v="0"/>
    <n v="3"/>
    <n v="2"/>
    <x v="1"/>
    <n v="2"/>
    <n v="2"/>
    <n v="2"/>
  </r>
  <r>
    <n v="48"/>
    <x v="1"/>
    <s v="Travel_Rarely"/>
    <n v="1355"/>
    <x v="1"/>
    <n v="4"/>
    <n v="4"/>
    <s v="Life Sciences"/>
    <n v="1024"/>
    <n v="3"/>
    <s v="Male"/>
    <n v="78"/>
    <n v="2"/>
    <n v="3"/>
    <x v="4"/>
    <x v="2"/>
    <s v="Single"/>
    <n v="10999"/>
    <x v="2"/>
    <n v="22245"/>
    <n v="7"/>
    <x v="1"/>
    <n v="14"/>
    <n v="3"/>
    <n v="2"/>
    <n v="0"/>
    <n v="27"/>
    <n v="3"/>
    <n v="3"/>
    <n v="15"/>
    <x v="3"/>
    <n v="11"/>
    <n v="4"/>
    <n v="8"/>
  </r>
  <r>
    <n v="41"/>
    <x v="1"/>
    <s v="Travel_Rarely"/>
    <n v="549"/>
    <x v="1"/>
    <n v="7"/>
    <n v="2"/>
    <s v="Medical"/>
    <n v="1025"/>
    <n v="4"/>
    <s v="Female"/>
    <n v="42"/>
    <n v="3"/>
    <n v="2"/>
    <x v="3"/>
    <x v="2"/>
    <s v="Single"/>
    <n v="5003"/>
    <x v="0"/>
    <n v="23371"/>
    <n v="6"/>
    <x v="1"/>
    <n v="14"/>
    <n v="3"/>
    <n v="2"/>
    <n v="0"/>
    <n v="8"/>
    <n v="6"/>
    <n v="3"/>
    <n v="2"/>
    <x v="1"/>
    <n v="2"/>
    <n v="2"/>
    <n v="1"/>
  </r>
  <r>
    <n v="39"/>
    <x v="1"/>
    <s v="Travel_Rarely"/>
    <n v="466"/>
    <x v="1"/>
    <n v="1"/>
    <n v="1"/>
    <s v="Life Sciences"/>
    <n v="1026"/>
    <n v="4"/>
    <s v="Female"/>
    <n v="65"/>
    <n v="2"/>
    <n v="4"/>
    <x v="3"/>
    <x v="0"/>
    <s v="Married"/>
    <n v="12742"/>
    <x v="2"/>
    <n v="7060"/>
    <n v="1"/>
    <x v="1"/>
    <n v="16"/>
    <n v="3"/>
    <n v="3"/>
    <n v="1"/>
    <n v="21"/>
    <n v="3"/>
    <n v="3"/>
    <n v="21"/>
    <x v="3"/>
    <n v="6"/>
    <n v="11"/>
    <n v="8"/>
  </r>
  <r>
    <n v="27"/>
    <x v="1"/>
    <s v="Travel_Rarely"/>
    <n v="1055"/>
    <x v="1"/>
    <n v="2"/>
    <n v="4"/>
    <s v="Life Sciences"/>
    <n v="1027"/>
    <n v="1"/>
    <s v="Female"/>
    <n v="47"/>
    <n v="3"/>
    <n v="2"/>
    <x v="3"/>
    <x v="0"/>
    <s v="Married"/>
    <n v="4227"/>
    <x v="0"/>
    <n v="4658"/>
    <n v="0"/>
    <x v="1"/>
    <n v="18"/>
    <n v="3"/>
    <n v="2"/>
    <n v="1"/>
    <n v="4"/>
    <n v="2"/>
    <n v="3"/>
    <n v="3"/>
    <x v="2"/>
    <n v="2"/>
    <n v="2"/>
    <n v="2"/>
  </r>
  <r>
    <n v="35"/>
    <x v="1"/>
    <s v="Travel_Rarely"/>
    <n v="802"/>
    <x v="1"/>
    <n v="10"/>
    <n v="3"/>
    <s v="Other"/>
    <n v="1028"/>
    <n v="2"/>
    <s v="Male"/>
    <n v="45"/>
    <n v="3"/>
    <n v="1"/>
    <x v="2"/>
    <x v="0"/>
    <s v="Divorced"/>
    <n v="3917"/>
    <x v="0"/>
    <n v="9541"/>
    <n v="1"/>
    <x v="1"/>
    <n v="20"/>
    <n v="4"/>
    <n v="1"/>
    <n v="1"/>
    <n v="3"/>
    <n v="4"/>
    <n v="2"/>
    <n v="3"/>
    <x v="2"/>
    <n v="2"/>
    <n v="1"/>
    <n v="2"/>
  </r>
  <r>
    <n v="42"/>
    <x v="1"/>
    <s v="Travel_Rarely"/>
    <n v="265"/>
    <x v="0"/>
    <n v="5"/>
    <n v="2"/>
    <s v="Marketing"/>
    <n v="1029"/>
    <n v="4"/>
    <s v="Male"/>
    <n v="90"/>
    <n v="3"/>
    <n v="5"/>
    <x v="5"/>
    <x v="2"/>
    <s v="Married"/>
    <n v="18303"/>
    <x v="2"/>
    <n v="7770"/>
    <n v="6"/>
    <x v="1"/>
    <n v="13"/>
    <n v="3"/>
    <n v="2"/>
    <n v="0"/>
    <n v="21"/>
    <n v="3"/>
    <n v="4"/>
    <n v="1"/>
    <x v="1"/>
    <n v="0"/>
    <n v="0"/>
    <n v="0"/>
  </r>
  <r>
    <n v="50"/>
    <x v="1"/>
    <s v="Travel_Rarely"/>
    <n v="804"/>
    <x v="1"/>
    <n v="9"/>
    <n v="3"/>
    <s v="Life Sciences"/>
    <n v="1030"/>
    <n v="1"/>
    <s v="Male"/>
    <n v="64"/>
    <n v="3"/>
    <n v="1"/>
    <x v="2"/>
    <x v="0"/>
    <s v="Married"/>
    <n v="2380"/>
    <x v="1"/>
    <n v="20165"/>
    <n v="4"/>
    <x v="1"/>
    <n v="18"/>
    <n v="3"/>
    <n v="2"/>
    <n v="0"/>
    <n v="8"/>
    <n v="5"/>
    <n v="3"/>
    <n v="1"/>
    <x v="1"/>
    <n v="0"/>
    <n v="0"/>
    <n v="0"/>
  </r>
  <r>
    <n v="59"/>
    <x v="1"/>
    <s v="Travel_Rarely"/>
    <n v="715"/>
    <x v="1"/>
    <n v="2"/>
    <n v="3"/>
    <s v="Life Sciences"/>
    <n v="1032"/>
    <n v="3"/>
    <s v="Female"/>
    <n v="69"/>
    <n v="2"/>
    <n v="4"/>
    <x v="3"/>
    <x v="0"/>
    <s v="Single"/>
    <n v="13726"/>
    <x v="2"/>
    <n v="21829"/>
    <n v="3"/>
    <x v="0"/>
    <n v="13"/>
    <n v="3"/>
    <n v="1"/>
    <n v="0"/>
    <n v="30"/>
    <n v="4"/>
    <n v="3"/>
    <n v="5"/>
    <x v="2"/>
    <n v="3"/>
    <n v="4"/>
    <n v="3"/>
  </r>
  <r>
    <n v="37"/>
    <x v="0"/>
    <s v="Travel_Rarely"/>
    <n v="1141"/>
    <x v="1"/>
    <n v="11"/>
    <n v="2"/>
    <s v="Medical"/>
    <n v="1033"/>
    <n v="1"/>
    <s v="Female"/>
    <n v="61"/>
    <n v="1"/>
    <n v="2"/>
    <x v="4"/>
    <x v="1"/>
    <s v="Married"/>
    <n v="4777"/>
    <x v="0"/>
    <n v="14382"/>
    <n v="5"/>
    <x v="1"/>
    <n v="15"/>
    <n v="3"/>
    <n v="1"/>
    <n v="0"/>
    <n v="15"/>
    <n v="2"/>
    <n v="1"/>
    <n v="1"/>
    <x v="1"/>
    <n v="0"/>
    <n v="0"/>
    <n v="0"/>
  </r>
  <r>
    <n v="55"/>
    <x v="1"/>
    <s v="Travel_Frequently"/>
    <n v="135"/>
    <x v="1"/>
    <n v="18"/>
    <n v="4"/>
    <s v="Medical"/>
    <n v="1034"/>
    <n v="3"/>
    <s v="Male"/>
    <n v="62"/>
    <n v="3"/>
    <n v="2"/>
    <x v="4"/>
    <x v="1"/>
    <s v="Married"/>
    <n v="6385"/>
    <x v="0"/>
    <n v="12992"/>
    <n v="3"/>
    <x v="0"/>
    <n v="14"/>
    <n v="3"/>
    <n v="4"/>
    <n v="2"/>
    <n v="17"/>
    <n v="3"/>
    <n v="3"/>
    <n v="8"/>
    <x v="0"/>
    <n v="7"/>
    <n v="6"/>
    <n v="7"/>
  </r>
  <r>
    <n v="41"/>
    <x v="1"/>
    <s v="Non-Travel"/>
    <n v="247"/>
    <x v="1"/>
    <n v="7"/>
    <n v="1"/>
    <s v="Life Sciences"/>
    <n v="1035"/>
    <n v="2"/>
    <s v="Female"/>
    <n v="55"/>
    <n v="1"/>
    <n v="5"/>
    <x v="7"/>
    <x v="2"/>
    <s v="Divorced"/>
    <n v="19973"/>
    <x v="2"/>
    <n v="20284"/>
    <n v="1"/>
    <x v="1"/>
    <n v="22"/>
    <n v="4"/>
    <n v="2"/>
    <n v="2"/>
    <n v="21"/>
    <n v="3"/>
    <n v="3"/>
    <n v="21"/>
    <x v="3"/>
    <n v="16"/>
    <n v="5"/>
    <n v="10"/>
  </r>
  <r>
    <n v="38"/>
    <x v="1"/>
    <s v="Travel_Rarely"/>
    <n v="1035"/>
    <x v="0"/>
    <n v="3"/>
    <n v="4"/>
    <s v="Life Sciences"/>
    <n v="1036"/>
    <n v="2"/>
    <s v="Male"/>
    <n v="42"/>
    <n v="3"/>
    <n v="2"/>
    <x v="0"/>
    <x v="0"/>
    <s v="Single"/>
    <n v="6861"/>
    <x v="0"/>
    <n v="4981"/>
    <n v="8"/>
    <x v="0"/>
    <n v="12"/>
    <n v="3"/>
    <n v="3"/>
    <n v="0"/>
    <n v="19"/>
    <n v="1"/>
    <n v="3"/>
    <n v="1"/>
    <x v="1"/>
    <n v="0"/>
    <n v="0"/>
    <n v="0"/>
  </r>
  <r>
    <n v="26"/>
    <x v="0"/>
    <s v="Non-Travel"/>
    <n v="265"/>
    <x v="0"/>
    <n v="29"/>
    <n v="2"/>
    <s v="Medical"/>
    <n v="1037"/>
    <n v="2"/>
    <s v="Male"/>
    <n v="79"/>
    <n v="1"/>
    <n v="2"/>
    <x v="0"/>
    <x v="3"/>
    <s v="Single"/>
    <n v="4969"/>
    <x v="0"/>
    <n v="21813"/>
    <n v="8"/>
    <x v="1"/>
    <n v="18"/>
    <n v="3"/>
    <n v="4"/>
    <n v="0"/>
    <n v="7"/>
    <n v="6"/>
    <n v="3"/>
    <n v="2"/>
    <x v="1"/>
    <n v="2"/>
    <n v="2"/>
    <n v="2"/>
  </r>
  <r>
    <n v="52"/>
    <x v="0"/>
    <s v="Travel_Rarely"/>
    <n v="266"/>
    <x v="0"/>
    <n v="2"/>
    <n v="1"/>
    <s v="Marketing"/>
    <n v="1038"/>
    <n v="1"/>
    <s v="Female"/>
    <n v="57"/>
    <n v="1"/>
    <n v="5"/>
    <x v="5"/>
    <x v="0"/>
    <s v="Married"/>
    <n v="19845"/>
    <x v="2"/>
    <n v="25846"/>
    <n v="1"/>
    <x v="1"/>
    <n v="15"/>
    <n v="3"/>
    <n v="4"/>
    <n v="1"/>
    <n v="33"/>
    <n v="3"/>
    <n v="3"/>
    <n v="32"/>
    <x v="3"/>
    <n v="14"/>
    <n v="6"/>
    <n v="9"/>
  </r>
  <r>
    <n v="44"/>
    <x v="1"/>
    <s v="Travel_Rarely"/>
    <n v="1448"/>
    <x v="0"/>
    <n v="28"/>
    <n v="3"/>
    <s v="Medical"/>
    <n v="1039"/>
    <n v="4"/>
    <s v="Female"/>
    <n v="53"/>
    <n v="4"/>
    <n v="4"/>
    <x v="0"/>
    <x v="0"/>
    <s v="Married"/>
    <n v="13320"/>
    <x v="2"/>
    <n v="11737"/>
    <n v="3"/>
    <x v="0"/>
    <n v="18"/>
    <n v="3"/>
    <n v="3"/>
    <n v="1"/>
    <n v="23"/>
    <n v="2"/>
    <n v="3"/>
    <n v="12"/>
    <x v="3"/>
    <n v="11"/>
    <n v="11"/>
    <n v="11"/>
  </r>
  <r>
    <n v="50"/>
    <x v="1"/>
    <s v="Non-Travel"/>
    <n v="145"/>
    <x v="0"/>
    <n v="1"/>
    <n v="3"/>
    <s v="Life Sciences"/>
    <n v="1040"/>
    <n v="4"/>
    <s v="Female"/>
    <n v="95"/>
    <n v="3"/>
    <n v="2"/>
    <x v="0"/>
    <x v="2"/>
    <s v="Married"/>
    <n v="6347"/>
    <x v="0"/>
    <n v="24920"/>
    <n v="0"/>
    <x v="1"/>
    <n v="12"/>
    <n v="3"/>
    <n v="1"/>
    <n v="1"/>
    <n v="19"/>
    <n v="3"/>
    <n v="3"/>
    <n v="18"/>
    <x v="3"/>
    <n v="7"/>
    <n v="0"/>
    <n v="13"/>
  </r>
  <r>
    <n v="36"/>
    <x v="0"/>
    <s v="Travel_Rarely"/>
    <n v="885"/>
    <x v="1"/>
    <n v="16"/>
    <n v="4"/>
    <s v="Life Sciences"/>
    <n v="1042"/>
    <n v="3"/>
    <s v="Female"/>
    <n v="43"/>
    <n v="4"/>
    <n v="1"/>
    <x v="2"/>
    <x v="3"/>
    <s v="Single"/>
    <n v="2743"/>
    <x v="1"/>
    <n v="8269"/>
    <n v="1"/>
    <x v="1"/>
    <n v="16"/>
    <n v="3"/>
    <n v="3"/>
    <n v="0"/>
    <n v="18"/>
    <n v="1"/>
    <n v="3"/>
    <n v="17"/>
    <x v="3"/>
    <n v="13"/>
    <n v="15"/>
    <n v="14"/>
  </r>
  <r>
    <n v="39"/>
    <x v="1"/>
    <s v="Travel_Frequently"/>
    <n v="945"/>
    <x v="1"/>
    <n v="22"/>
    <n v="3"/>
    <s v="Medical"/>
    <n v="1043"/>
    <n v="4"/>
    <s v="Female"/>
    <n v="82"/>
    <n v="3"/>
    <n v="3"/>
    <x v="3"/>
    <x v="3"/>
    <s v="Single"/>
    <n v="10880"/>
    <x v="2"/>
    <n v="5083"/>
    <n v="1"/>
    <x v="0"/>
    <n v="13"/>
    <n v="3"/>
    <n v="3"/>
    <n v="0"/>
    <n v="21"/>
    <n v="2"/>
    <n v="3"/>
    <n v="21"/>
    <x v="3"/>
    <n v="6"/>
    <n v="2"/>
    <n v="8"/>
  </r>
  <r>
    <n v="33"/>
    <x v="1"/>
    <s v="Non-Travel"/>
    <n v="1038"/>
    <x v="0"/>
    <n v="8"/>
    <n v="1"/>
    <s v="Life Sciences"/>
    <n v="1044"/>
    <n v="2"/>
    <s v="Female"/>
    <n v="88"/>
    <n v="2"/>
    <n v="1"/>
    <x v="6"/>
    <x v="0"/>
    <s v="Single"/>
    <n v="2342"/>
    <x v="1"/>
    <n v="21437"/>
    <n v="0"/>
    <x v="1"/>
    <n v="19"/>
    <n v="3"/>
    <n v="4"/>
    <n v="0"/>
    <n v="3"/>
    <n v="2"/>
    <n v="2"/>
    <n v="2"/>
    <x v="1"/>
    <n v="2"/>
    <n v="2"/>
    <n v="2"/>
  </r>
  <r>
    <n v="45"/>
    <x v="1"/>
    <s v="Travel_Rarely"/>
    <n v="1234"/>
    <x v="0"/>
    <n v="11"/>
    <n v="2"/>
    <s v="Life Sciences"/>
    <n v="1045"/>
    <n v="4"/>
    <s v="Female"/>
    <n v="90"/>
    <n v="3"/>
    <n v="4"/>
    <x v="5"/>
    <x v="0"/>
    <s v="Married"/>
    <n v="17650"/>
    <x v="2"/>
    <n v="5404"/>
    <n v="3"/>
    <x v="1"/>
    <n v="13"/>
    <n v="3"/>
    <n v="2"/>
    <n v="1"/>
    <n v="26"/>
    <n v="4"/>
    <n v="4"/>
    <n v="9"/>
    <x v="0"/>
    <n v="3"/>
    <n v="1"/>
    <n v="1"/>
  </r>
  <r>
    <n v="32"/>
    <x v="1"/>
    <s v="Non-Travel"/>
    <n v="1109"/>
    <x v="1"/>
    <n v="29"/>
    <n v="4"/>
    <s v="Medical"/>
    <n v="1046"/>
    <n v="4"/>
    <s v="Female"/>
    <n v="69"/>
    <n v="3"/>
    <n v="1"/>
    <x v="2"/>
    <x v="2"/>
    <s v="Single"/>
    <n v="4025"/>
    <x v="0"/>
    <n v="11135"/>
    <n v="9"/>
    <x v="1"/>
    <n v="12"/>
    <n v="3"/>
    <n v="2"/>
    <n v="0"/>
    <n v="10"/>
    <n v="2"/>
    <n v="3"/>
    <n v="8"/>
    <x v="0"/>
    <n v="7"/>
    <n v="7"/>
    <n v="7"/>
  </r>
  <r>
    <n v="34"/>
    <x v="1"/>
    <s v="Travel_Rarely"/>
    <n v="216"/>
    <x v="0"/>
    <n v="1"/>
    <n v="4"/>
    <s v="Marketing"/>
    <n v="1047"/>
    <n v="2"/>
    <s v="Male"/>
    <n v="75"/>
    <n v="4"/>
    <n v="2"/>
    <x v="0"/>
    <x v="0"/>
    <s v="Divorced"/>
    <n v="9725"/>
    <x v="2"/>
    <n v="12278"/>
    <n v="0"/>
    <x v="1"/>
    <n v="11"/>
    <n v="3"/>
    <n v="4"/>
    <n v="1"/>
    <n v="16"/>
    <n v="2"/>
    <n v="2"/>
    <n v="15"/>
    <x v="3"/>
    <n v="1"/>
    <n v="0"/>
    <n v="9"/>
  </r>
  <r>
    <n v="59"/>
    <x v="1"/>
    <s v="Travel_Rarely"/>
    <n v="1089"/>
    <x v="0"/>
    <n v="1"/>
    <n v="2"/>
    <s v="Technical Degree"/>
    <n v="1048"/>
    <n v="2"/>
    <s v="Male"/>
    <n v="66"/>
    <n v="3"/>
    <n v="3"/>
    <x v="5"/>
    <x v="0"/>
    <s v="Married"/>
    <n v="11904"/>
    <x v="2"/>
    <n v="11038"/>
    <n v="3"/>
    <x v="0"/>
    <n v="14"/>
    <n v="3"/>
    <n v="3"/>
    <n v="1"/>
    <n v="14"/>
    <n v="1"/>
    <n v="1"/>
    <n v="6"/>
    <x v="0"/>
    <n v="4"/>
    <n v="0"/>
    <n v="4"/>
  </r>
  <r>
    <n v="45"/>
    <x v="1"/>
    <s v="Travel_Rarely"/>
    <n v="788"/>
    <x v="2"/>
    <n v="24"/>
    <n v="4"/>
    <s v="Medical"/>
    <n v="1049"/>
    <n v="2"/>
    <s v="Male"/>
    <n v="36"/>
    <n v="3"/>
    <n v="1"/>
    <x v="8"/>
    <x v="1"/>
    <s v="Single"/>
    <n v="2177"/>
    <x v="1"/>
    <n v="8318"/>
    <n v="1"/>
    <x v="1"/>
    <n v="16"/>
    <n v="3"/>
    <n v="1"/>
    <n v="0"/>
    <n v="6"/>
    <n v="3"/>
    <n v="3"/>
    <n v="6"/>
    <x v="0"/>
    <n v="3"/>
    <n v="0"/>
    <n v="4"/>
  </r>
  <r>
    <n v="53"/>
    <x v="1"/>
    <s v="Travel_Frequently"/>
    <n v="124"/>
    <x v="0"/>
    <n v="2"/>
    <n v="3"/>
    <s v="Marketing"/>
    <n v="1050"/>
    <n v="3"/>
    <s v="Female"/>
    <n v="38"/>
    <n v="2"/>
    <n v="3"/>
    <x v="0"/>
    <x v="1"/>
    <s v="Married"/>
    <n v="7525"/>
    <x v="2"/>
    <n v="23537"/>
    <n v="2"/>
    <x v="1"/>
    <n v="12"/>
    <n v="3"/>
    <n v="1"/>
    <n v="1"/>
    <n v="30"/>
    <n v="2"/>
    <n v="3"/>
    <n v="15"/>
    <x v="3"/>
    <n v="7"/>
    <n v="6"/>
    <n v="12"/>
  </r>
  <r>
    <n v="36"/>
    <x v="0"/>
    <s v="Travel_Rarely"/>
    <n v="660"/>
    <x v="1"/>
    <n v="15"/>
    <n v="3"/>
    <s v="Other"/>
    <n v="1052"/>
    <n v="1"/>
    <s v="Male"/>
    <n v="81"/>
    <n v="3"/>
    <n v="2"/>
    <x v="2"/>
    <x v="2"/>
    <s v="Divorced"/>
    <n v="4834"/>
    <x v="0"/>
    <n v="7858"/>
    <n v="7"/>
    <x v="1"/>
    <n v="14"/>
    <n v="3"/>
    <n v="2"/>
    <n v="1"/>
    <n v="9"/>
    <n v="3"/>
    <n v="2"/>
    <n v="1"/>
    <x v="1"/>
    <n v="0"/>
    <n v="0"/>
    <n v="0"/>
  </r>
  <r>
    <n v="26"/>
    <x v="0"/>
    <s v="Travel_Frequently"/>
    <n v="342"/>
    <x v="1"/>
    <n v="2"/>
    <n v="3"/>
    <s v="Life Sciences"/>
    <n v="1053"/>
    <n v="1"/>
    <s v="Male"/>
    <n v="57"/>
    <n v="3"/>
    <n v="1"/>
    <x v="1"/>
    <x v="3"/>
    <s v="Married"/>
    <n v="2042"/>
    <x v="1"/>
    <n v="15346"/>
    <n v="6"/>
    <x v="0"/>
    <n v="14"/>
    <n v="3"/>
    <n v="2"/>
    <n v="1"/>
    <n v="6"/>
    <n v="2"/>
    <n v="3"/>
    <n v="3"/>
    <x v="2"/>
    <n v="2"/>
    <n v="1"/>
    <n v="2"/>
  </r>
  <r>
    <n v="34"/>
    <x v="1"/>
    <s v="Travel_Rarely"/>
    <n v="1333"/>
    <x v="0"/>
    <n v="10"/>
    <n v="4"/>
    <s v="Life Sciences"/>
    <n v="1055"/>
    <n v="3"/>
    <s v="Female"/>
    <n v="87"/>
    <n v="3"/>
    <n v="1"/>
    <x v="6"/>
    <x v="2"/>
    <s v="Married"/>
    <n v="2220"/>
    <x v="1"/>
    <n v="18410"/>
    <n v="1"/>
    <x v="0"/>
    <n v="19"/>
    <n v="3"/>
    <n v="4"/>
    <n v="1"/>
    <n v="1"/>
    <n v="2"/>
    <n v="3"/>
    <n v="1"/>
    <x v="1"/>
    <n v="1"/>
    <n v="0"/>
    <n v="0"/>
  </r>
  <r>
    <n v="28"/>
    <x v="1"/>
    <s v="Travel_Rarely"/>
    <n v="1144"/>
    <x v="0"/>
    <n v="10"/>
    <n v="1"/>
    <s v="Medical"/>
    <n v="1056"/>
    <n v="4"/>
    <s v="Male"/>
    <n v="74"/>
    <n v="3"/>
    <n v="1"/>
    <x v="6"/>
    <x v="1"/>
    <s v="Married"/>
    <n v="1052"/>
    <x v="1"/>
    <n v="23384"/>
    <n v="1"/>
    <x v="1"/>
    <n v="22"/>
    <n v="4"/>
    <n v="2"/>
    <n v="0"/>
    <n v="1"/>
    <n v="5"/>
    <n v="3"/>
    <n v="1"/>
    <x v="1"/>
    <n v="0"/>
    <n v="0"/>
    <n v="0"/>
  </r>
  <r>
    <n v="38"/>
    <x v="1"/>
    <s v="Travel_Frequently"/>
    <n v="1186"/>
    <x v="1"/>
    <n v="3"/>
    <n v="4"/>
    <s v="Other"/>
    <n v="1060"/>
    <n v="3"/>
    <s v="Male"/>
    <n v="44"/>
    <n v="3"/>
    <n v="1"/>
    <x v="1"/>
    <x v="2"/>
    <s v="Married"/>
    <n v="2821"/>
    <x v="1"/>
    <n v="2997"/>
    <n v="3"/>
    <x v="1"/>
    <n v="16"/>
    <n v="3"/>
    <n v="1"/>
    <n v="1"/>
    <n v="8"/>
    <n v="2"/>
    <n v="3"/>
    <n v="2"/>
    <x v="1"/>
    <n v="2"/>
    <n v="2"/>
    <n v="2"/>
  </r>
  <r>
    <n v="50"/>
    <x v="1"/>
    <s v="Travel_Rarely"/>
    <n v="1464"/>
    <x v="1"/>
    <n v="2"/>
    <n v="4"/>
    <s v="Medical"/>
    <n v="1061"/>
    <n v="2"/>
    <s v="Male"/>
    <n v="62"/>
    <n v="3"/>
    <n v="5"/>
    <x v="7"/>
    <x v="2"/>
    <s v="Married"/>
    <n v="19237"/>
    <x v="2"/>
    <n v="12853"/>
    <n v="2"/>
    <x v="0"/>
    <n v="11"/>
    <n v="3"/>
    <n v="4"/>
    <n v="1"/>
    <n v="29"/>
    <n v="2"/>
    <n v="2"/>
    <n v="8"/>
    <x v="0"/>
    <n v="1"/>
    <n v="7"/>
    <n v="7"/>
  </r>
  <r>
    <n v="37"/>
    <x v="1"/>
    <s v="Travel_Rarely"/>
    <n v="124"/>
    <x v="1"/>
    <n v="3"/>
    <n v="3"/>
    <s v="Other"/>
    <n v="1062"/>
    <n v="4"/>
    <s v="Female"/>
    <n v="35"/>
    <n v="3"/>
    <n v="2"/>
    <x v="4"/>
    <x v="1"/>
    <s v="Single"/>
    <n v="4107"/>
    <x v="0"/>
    <n v="13848"/>
    <n v="3"/>
    <x v="1"/>
    <n v="15"/>
    <n v="3"/>
    <n v="1"/>
    <n v="0"/>
    <n v="8"/>
    <n v="3"/>
    <n v="2"/>
    <n v="4"/>
    <x v="2"/>
    <n v="3"/>
    <n v="0"/>
    <n v="1"/>
  </r>
  <r>
    <n v="40"/>
    <x v="1"/>
    <s v="Travel_Rarely"/>
    <n v="300"/>
    <x v="0"/>
    <n v="26"/>
    <n v="3"/>
    <s v="Marketing"/>
    <n v="1066"/>
    <n v="3"/>
    <s v="Male"/>
    <n v="74"/>
    <n v="3"/>
    <n v="2"/>
    <x v="0"/>
    <x v="3"/>
    <s v="Married"/>
    <n v="8396"/>
    <x v="2"/>
    <n v="22217"/>
    <n v="1"/>
    <x v="1"/>
    <n v="14"/>
    <n v="3"/>
    <n v="2"/>
    <n v="1"/>
    <n v="8"/>
    <n v="3"/>
    <n v="2"/>
    <n v="7"/>
    <x v="0"/>
    <n v="7"/>
    <n v="7"/>
    <n v="5"/>
  </r>
  <r>
    <n v="26"/>
    <x v="1"/>
    <s v="Travel_Frequently"/>
    <n v="921"/>
    <x v="1"/>
    <n v="1"/>
    <n v="1"/>
    <s v="Medical"/>
    <n v="1068"/>
    <n v="1"/>
    <s v="Female"/>
    <n v="66"/>
    <n v="2"/>
    <n v="1"/>
    <x v="1"/>
    <x v="2"/>
    <s v="Divorced"/>
    <n v="2007"/>
    <x v="1"/>
    <n v="25265"/>
    <n v="1"/>
    <x v="1"/>
    <n v="13"/>
    <n v="3"/>
    <n v="3"/>
    <n v="2"/>
    <n v="5"/>
    <n v="5"/>
    <n v="3"/>
    <n v="5"/>
    <x v="2"/>
    <n v="3"/>
    <n v="1"/>
    <n v="3"/>
  </r>
  <r>
    <n v="46"/>
    <x v="1"/>
    <s v="Travel_Rarely"/>
    <n v="430"/>
    <x v="1"/>
    <n v="1"/>
    <n v="4"/>
    <s v="Medical"/>
    <n v="1069"/>
    <n v="4"/>
    <s v="Male"/>
    <n v="40"/>
    <n v="3"/>
    <n v="5"/>
    <x v="7"/>
    <x v="0"/>
    <s v="Divorced"/>
    <n v="19627"/>
    <x v="2"/>
    <n v="21445"/>
    <n v="9"/>
    <x v="1"/>
    <n v="17"/>
    <n v="3"/>
    <n v="4"/>
    <n v="2"/>
    <n v="23"/>
    <n v="0"/>
    <n v="3"/>
    <n v="2"/>
    <x v="1"/>
    <n v="2"/>
    <n v="2"/>
    <n v="2"/>
  </r>
  <r>
    <n v="54"/>
    <x v="1"/>
    <s v="Travel_Rarely"/>
    <n v="1082"/>
    <x v="0"/>
    <n v="2"/>
    <n v="4"/>
    <s v="Life Sciences"/>
    <n v="1070"/>
    <n v="3"/>
    <s v="Female"/>
    <n v="41"/>
    <n v="2"/>
    <n v="3"/>
    <x v="0"/>
    <x v="2"/>
    <s v="Married"/>
    <n v="10686"/>
    <x v="2"/>
    <n v="8392"/>
    <n v="6"/>
    <x v="1"/>
    <n v="11"/>
    <n v="3"/>
    <n v="2"/>
    <n v="1"/>
    <n v="13"/>
    <n v="4"/>
    <n v="3"/>
    <n v="9"/>
    <x v="0"/>
    <n v="4"/>
    <n v="7"/>
    <n v="0"/>
  </r>
  <r>
    <n v="56"/>
    <x v="1"/>
    <s v="Travel_Frequently"/>
    <n v="1240"/>
    <x v="1"/>
    <n v="9"/>
    <n v="3"/>
    <s v="Medical"/>
    <n v="1071"/>
    <n v="1"/>
    <s v="Female"/>
    <n v="63"/>
    <n v="3"/>
    <n v="1"/>
    <x v="1"/>
    <x v="2"/>
    <s v="Married"/>
    <n v="2942"/>
    <x v="1"/>
    <n v="12154"/>
    <n v="2"/>
    <x v="1"/>
    <n v="19"/>
    <n v="3"/>
    <n v="2"/>
    <n v="1"/>
    <n v="18"/>
    <n v="4"/>
    <n v="3"/>
    <n v="5"/>
    <x v="2"/>
    <n v="4"/>
    <n v="0"/>
    <n v="3"/>
  </r>
  <r>
    <n v="36"/>
    <x v="1"/>
    <s v="Travel_Rarely"/>
    <n v="796"/>
    <x v="1"/>
    <n v="12"/>
    <n v="5"/>
    <s v="Medical"/>
    <n v="1073"/>
    <n v="4"/>
    <s v="Female"/>
    <n v="51"/>
    <n v="2"/>
    <n v="3"/>
    <x v="3"/>
    <x v="0"/>
    <s v="Single"/>
    <n v="8858"/>
    <x v="2"/>
    <n v="15669"/>
    <n v="0"/>
    <x v="1"/>
    <n v="11"/>
    <n v="3"/>
    <n v="2"/>
    <n v="0"/>
    <n v="15"/>
    <n v="2"/>
    <n v="2"/>
    <n v="14"/>
    <x v="3"/>
    <n v="8"/>
    <n v="7"/>
    <n v="8"/>
  </r>
  <r>
    <n v="55"/>
    <x v="1"/>
    <s v="Non-Travel"/>
    <n v="444"/>
    <x v="1"/>
    <n v="2"/>
    <n v="1"/>
    <s v="Medical"/>
    <n v="1074"/>
    <n v="3"/>
    <s v="Male"/>
    <n v="40"/>
    <n v="2"/>
    <n v="4"/>
    <x v="5"/>
    <x v="3"/>
    <s v="Single"/>
    <n v="16756"/>
    <x v="2"/>
    <n v="17323"/>
    <n v="7"/>
    <x v="1"/>
    <n v="15"/>
    <n v="3"/>
    <n v="2"/>
    <n v="0"/>
    <n v="31"/>
    <n v="3"/>
    <n v="4"/>
    <n v="9"/>
    <x v="0"/>
    <n v="7"/>
    <n v="6"/>
    <n v="2"/>
  </r>
  <r>
    <n v="43"/>
    <x v="1"/>
    <s v="Travel_Rarely"/>
    <n v="415"/>
    <x v="0"/>
    <n v="25"/>
    <n v="3"/>
    <s v="Medical"/>
    <n v="1076"/>
    <n v="3"/>
    <s v="Male"/>
    <n v="79"/>
    <n v="2"/>
    <n v="3"/>
    <x v="0"/>
    <x v="0"/>
    <s v="Divorced"/>
    <n v="10798"/>
    <x v="2"/>
    <n v="5268"/>
    <n v="5"/>
    <x v="1"/>
    <n v="13"/>
    <n v="3"/>
    <n v="3"/>
    <n v="1"/>
    <n v="18"/>
    <n v="5"/>
    <n v="3"/>
    <n v="1"/>
    <x v="1"/>
    <n v="0"/>
    <n v="0"/>
    <n v="0"/>
  </r>
  <r>
    <n v="20"/>
    <x v="0"/>
    <s v="Travel_Frequently"/>
    <n v="769"/>
    <x v="0"/>
    <n v="9"/>
    <n v="3"/>
    <s v="Marketing"/>
    <n v="1077"/>
    <n v="4"/>
    <s v="Female"/>
    <n v="54"/>
    <n v="3"/>
    <n v="1"/>
    <x v="6"/>
    <x v="0"/>
    <s v="Single"/>
    <n v="2323"/>
    <x v="1"/>
    <n v="17205"/>
    <n v="1"/>
    <x v="0"/>
    <n v="14"/>
    <n v="3"/>
    <n v="2"/>
    <n v="0"/>
    <n v="2"/>
    <n v="3"/>
    <n v="3"/>
    <n v="2"/>
    <x v="1"/>
    <n v="2"/>
    <n v="0"/>
    <n v="2"/>
  </r>
  <r>
    <n v="21"/>
    <x v="0"/>
    <s v="Travel_Rarely"/>
    <n v="1334"/>
    <x v="1"/>
    <n v="10"/>
    <n v="3"/>
    <s v="Life Sciences"/>
    <n v="1079"/>
    <n v="3"/>
    <s v="Female"/>
    <n v="36"/>
    <n v="2"/>
    <n v="1"/>
    <x v="2"/>
    <x v="3"/>
    <s v="Single"/>
    <n v="1416"/>
    <x v="1"/>
    <n v="17258"/>
    <n v="1"/>
    <x v="1"/>
    <n v="13"/>
    <n v="3"/>
    <n v="1"/>
    <n v="0"/>
    <n v="1"/>
    <n v="6"/>
    <n v="2"/>
    <n v="1"/>
    <x v="1"/>
    <n v="0"/>
    <n v="1"/>
    <n v="0"/>
  </r>
  <r>
    <n v="46"/>
    <x v="1"/>
    <s v="Travel_Rarely"/>
    <n v="1003"/>
    <x v="1"/>
    <n v="8"/>
    <n v="4"/>
    <s v="Life Sciences"/>
    <n v="1080"/>
    <n v="4"/>
    <s v="Female"/>
    <n v="74"/>
    <n v="2"/>
    <n v="2"/>
    <x v="1"/>
    <x v="3"/>
    <s v="Divorced"/>
    <n v="4615"/>
    <x v="0"/>
    <n v="21029"/>
    <n v="8"/>
    <x v="0"/>
    <n v="23"/>
    <n v="4"/>
    <n v="1"/>
    <n v="3"/>
    <n v="19"/>
    <n v="2"/>
    <n v="3"/>
    <n v="16"/>
    <x v="3"/>
    <n v="13"/>
    <n v="1"/>
    <n v="7"/>
  </r>
  <r>
    <n v="51"/>
    <x v="0"/>
    <s v="Travel_Rarely"/>
    <n v="1323"/>
    <x v="1"/>
    <n v="4"/>
    <n v="4"/>
    <s v="Life Sciences"/>
    <n v="1081"/>
    <n v="1"/>
    <s v="Male"/>
    <n v="34"/>
    <n v="3"/>
    <n v="1"/>
    <x v="1"/>
    <x v="2"/>
    <s v="Married"/>
    <n v="2461"/>
    <x v="1"/>
    <n v="10332"/>
    <n v="9"/>
    <x v="0"/>
    <n v="12"/>
    <n v="3"/>
    <n v="3"/>
    <n v="3"/>
    <n v="18"/>
    <n v="2"/>
    <n v="4"/>
    <n v="10"/>
    <x v="0"/>
    <n v="0"/>
    <n v="2"/>
    <n v="7"/>
  </r>
  <r>
    <n v="28"/>
    <x v="0"/>
    <s v="Non-Travel"/>
    <n v="1366"/>
    <x v="1"/>
    <n v="24"/>
    <n v="2"/>
    <s v="Technical Degree"/>
    <n v="1082"/>
    <n v="2"/>
    <s v="Male"/>
    <n v="72"/>
    <n v="2"/>
    <n v="3"/>
    <x v="4"/>
    <x v="3"/>
    <s v="Single"/>
    <n v="8722"/>
    <x v="2"/>
    <n v="12355"/>
    <n v="1"/>
    <x v="1"/>
    <n v="12"/>
    <n v="3"/>
    <n v="1"/>
    <n v="0"/>
    <n v="10"/>
    <n v="2"/>
    <n v="2"/>
    <n v="10"/>
    <x v="0"/>
    <n v="7"/>
    <n v="1"/>
    <n v="9"/>
  </r>
  <r>
    <n v="26"/>
    <x v="1"/>
    <s v="Travel_Rarely"/>
    <n v="192"/>
    <x v="1"/>
    <n v="1"/>
    <n v="2"/>
    <s v="Medical"/>
    <n v="1083"/>
    <n v="1"/>
    <s v="Male"/>
    <n v="59"/>
    <n v="2"/>
    <n v="1"/>
    <x v="2"/>
    <x v="3"/>
    <s v="Married"/>
    <n v="3955"/>
    <x v="0"/>
    <n v="11141"/>
    <n v="1"/>
    <x v="1"/>
    <n v="16"/>
    <n v="3"/>
    <n v="1"/>
    <n v="2"/>
    <n v="6"/>
    <n v="2"/>
    <n v="3"/>
    <n v="5"/>
    <x v="2"/>
    <n v="3"/>
    <n v="1"/>
    <n v="3"/>
  </r>
  <r>
    <n v="30"/>
    <x v="1"/>
    <s v="Travel_Rarely"/>
    <n v="1176"/>
    <x v="1"/>
    <n v="20"/>
    <n v="3"/>
    <s v="Other"/>
    <n v="1084"/>
    <n v="3"/>
    <s v="Male"/>
    <n v="85"/>
    <n v="3"/>
    <n v="2"/>
    <x v="3"/>
    <x v="3"/>
    <s v="Married"/>
    <n v="9957"/>
    <x v="2"/>
    <n v="9096"/>
    <n v="0"/>
    <x v="1"/>
    <n v="15"/>
    <n v="3"/>
    <n v="3"/>
    <n v="1"/>
    <n v="7"/>
    <n v="1"/>
    <n v="2"/>
    <n v="6"/>
    <x v="0"/>
    <n v="2"/>
    <n v="0"/>
    <n v="2"/>
  </r>
  <r>
    <n v="41"/>
    <x v="1"/>
    <s v="Travel_Rarely"/>
    <n v="509"/>
    <x v="1"/>
    <n v="7"/>
    <n v="2"/>
    <s v="Technical Degree"/>
    <n v="1085"/>
    <n v="2"/>
    <s v="Female"/>
    <n v="43"/>
    <n v="4"/>
    <n v="1"/>
    <x v="1"/>
    <x v="2"/>
    <s v="Married"/>
    <n v="3376"/>
    <x v="0"/>
    <n v="18863"/>
    <n v="1"/>
    <x v="1"/>
    <n v="13"/>
    <n v="3"/>
    <n v="3"/>
    <n v="0"/>
    <n v="10"/>
    <n v="3"/>
    <n v="3"/>
    <n v="10"/>
    <x v="0"/>
    <n v="6"/>
    <n v="0"/>
    <n v="8"/>
  </r>
  <r>
    <n v="38"/>
    <x v="1"/>
    <s v="Travel_Rarely"/>
    <n v="330"/>
    <x v="1"/>
    <n v="17"/>
    <n v="1"/>
    <s v="Life Sciences"/>
    <n v="1088"/>
    <n v="3"/>
    <s v="Female"/>
    <n v="65"/>
    <n v="2"/>
    <n v="3"/>
    <x v="4"/>
    <x v="2"/>
    <s v="Married"/>
    <n v="8823"/>
    <x v="2"/>
    <n v="24608"/>
    <n v="0"/>
    <x v="1"/>
    <n v="18"/>
    <n v="3"/>
    <n v="1"/>
    <n v="1"/>
    <n v="20"/>
    <n v="4"/>
    <n v="2"/>
    <n v="19"/>
    <x v="3"/>
    <n v="9"/>
    <n v="1"/>
    <n v="9"/>
  </r>
  <r>
    <n v="40"/>
    <x v="1"/>
    <s v="Travel_Rarely"/>
    <n v="1492"/>
    <x v="1"/>
    <n v="20"/>
    <n v="4"/>
    <s v="Technical Degree"/>
    <n v="1092"/>
    <n v="1"/>
    <s v="Male"/>
    <n v="61"/>
    <n v="3"/>
    <n v="3"/>
    <x v="4"/>
    <x v="0"/>
    <s v="Married"/>
    <n v="10322"/>
    <x v="2"/>
    <n v="26542"/>
    <n v="4"/>
    <x v="1"/>
    <n v="20"/>
    <n v="4"/>
    <n v="4"/>
    <n v="1"/>
    <n v="14"/>
    <n v="6"/>
    <n v="3"/>
    <n v="11"/>
    <x v="3"/>
    <n v="10"/>
    <n v="11"/>
    <n v="1"/>
  </r>
  <r>
    <n v="27"/>
    <x v="1"/>
    <s v="Non-Travel"/>
    <n v="1277"/>
    <x v="1"/>
    <n v="8"/>
    <n v="5"/>
    <s v="Life Sciences"/>
    <n v="1094"/>
    <n v="1"/>
    <s v="Male"/>
    <n v="87"/>
    <n v="1"/>
    <n v="1"/>
    <x v="2"/>
    <x v="2"/>
    <s v="Married"/>
    <n v="4621"/>
    <x v="0"/>
    <n v="5869"/>
    <n v="1"/>
    <x v="1"/>
    <n v="19"/>
    <n v="3"/>
    <n v="4"/>
    <n v="3"/>
    <n v="3"/>
    <n v="4"/>
    <n v="3"/>
    <n v="3"/>
    <x v="2"/>
    <n v="2"/>
    <n v="1"/>
    <n v="2"/>
  </r>
  <r>
    <n v="55"/>
    <x v="1"/>
    <s v="Travel_Frequently"/>
    <n v="1091"/>
    <x v="1"/>
    <n v="2"/>
    <n v="1"/>
    <s v="Life Sciences"/>
    <n v="1096"/>
    <n v="4"/>
    <s v="Male"/>
    <n v="65"/>
    <n v="3"/>
    <n v="3"/>
    <x v="3"/>
    <x v="1"/>
    <s v="Married"/>
    <n v="10976"/>
    <x v="2"/>
    <n v="15813"/>
    <n v="3"/>
    <x v="1"/>
    <n v="18"/>
    <n v="3"/>
    <n v="2"/>
    <n v="1"/>
    <n v="23"/>
    <n v="4"/>
    <n v="3"/>
    <n v="3"/>
    <x v="2"/>
    <n v="2"/>
    <n v="1"/>
    <n v="2"/>
  </r>
  <r>
    <n v="28"/>
    <x v="1"/>
    <s v="Travel_Rarely"/>
    <n v="857"/>
    <x v="1"/>
    <n v="10"/>
    <n v="3"/>
    <s v="Other"/>
    <n v="1097"/>
    <n v="3"/>
    <s v="Female"/>
    <n v="59"/>
    <n v="3"/>
    <n v="2"/>
    <x v="1"/>
    <x v="2"/>
    <s v="Single"/>
    <n v="3660"/>
    <x v="0"/>
    <n v="7909"/>
    <n v="3"/>
    <x v="1"/>
    <n v="13"/>
    <n v="3"/>
    <n v="4"/>
    <n v="0"/>
    <n v="10"/>
    <n v="4"/>
    <n v="4"/>
    <n v="8"/>
    <x v="0"/>
    <n v="7"/>
    <n v="1"/>
    <n v="7"/>
  </r>
  <r>
    <n v="44"/>
    <x v="0"/>
    <s v="Travel_Rarely"/>
    <n v="1376"/>
    <x v="2"/>
    <n v="1"/>
    <n v="2"/>
    <s v="Medical"/>
    <n v="1098"/>
    <n v="2"/>
    <s v="Male"/>
    <n v="91"/>
    <n v="2"/>
    <n v="3"/>
    <x v="8"/>
    <x v="3"/>
    <s v="Married"/>
    <n v="10482"/>
    <x v="2"/>
    <n v="2326"/>
    <n v="9"/>
    <x v="1"/>
    <n v="14"/>
    <n v="3"/>
    <n v="4"/>
    <n v="1"/>
    <n v="24"/>
    <n v="1"/>
    <n v="3"/>
    <n v="20"/>
    <x v="3"/>
    <n v="6"/>
    <n v="3"/>
    <n v="6"/>
  </r>
  <r>
    <n v="33"/>
    <x v="1"/>
    <s v="Travel_Rarely"/>
    <n v="654"/>
    <x v="1"/>
    <n v="5"/>
    <n v="3"/>
    <s v="Life Sciences"/>
    <n v="1099"/>
    <n v="4"/>
    <s v="Male"/>
    <n v="34"/>
    <n v="2"/>
    <n v="3"/>
    <x v="4"/>
    <x v="0"/>
    <s v="Divorced"/>
    <n v="7119"/>
    <x v="2"/>
    <n v="21214"/>
    <n v="4"/>
    <x v="1"/>
    <n v="15"/>
    <n v="3"/>
    <n v="3"/>
    <n v="1"/>
    <n v="9"/>
    <n v="2"/>
    <n v="3"/>
    <n v="3"/>
    <x v="2"/>
    <n v="2"/>
    <n v="1"/>
    <n v="2"/>
  </r>
  <r>
    <n v="35"/>
    <x v="0"/>
    <s v="Travel_Rarely"/>
    <n v="1204"/>
    <x v="0"/>
    <n v="4"/>
    <n v="3"/>
    <s v="Technical Degree"/>
    <n v="1100"/>
    <n v="4"/>
    <s v="Male"/>
    <n v="86"/>
    <n v="3"/>
    <n v="3"/>
    <x v="0"/>
    <x v="3"/>
    <s v="Single"/>
    <n v="9582"/>
    <x v="2"/>
    <n v="10333"/>
    <n v="0"/>
    <x v="0"/>
    <n v="22"/>
    <n v="4"/>
    <n v="1"/>
    <n v="0"/>
    <n v="9"/>
    <n v="2"/>
    <n v="3"/>
    <n v="8"/>
    <x v="0"/>
    <n v="7"/>
    <n v="4"/>
    <n v="7"/>
  </r>
  <r>
    <n v="33"/>
    <x v="0"/>
    <s v="Travel_Frequently"/>
    <n v="827"/>
    <x v="1"/>
    <n v="29"/>
    <n v="4"/>
    <s v="Medical"/>
    <n v="1101"/>
    <n v="1"/>
    <s v="Female"/>
    <n v="54"/>
    <n v="2"/>
    <n v="2"/>
    <x v="1"/>
    <x v="2"/>
    <s v="Single"/>
    <n v="4508"/>
    <x v="0"/>
    <n v="3129"/>
    <n v="1"/>
    <x v="1"/>
    <n v="22"/>
    <n v="4"/>
    <n v="2"/>
    <n v="0"/>
    <n v="14"/>
    <n v="4"/>
    <n v="3"/>
    <n v="13"/>
    <x v="3"/>
    <n v="7"/>
    <n v="3"/>
    <n v="8"/>
  </r>
  <r>
    <n v="28"/>
    <x v="1"/>
    <s v="Travel_Rarely"/>
    <n v="895"/>
    <x v="1"/>
    <n v="15"/>
    <n v="2"/>
    <s v="Life Sciences"/>
    <n v="1102"/>
    <n v="1"/>
    <s v="Male"/>
    <n v="50"/>
    <n v="3"/>
    <n v="1"/>
    <x v="2"/>
    <x v="2"/>
    <s v="Divorced"/>
    <n v="2207"/>
    <x v="1"/>
    <n v="22482"/>
    <n v="1"/>
    <x v="1"/>
    <n v="16"/>
    <n v="3"/>
    <n v="4"/>
    <n v="1"/>
    <n v="4"/>
    <n v="5"/>
    <n v="2"/>
    <n v="4"/>
    <x v="2"/>
    <n v="2"/>
    <n v="2"/>
    <n v="2"/>
  </r>
  <r>
    <n v="34"/>
    <x v="1"/>
    <s v="Travel_Frequently"/>
    <n v="618"/>
    <x v="1"/>
    <n v="3"/>
    <n v="1"/>
    <s v="Life Sciences"/>
    <n v="1103"/>
    <n v="1"/>
    <s v="Male"/>
    <n v="45"/>
    <n v="3"/>
    <n v="2"/>
    <x v="4"/>
    <x v="0"/>
    <s v="Single"/>
    <n v="7756"/>
    <x v="2"/>
    <n v="22266"/>
    <n v="0"/>
    <x v="1"/>
    <n v="17"/>
    <n v="3"/>
    <n v="3"/>
    <n v="0"/>
    <n v="7"/>
    <n v="1"/>
    <n v="2"/>
    <n v="6"/>
    <x v="0"/>
    <n v="2"/>
    <n v="0"/>
    <n v="4"/>
  </r>
  <r>
    <n v="37"/>
    <x v="1"/>
    <s v="Travel_Rarely"/>
    <n v="309"/>
    <x v="0"/>
    <n v="10"/>
    <n v="4"/>
    <s v="Life Sciences"/>
    <n v="1105"/>
    <n v="4"/>
    <s v="Female"/>
    <n v="88"/>
    <n v="2"/>
    <n v="2"/>
    <x v="0"/>
    <x v="0"/>
    <s v="Divorced"/>
    <n v="6694"/>
    <x v="0"/>
    <n v="24223"/>
    <n v="2"/>
    <x v="0"/>
    <n v="14"/>
    <n v="3"/>
    <n v="3"/>
    <n v="3"/>
    <n v="8"/>
    <n v="5"/>
    <n v="3"/>
    <n v="1"/>
    <x v="1"/>
    <n v="0"/>
    <n v="0"/>
    <n v="0"/>
  </r>
  <r>
    <n v="25"/>
    <x v="0"/>
    <s v="Travel_Rarely"/>
    <n v="1219"/>
    <x v="1"/>
    <n v="4"/>
    <n v="1"/>
    <s v="Technical Degree"/>
    <n v="1106"/>
    <n v="4"/>
    <s v="Male"/>
    <n v="32"/>
    <n v="3"/>
    <n v="1"/>
    <x v="2"/>
    <x v="0"/>
    <s v="Married"/>
    <n v="3691"/>
    <x v="0"/>
    <n v="4605"/>
    <n v="1"/>
    <x v="0"/>
    <n v="15"/>
    <n v="3"/>
    <n v="2"/>
    <n v="1"/>
    <n v="7"/>
    <n v="3"/>
    <n v="4"/>
    <n v="7"/>
    <x v="0"/>
    <n v="7"/>
    <n v="5"/>
    <n v="6"/>
  </r>
  <r>
    <n v="26"/>
    <x v="0"/>
    <s v="Travel_Rarely"/>
    <n v="1330"/>
    <x v="1"/>
    <n v="21"/>
    <n v="3"/>
    <s v="Medical"/>
    <n v="1107"/>
    <n v="1"/>
    <s v="Male"/>
    <n v="37"/>
    <n v="3"/>
    <n v="1"/>
    <x v="2"/>
    <x v="2"/>
    <s v="Divorced"/>
    <n v="2377"/>
    <x v="1"/>
    <n v="19373"/>
    <n v="1"/>
    <x v="1"/>
    <n v="20"/>
    <n v="4"/>
    <n v="3"/>
    <n v="1"/>
    <n v="1"/>
    <n v="0"/>
    <n v="2"/>
    <n v="1"/>
    <x v="1"/>
    <n v="1"/>
    <n v="0"/>
    <n v="0"/>
  </r>
  <r>
    <n v="33"/>
    <x v="0"/>
    <s v="Travel_Rarely"/>
    <n v="1017"/>
    <x v="1"/>
    <n v="25"/>
    <n v="3"/>
    <s v="Medical"/>
    <n v="1108"/>
    <n v="1"/>
    <s v="Male"/>
    <n v="55"/>
    <n v="2"/>
    <n v="1"/>
    <x v="1"/>
    <x v="1"/>
    <s v="Single"/>
    <n v="2313"/>
    <x v="1"/>
    <n v="2993"/>
    <n v="4"/>
    <x v="0"/>
    <n v="20"/>
    <n v="4"/>
    <n v="2"/>
    <n v="0"/>
    <n v="5"/>
    <n v="0"/>
    <n v="3"/>
    <n v="2"/>
    <x v="1"/>
    <n v="2"/>
    <n v="2"/>
    <n v="2"/>
  </r>
  <r>
    <n v="42"/>
    <x v="1"/>
    <s v="Travel_Rarely"/>
    <n v="469"/>
    <x v="1"/>
    <n v="2"/>
    <n v="2"/>
    <s v="Medical"/>
    <n v="1109"/>
    <n v="4"/>
    <s v="Male"/>
    <n v="35"/>
    <n v="3"/>
    <n v="4"/>
    <x v="5"/>
    <x v="3"/>
    <s v="Married"/>
    <n v="17665"/>
    <x v="2"/>
    <n v="14399"/>
    <n v="0"/>
    <x v="1"/>
    <n v="17"/>
    <n v="3"/>
    <n v="4"/>
    <n v="1"/>
    <n v="23"/>
    <n v="3"/>
    <n v="3"/>
    <n v="22"/>
    <x v="3"/>
    <n v="6"/>
    <n v="13"/>
    <n v="7"/>
  </r>
  <r>
    <n v="28"/>
    <x v="0"/>
    <s v="Travel_Frequently"/>
    <n v="1009"/>
    <x v="1"/>
    <n v="1"/>
    <n v="3"/>
    <s v="Medical"/>
    <n v="1111"/>
    <n v="1"/>
    <s v="Male"/>
    <n v="45"/>
    <n v="2"/>
    <n v="1"/>
    <x v="2"/>
    <x v="1"/>
    <s v="Divorced"/>
    <n v="2596"/>
    <x v="1"/>
    <n v="7160"/>
    <n v="1"/>
    <x v="1"/>
    <n v="15"/>
    <n v="3"/>
    <n v="1"/>
    <n v="2"/>
    <n v="1"/>
    <n v="2"/>
    <n v="3"/>
    <n v="1"/>
    <x v="1"/>
    <n v="0"/>
    <n v="0"/>
    <n v="0"/>
  </r>
  <r>
    <n v="50"/>
    <x v="0"/>
    <s v="Travel_Frequently"/>
    <n v="959"/>
    <x v="0"/>
    <n v="1"/>
    <n v="4"/>
    <s v="Other"/>
    <n v="1113"/>
    <n v="4"/>
    <s v="Male"/>
    <n v="81"/>
    <n v="3"/>
    <n v="2"/>
    <x v="0"/>
    <x v="2"/>
    <s v="Single"/>
    <n v="4728"/>
    <x v="0"/>
    <n v="17251"/>
    <n v="3"/>
    <x v="0"/>
    <n v="14"/>
    <n v="3"/>
    <n v="4"/>
    <n v="0"/>
    <n v="5"/>
    <n v="4"/>
    <n v="3"/>
    <n v="0"/>
    <x v="1"/>
    <n v="0"/>
    <n v="0"/>
    <n v="0"/>
  </r>
  <r>
    <n v="33"/>
    <x v="1"/>
    <s v="Travel_Frequently"/>
    <n v="970"/>
    <x v="0"/>
    <n v="7"/>
    <n v="3"/>
    <s v="Life Sciences"/>
    <n v="1114"/>
    <n v="4"/>
    <s v="Female"/>
    <n v="30"/>
    <n v="3"/>
    <n v="2"/>
    <x v="0"/>
    <x v="1"/>
    <s v="Married"/>
    <n v="4302"/>
    <x v="0"/>
    <n v="13401"/>
    <n v="0"/>
    <x v="1"/>
    <n v="17"/>
    <n v="3"/>
    <n v="3"/>
    <n v="1"/>
    <n v="4"/>
    <n v="3"/>
    <n v="3"/>
    <n v="3"/>
    <x v="2"/>
    <n v="2"/>
    <n v="0"/>
    <n v="2"/>
  </r>
  <r>
    <n v="34"/>
    <x v="1"/>
    <s v="Non-Travel"/>
    <n v="697"/>
    <x v="1"/>
    <n v="3"/>
    <n v="4"/>
    <s v="Life Sciences"/>
    <n v="1115"/>
    <n v="3"/>
    <s v="Male"/>
    <n v="40"/>
    <n v="2"/>
    <n v="1"/>
    <x v="1"/>
    <x v="0"/>
    <s v="Married"/>
    <n v="2979"/>
    <x v="1"/>
    <n v="22478"/>
    <n v="3"/>
    <x v="1"/>
    <n v="17"/>
    <n v="3"/>
    <n v="4"/>
    <n v="3"/>
    <n v="6"/>
    <n v="2"/>
    <n v="3"/>
    <n v="0"/>
    <x v="1"/>
    <n v="0"/>
    <n v="0"/>
    <n v="0"/>
  </r>
  <r>
    <n v="48"/>
    <x v="1"/>
    <s v="Non-Travel"/>
    <n v="1262"/>
    <x v="1"/>
    <n v="1"/>
    <n v="4"/>
    <s v="Medical"/>
    <n v="1116"/>
    <n v="1"/>
    <s v="Male"/>
    <n v="35"/>
    <n v="4"/>
    <n v="4"/>
    <x v="5"/>
    <x v="0"/>
    <s v="Single"/>
    <n v="16885"/>
    <x v="2"/>
    <n v="16154"/>
    <n v="2"/>
    <x v="1"/>
    <n v="22"/>
    <n v="4"/>
    <n v="3"/>
    <n v="0"/>
    <n v="27"/>
    <n v="3"/>
    <n v="2"/>
    <n v="5"/>
    <x v="2"/>
    <n v="4"/>
    <n v="2"/>
    <n v="1"/>
  </r>
  <r>
    <n v="45"/>
    <x v="1"/>
    <s v="Non-Travel"/>
    <n v="1050"/>
    <x v="0"/>
    <n v="9"/>
    <n v="4"/>
    <s v="Life Sciences"/>
    <n v="1117"/>
    <n v="2"/>
    <s v="Female"/>
    <n v="65"/>
    <n v="2"/>
    <n v="2"/>
    <x v="0"/>
    <x v="2"/>
    <s v="Married"/>
    <n v="5593"/>
    <x v="0"/>
    <n v="17970"/>
    <n v="1"/>
    <x v="1"/>
    <n v="13"/>
    <n v="3"/>
    <n v="4"/>
    <n v="1"/>
    <n v="15"/>
    <n v="2"/>
    <n v="3"/>
    <n v="15"/>
    <x v="3"/>
    <n v="10"/>
    <n v="4"/>
    <n v="12"/>
  </r>
  <r>
    <n v="52"/>
    <x v="1"/>
    <s v="Travel_Rarely"/>
    <n v="994"/>
    <x v="1"/>
    <n v="7"/>
    <n v="4"/>
    <s v="Life Sciences"/>
    <n v="1118"/>
    <n v="2"/>
    <s v="Male"/>
    <n v="87"/>
    <n v="3"/>
    <n v="3"/>
    <x v="4"/>
    <x v="1"/>
    <s v="Single"/>
    <n v="10445"/>
    <x v="2"/>
    <n v="15322"/>
    <n v="7"/>
    <x v="1"/>
    <n v="19"/>
    <n v="3"/>
    <n v="4"/>
    <n v="0"/>
    <n v="18"/>
    <n v="4"/>
    <n v="3"/>
    <n v="8"/>
    <x v="0"/>
    <n v="6"/>
    <n v="4"/>
    <n v="0"/>
  </r>
  <r>
    <n v="38"/>
    <x v="1"/>
    <s v="Travel_Rarely"/>
    <n v="770"/>
    <x v="0"/>
    <n v="10"/>
    <n v="4"/>
    <s v="Marketing"/>
    <n v="1119"/>
    <n v="3"/>
    <s v="Male"/>
    <n v="73"/>
    <n v="2"/>
    <n v="3"/>
    <x v="0"/>
    <x v="2"/>
    <s v="Divorced"/>
    <n v="8740"/>
    <x v="2"/>
    <n v="5569"/>
    <n v="0"/>
    <x v="0"/>
    <n v="14"/>
    <n v="3"/>
    <n v="2"/>
    <n v="2"/>
    <n v="9"/>
    <n v="2"/>
    <n v="3"/>
    <n v="8"/>
    <x v="0"/>
    <n v="7"/>
    <n v="2"/>
    <n v="7"/>
  </r>
  <r>
    <n v="29"/>
    <x v="1"/>
    <s v="Travel_Rarely"/>
    <n v="1107"/>
    <x v="1"/>
    <n v="28"/>
    <n v="4"/>
    <s v="Life Sciences"/>
    <n v="1120"/>
    <n v="3"/>
    <s v="Female"/>
    <n v="93"/>
    <n v="3"/>
    <n v="1"/>
    <x v="1"/>
    <x v="0"/>
    <s v="Divorced"/>
    <n v="2514"/>
    <x v="1"/>
    <n v="26968"/>
    <n v="4"/>
    <x v="1"/>
    <n v="22"/>
    <n v="4"/>
    <n v="1"/>
    <n v="1"/>
    <n v="11"/>
    <n v="1"/>
    <n v="3"/>
    <n v="7"/>
    <x v="0"/>
    <n v="5"/>
    <n v="1"/>
    <n v="7"/>
  </r>
  <r>
    <n v="28"/>
    <x v="1"/>
    <s v="Travel_Rarely"/>
    <n v="950"/>
    <x v="1"/>
    <n v="3"/>
    <n v="3"/>
    <s v="Medical"/>
    <n v="1121"/>
    <n v="4"/>
    <s v="Female"/>
    <n v="93"/>
    <n v="3"/>
    <n v="3"/>
    <x v="3"/>
    <x v="1"/>
    <s v="Divorced"/>
    <n v="7655"/>
    <x v="2"/>
    <n v="8039"/>
    <n v="0"/>
    <x v="1"/>
    <n v="17"/>
    <n v="3"/>
    <n v="2"/>
    <n v="3"/>
    <n v="10"/>
    <n v="3"/>
    <n v="2"/>
    <n v="9"/>
    <x v="0"/>
    <n v="7"/>
    <n v="1"/>
    <n v="7"/>
  </r>
  <r>
    <n v="46"/>
    <x v="1"/>
    <s v="Travel_Rarely"/>
    <n v="406"/>
    <x v="0"/>
    <n v="3"/>
    <n v="1"/>
    <s v="Marketing"/>
    <n v="1124"/>
    <n v="1"/>
    <s v="Male"/>
    <n v="52"/>
    <n v="3"/>
    <n v="4"/>
    <x v="5"/>
    <x v="2"/>
    <s v="Married"/>
    <n v="17465"/>
    <x v="2"/>
    <n v="15596"/>
    <n v="3"/>
    <x v="1"/>
    <n v="12"/>
    <n v="3"/>
    <n v="4"/>
    <n v="1"/>
    <n v="23"/>
    <n v="3"/>
    <n v="3"/>
    <n v="12"/>
    <x v="3"/>
    <n v="9"/>
    <n v="4"/>
    <n v="9"/>
  </r>
  <r>
    <n v="38"/>
    <x v="1"/>
    <s v="Travel_Rarely"/>
    <n v="130"/>
    <x v="0"/>
    <n v="2"/>
    <n v="2"/>
    <s v="Marketing"/>
    <n v="1125"/>
    <n v="4"/>
    <s v="Male"/>
    <n v="32"/>
    <n v="3"/>
    <n v="3"/>
    <x v="0"/>
    <x v="1"/>
    <s v="Single"/>
    <n v="7351"/>
    <x v="2"/>
    <n v="20619"/>
    <n v="7"/>
    <x v="1"/>
    <n v="16"/>
    <n v="3"/>
    <n v="3"/>
    <n v="0"/>
    <n v="10"/>
    <n v="2"/>
    <n v="3"/>
    <n v="1"/>
    <x v="1"/>
    <n v="0"/>
    <n v="0"/>
    <n v="0"/>
  </r>
  <r>
    <n v="43"/>
    <x v="1"/>
    <s v="Travel_Frequently"/>
    <n v="1082"/>
    <x v="1"/>
    <n v="27"/>
    <n v="3"/>
    <s v="Life Sciences"/>
    <n v="1126"/>
    <n v="3"/>
    <s v="Female"/>
    <n v="83"/>
    <n v="3"/>
    <n v="3"/>
    <x v="3"/>
    <x v="3"/>
    <s v="Married"/>
    <n v="10820"/>
    <x v="2"/>
    <n v="11535"/>
    <n v="8"/>
    <x v="1"/>
    <n v="11"/>
    <n v="3"/>
    <n v="3"/>
    <n v="1"/>
    <n v="18"/>
    <n v="1"/>
    <n v="3"/>
    <n v="8"/>
    <x v="0"/>
    <n v="7"/>
    <n v="0"/>
    <n v="1"/>
  </r>
  <r>
    <n v="39"/>
    <x v="0"/>
    <s v="Travel_Frequently"/>
    <n v="203"/>
    <x v="1"/>
    <n v="2"/>
    <n v="3"/>
    <s v="Life Sciences"/>
    <n v="1127"/>
    <n v="1"/>
    <s v="Male"/>
    <n v="84"/>
    <n v="3"/>
    <n v="4"/>
    <x v="4"/>
    <x v="0"/>
    <s v="Divorced"/>
    <n v="12169"/>
    <x v="2"/>
    <n v="13547"/>
    <n v="7"/>
    <x v="1"/>
    <n v="11"/>
    <n v="3"/>
    <n v="4"/>
    <n v="3"/>
    <n v="21"/>
    <n v="4"/>
    <n v="3"/>
    <n v="18"/>
    <x v="3"/>
    <n v="7"/>
    <n v="11"/>
    <n v="5"/>
  </r>
  <r>
    <n v="40"/>
    <x v="1"/>
    <s v="Travel_Rarely"/>
    <n v="1308"/>
    <x v="1"/>
    <n v="14"/>
    <n v="3"/>
    <s v="Medical"/>
    <n v="1128"/>
    <n v="3"/>
    <s v="Male"/>
    <n v="44"/>
    <n v="2"/>
    <n v="5"/>
    <x v="7"/>
    <x v="2"/>
    <s v="Single"/>
    <n v="19626"/>
    <x v="2"/>
    <n v="17544"/>
    <n v="1"/>
    <x v="1"/>
    <n v="14"/>
    <n v="3"/>
    <n v="1"/>
    <n v="0"/>
    <n v="21"/>
    <n v="2"/>
    <n v="4"/>
    <n v="20"/>
    <x v="3"/>
    <n v="7"/>
    <n v="4"/>
    <n v="9"/>
  </r>
  <r>
    <n v="21"/>
    <x v="1"/>
    <s v="Travel_Rarely"/>
    <n v="984"/>
    <x v="1"/>
    <n v="1"/>
    <n v="1"/>
    <s v="Technical Degree"/>
    <n v="1131"/>
    <n v="4"/>
    <s v="Female"/>
    <n v="70"/>
    <n v="2"/>
    <n v="1"/>
    <x v="1"/>
    <x v="1"/>
    <s v="Single"/>
    <n v="2070"/>
    <x v="1"/>
    <n v="25326"/>
    <n v="1"/>
    <x v="0"/>
    <n v="11"/>
    <n v="3"/>
    <n v="3"/>
    <n v="0"/>
    <n v="2"/>
    <n v="6"/>
    <n v="4"/>
    <n v="2"/>
    <x v="1"/>
    <n v="2"/>
    <n v="2"/>
    <n v="2"/>
  </r>
  <r>
    <n v="39"/>
    <x v="1"/>
    <s v="Non-Travel"/>
    <n v="439"/>
    <x v="1"/>
    <n v="9"/>
    <n v="3"/>
    <s v="Life Sciences"/>
    <n v="1132"/>
    <n v="3"/>
    <s v="Male"/>
    <n v="70"/>
    <n v="3"/>
    <n v="2"/>
    <x v="2"/>
    <x v="1"/>
    <s v="Single"/>
    <n v="6782"/>
    <x v="0"/>
    <n v="8770"/>
    <n v="9"/>
    <x v="1"/>
    <n v="15"/>
    <n v="3"/>
    <n v="3"/>
    <n v="0"/>
    <n v="9"/>
    <n v="2"/>
    <n v="2"/>
    <n v="5"/>
    <x v="2"/>
    <n v="4"/>
    <n v="0"/>
    <n v="3"/>
  </r>
  <r>
    <n v="36"/>
    <x v="1"/>
    <s v="Non-Travel"/>
    <n v="217"/>
    <x v="1"/>
    <n v="18"/>
    <n v="4"/>
    <s v="Life Sciences"/>
    <n v="1133"/>
    <n v="1"/>
    <s v="Male"/>
    <n v="78"/>
    <n v="3"/>
    <n v="2"/>
    <x v="3"/>
    <x v="0"/>
    <s v="Single"/>
    <n v="7779"/>
    <x v="2"/>
    <n v="23238"/>
    <n v="2"/>
    <x v="1"/>
    <n v="20"/>
    <n v="4"/>
    <n v="1"/>
    <n v="0"/>
    <n v="18"/>
    <n v="0"/>
    <n v="3"/>
    <n v="11"/>
    <x v="3"/>
    <n v="9"/>
    <n v="0"/>
    <n v="9"/>
  </r>
  <r>
    <n v="31"/>
    <x v="1"/>
    <s v="Travel_Frequently"/>
    <n v="793"/>
    <x v="0"/>
    <n v="20"/>
    <n v="3"/>
    <s v="Life Sciences"/>
    <n v="1135"/>
    <n v="3"/>
    <s v="Male"/>
    <n v="67"/>
    <n v="4"/>
    <n v="1"/>
    <x v="6"/>
    <x v="0"/>
    <s v="Married"/>
    <n v="2791"/>
    <x v="1"/>
    <n v="21981"/>
    <n v="0"/>
    <x v="1"/>
    <n v="12"/>
    <n v="3"/>
    <n v="1"/>
    <n v="1"/>
    <n v="3"/>
    <n v="4"/>
    <n v="3"/>
    <n v="2"/>
    <x v="1"/>
    <n v="2"/>
    <n v="2"/>
    <n v="2"/>
  </r>
  <r>
    <n v="28"/>
    <x v="1"/>
    <s v="Travel_Rarely"/>
    <n v="1451"/>
    <x v="1"/>
    <n v="2"/>
    <n v="1"/>
    <s v="Life Sciences"/>
    <n v="1136"/>
    <n v="1"/>
    <s v="Male"/>
    <n v="67"/>
    <n v="2"/>
    <n v="1"/>
    <x v="1"/>
    <x v="1"/>
    <s v="Married"/>
    <n v="3201"/>
    <x v="0"/>
    <n v="19911"/>
    <n v="0"/>
    <x v="1"/>
    <n v="17"/>
    <n v="3"/>
    <n v="1"/>
    <n v="0"/>
    <n v="6"/>
    <n v="2"/>
    <n v="1"/>
    <n v="5"/>
    <x v="2"/>
    <n v="3"/>
    <n v="0"/>
    <n v="4"/>
  </r>
  <r>
    <n v="35"/>
    <x v="1"/>
    <s v="Travel_Frequently"/>
    <n v="1182"/>
    <x v="0"/>
    <n v="11"/>
    <n v="2"/>
    <s v="Marketing"/>
    <n v="1137"/>
    <n v="4"/>
    <s v="Male"/>
    <n v="54"/>
    <n v="3"/>
    <n v="2"/>
    <x v="0"/>
    <x v="0"/>
    <s v="Divorced"/>
    <n v="4968"/>
    <x v="0"/>
    <n v="18500"/>
    <n v="1"/>
    <x v="1"/>
    <n v="11"/>
    <n v="3"/>
    <n v="4"/>
    <n v="1"/>
    <n v="5"/>
    <n v="3"/>
    <n v="3"/>
    <n v="5"/>
    <x v="2"/>
    <n v="2"/>
    <n v="0"/>
    <n v="2"/>
  </r>
  <r>
    <n v="49"/>
    <x v="1"/>
    <s v="Travel_Rarely"/>
    <n v="174"/>
    <x v="0"/>
    <n v="8"/>
    <n v="4"/>
    <s v="Technical Degree"/>
    <n v="1138"/>
    <n v="4"/>
    <s v="Male"/>
    <n v="56"/>
    <n v="2"/>
    <n v="4"/>
    <x v="0"/>
    <x v="1"/>
    <s v="Married"/>
    <n v="13120"/>
    <x v="2"/>
    <n v="11879"/>
    <n v="6"/>
    <x v="1"/>
    <n v="17"/>
    <n v="3"/>
    <n v="2"/>
    <n v="1"/>
    <n v="22"/>
    <n v="3"/>
    <n v="3"/>
    <n v="9"/>
    <x v="0"/>
    <n v="8"/>
    <n v="2"/>
    <n v="3"/>
  </r>
  <r>
    <n v="34"/>
    <x v="1"/>
    <s v="Travel_Frequently"/>
    <n v="1003"/>
    <x v="1"/>
    <n v="2"/>
    <n v="2"/>
    <s v="Life Sciences"/>
    <n v="1140"/>
    <n v="4"/>
    <s v="Male"/>
    <n v="95"/>
    <n v="3"/>
    <n v="2"/>
    <x v="3"/>
    <x v="2"/>
    <s v="Single"/>
    <n v="4033"/>
    <x v="0"/>
    <n v="15834"/>
    <n v="2"/>
    <x v="1"/>
    <n v="11"/>
    <n v="3"/>
    <n v="4"/>
    <n v="0"/>
    <n v="5"/>
    <n v="3"/>
    <n v="2"/>
    <n v="3"/>
    <x v="2"/>
    <n v="2"/>
    <n v="0"/>
    <n v="2"/>
  </r>
  <r>
    <n v="29"/>
    <x v="1"/>
    <s v="Travel_Frequently"/>
    <n v="490"/>
    <x v="1"/>
    <n v="10"/>
    <n v="3"/>
    <s v="Life Sciences"/>
    <n v="1143"/>
    <n v="4"/>
    <s v="Female"/>
    <n v="61"/>
    <n v="3"/>
    <n v="1"/>
    <x v="1"/>
    <x v="1"/>
    <s v="Divorced"/>
    <n v="3291"/>
    <x v="0"/>
    <n v="17940"/>
    <n v="0"/>
    <x v="1"/>
    <n v="14"/>
    <n v="3"/>
    <n v="4"/>
    <n v="2"/>
    <n v="8"/>
    <n v="2"/>
    <n v="2"/>
    <n v="7"/>
    <x v="0"/>
    <n v="5"/>
    <n v="1"/>
    <n v="1"/>
  </r>
  <r>
    <n v="42"/>
    <x v="1"/>
    <s v="Travel_Rarely"/>
    <n v="188"/>
    <x v="1"/>
    <n v="29"/>
    <n v="3"/>
    <s v="Medical"/>
    <n v="1148"/>
    <n v="2"/>
    <s v="Male"/>
    <n v="56"/>
    <n v="1"/>
    <n v="2"/>
    <x v="2"/>
    <x v="0"/>
    <s v="Single"/>
    <n v="4272"/>
    <x v="0"/>
    <n v="9558"/>
    <n v="4"/>
    <x v="1"/>
    <n v="19"/>
    <n v="3"/>
    <n v="1"/>
    <n v="0"/>
    <n v="16"/>
    <n v="3"/>
    <n v="3"/>
    <n v="1"/>
    <x v="1"/>
    <n v="0"/>
    <n v="0"/>
    <n v="0"/>
  </r>
  <r>
    <n v="29"/>
    <x v="1"/>
    <s v="Travel_Rarely"/>
    <n v="718"/>
    <x v="1"/>
    <n v="8"/>
    <n v="1"/>
    <s v="Medical"/>
    <n v="1150"/>
    <n v="2"/>
    <s v="Male"/>
    <n v="79"/>
    <n v="2"/>
    <n v="2"/>
    <x v="3"/>
    <x v="0"/>
    <s v="Married"/>
    <n v="5056"/>
    <x v="0"/>
    <n v="17689"/>
    <n v="1"/>
    <x v="0"/>
    <n v="15"/>
    <n v="3"/>
    <n v="3"/>
    <n v="1"/>
    <n v="10"/>
    <n v="2"/>
    <n v="2"/>
    <n v="10"/>
    <x v="0"/>
    <n v="7"/>
    <n v="1"/>
    <n v="2"/>
  </r>
  <r>
    <n v="38"/>
    <x v="1"/>
    <s v="Travel_Rarely"/>
    <n v="433"/>
    <x v="2"/>
    <n v="1"/>
    <n v="3"/>
    <s v="Human Resources"/>
    <n v="1152"/>
    <n v="3"/>
    <s v="Male"/>
    <n v="37"/>
    <n v="4"/>
    <n v="1"/>
    <x v="8"/>
    <x v="2"/>
    <s v="Married"/>
    <n v="2844"/>
    <x v="1"/>
    <n v="6004"/>
    <n v="1"/>
    <x v="1"/>
    <n v="13"/>
    <n v="3"/>
    <n v="4"/>
    <n v="1"/>
    <n v="7"/>
    <n v="2"/>
    <n v="4"/>
    <n v="7"/>
    <x v="0"/>
    <n v="6"/>
    <n v="5"/>
    <n v="0"/>
  </r>
  <r>
    <n v="28"/>
    <x v="1"/>
    <s v="Travel_Frequently"/>
    <n v="773"/>
    <x v="1"/>
    <n v="6"/>
    <n v="3"/>
    <s v="Life Sciences"/>
    <n v="1154"/>
    <n v="3"/>
    <s v="Male"/>
    <n v="39"/>
    <n v="2"/>
    <n v="1"/>
    <x v="1"/>
    <x v="2"/>
    <s v="Divorced"/>
    <n v="2703"/>
    <x v="1"/>
    <n v="22088"/>
    <n v="1"/>
    <x v="0"/>
    <n v="14"/>
    <n v="3"/>
    <n v="4"/>
    <n v="1"/>
    <n v="3"/>
    <n v="2"/>
    <n v="3"/>
    <n v="3"/>
    <x v="2"/>
    <n v="1"/>
    <n v="0"/>
    <n v="2"/>
  </r>
  <r>
    <n v="18"/>
    <x v="0"/>
    <s v="Non-Travel"/>
    <n v="247"/>
    <x v="1"/>
    <n v="8"/>
    <n v="1"/>
    <s v="Medical"/>
    <n v="1156"/>
    <n v="3"/>
    <s v="Male"/>
    <n v="80"/>
    <n v="3"/>
    <n v="1"/>
    <x v="2"/>
    <x v="2"/>
    <s v="Single"/>
    <n v="1904"/>
    <x v="1"/>
    <n v="13556"/>
    <n v="1"/>
    <x v="1"/>
    <n v="12"/>
    <n v="3"/>
    <n v="4"/>
    <n v="0"/>
    <n v="0"/>
    <n v="0"/>
    <n v="3"/>
    <n v="0"/>
    <x v="1"/>
    <n v="0"/>
    <n v="0"/>
    <n v="0"/>
  </r>
  <r>
    <n v="33"/>
    <x v="0"/>
    <s v="Travel_Rarely"/>
    <n v="603"/>
    <x v="0"/>
    <n v="9"/>
    <n v="4"/>
    <s v="Marketing"/>
    <n v="1157"/>
    <n v="1"/>
    <s v="Female"/>
    <n v="77"/>
    <n v="3"/>
    <n v="2"/>
    <x v="0"/>
    <x v="3"/>
    <s v="Single"/>
    <n v="8224"/>
    <x v="2"/>
    <n v="18385"/>
    <n v="0"/>
    <x v="0"/>
    <n v="17"/>
    <n v="3"/>
    <n v="1"/>
    <n v="0"/>
    <n v="6"/>
    <n v="3"/>
    <n v="3"/>
    <n v="5"/>
    <x v="2"/>
    <n v="2"/>
    <n v="0"/>
    <n v="3"/>
  </r>
  <r>
    <n v="41"/>
    <x v="1"/>
    <s v="Travel_Rarely"/>
    <n v="167"/>
    <x v="1"/>
    <n v="12"/>
    <n v="4"/>
    <s v="Life Sciences"/>
    <n v="1158"/>
    <n v="2"/>
    <s v="Male"/>
    <n v="46"/>
    <n v="3"/>
    <n v="1"/>
    <x v="2"/>
    <x v="0"/>
    <s v="Married"/>
    <n v="4766"/>
    <x v="0"/>
    <n v="9051"/>
    <n v="3"/>
    <x v="0"/>
    <n v="11"/>
    <n v="3"/>
    <n v="1"/>
    <n v="1"/>
    <n v="6"/>
    <n v="4"/>
    <n v="3"/>
    <n v="1"/>
    <x v="1"/>
    <n v="0"/>
    <n v="0"/>
    <n v="0"/>
  </r>
  <r>
    <n v="31"/>
    <x v="0"/>
    <s v="Travel_Frequently"/>
    <n v="874"/>
    <x v="1"/>
    <n v="15"/>
    <n v="3"/>
    <s v="Medical"/>
    <n v="1160"/>
    <n v="3"/>
    <s v="Male"/>
    <n v="72"/>
    <n v="3"/>
    <n v="1"/>
    <x v="2"/>
    <x v="2"/>
    <s v="Married"/>
    <n v="2610"/>
    <x v="1"/>
    <n v="6233"/>
    <n v="1"/>
    <x v="1"/>
    <n v="12"/>
    <n v="3"/>
    <n v="3"/>
    <n v="1"/>
    <n v="2"/>
    <n v="5"/>
    <n v="2"/>
    <n v="2"/>
    <x v="1"/>
    <n v="2"/>
    <n v="2"/>
    <n v="2"/>
  </r>
  <r>
    <n v="37"/>
    <x v="1"/>
    <s v="Travel_Rarely"/>
    <n v="367"/>
    <x v="1"/>
    <n v="25"/>
    <n v="2"/>
    <s v="Medical"/>
    <n v="1161"/>
    <n v="3"/>
    <s v="Female"/>
    <n v="52"/>
    <n v="2"/>
    <n v="2"/>
    <x v="4"/>
    <x v="0"/>
    <s v="Divorced"/>
    <n v="5731"/>
    <x v="0"/>
    <n v="17171"/>
    <n v="7"/>
    <x v="1"/>
    <n v="13"/>
    <n v="3"/>
    <n v="3"/>
    <n v="2"/>
    <n v="9"/>
    <n v="2"/>
    <n v="3"/>
    <n v="6"/>
    <x v="0"/>
    <n v="2"/>
    <n v="1"/>
    <n v="3"/>
  </r>
  <r>
    <n v="27"/>
    <x v="1"/>
    <s v="Travel_Rarely"/>
    <n v="199"/>
    <x v="1"/>
    <n v="6"/>
    <n v="3"/>
    <s v="Life Sciences"/>
    <n v="1162"/>
    <n v="4"/>
    <s v="Male"/>
    <n v="55"/>
    <n v="2"/>
    <n v="1"/>
    <x v="1"/>
    <x v="2"/>
    <s v="Married"/>
    <n v="2539"/>
    <x v="1"/>
    <n v="7950"/>
    <n v="1"/>
    <x v="1"/>
    <n v="13"/>
    <n v="3"/>
    <n v="3"/>
    <n v="1"/>
    <n v="4"/>
    <n v="0"/>
    <n v="3"/>
    <n v="4"/>
    <x v="2"/>
    <n v="2"/>
    <n v="2"/>
    <n v="2"/>
  </r>
  <r>
    <n v="34"/>
    <x v="1"/>
    <s v="Travel_Rarely"/>
    <n v="1400"/>
    <x v="0"/>
    <n v="9"/>
    <n v="1"/>
    <s v="Life Sciences"/>
    <n v="1163"/>
    <n v="2"/>
    <s v="Female"/>
    <n v="70"/>
    <n v="3"/>
    <n v="2"/>
    <x v="0"/>
    <x v="2"/>
    <s v="Married"/>
    <n v="5714"/>
    <x v="0"/>
    <n v="5829"/>
    <n v="1"/>
    <x v="1"/>
    <n v="20"/>
    <n v="4"/>
    <n v="1"/>
    <n v="0"/>
    <n v="6"/>
    <n v="3"/>
    <n v="2"/>
    <n v="6"/>
    <x v="0"/>
    <n v="5"/>
    <n v="1"/>
    <n v="3"/>
  </r>
  <r>
    <n v="35"/>
    <x v="1"/>
    <s v="Travel_Rarely"/>
    <n v="528"/>
    <x v="2"/>
    <n v="8"/>
    <n v="4"/>
    <s v="Technical Degree"/>
    <n v="1164"/>
    <n v="3"/>
    <s v="Male"/>
    <n v="100"/>
    <n v="3"/>
    <n v="1"/>
    <x v="8"/>
    <x v="2"/>
    <s v="Single"/>
    <n v="4323"/>
    <x v="0"/>
    <n v="7108"/>
    <n v="1"/>
    <x v="1"/>
    <n v="17"/>
    <n v="3"/>
    <n v="2"/>
    <n v="0"/>
    <n v="6"/>
    <n v="2"/>
    <n v="1"/>
    <n v="5"/>
    <x v="2"/>
    <n v="4"/>
    <n v="1"/>
    <n v="4"/>
  </r>
  <r>
    <n v="29"/>
    <x v="0"/>
    <s v="Travel_Rarely"/>
    <n v="408"/>
    <x v="0"/>
    <n v="23"/>
    <n v="1"/>
    <s v="Life Sciences"/>
    <n v="1165"/>
    <n v="4"/>
    <s v="Female"/>
    <n v="45"/>
    <n v="2"/>
    <n v="3"/>
    <x v="0"/>
    <x v="3"/>
    <s v="Married"/>
    <n v="7336"/>
    <x v="2"/>
    <n v="11162"/>
    <n v="1"/>
    <x v="1"/>
    <n v="13"/>
    <n v="3"/>
    <n v="1"/>
    <n v="1"/>
    <n v="11"/>
    <n v="3"/>
    <n v="1"/>
    <n v="11"/>
    <x v="3"/>
    <n v="8"/>
    <n v="3"/>
    <n v="10"/>
  </r>
  <r>
    <n v="40"/>
    <x v="1"/>
    <s v="Travel_Frequently"/>
    <n v="593"/>
    <x v="1"/>
    <n v="9"/>
    <n v="4"/>
    <s v="Medical"/>
    <n v="1166"/>
    <n v="2"/>
    <s v="Female"/>
    <n v="88"/>
    <n v="3"/>
    <n v="3"/>
    <x v="7"/>
    <x v="2"/>
    <s v="Single"/>
    <n v="13499"/>
    <x v="2"/>
    <n v="13782"/>
    <n v="9"/>
    <x v="1"/>
    <n v="17"/>
    <n v="3"/>
    <n v="3"/>
    <n v="0"/>
    <n v="20"/>
    <n v="3"/>
    <n v="2"/>
    <n v="18"/>
    <x v="3"/>
    <n v="7"/>
    <n v="2"/>
    <n v="13"/>
  </r>
  <r>
    <n v="42"/>
    <x v="0"/>
    <s v="Travel_Frequently"/>
    <n v="481"/>
    <x v="0"/>
    <n v="12"/>
    <n v="3"/>
    <s v="Life Sciences"/>
    <n v="1167"/>
    <n v="3"/>
    <s v="Male"/>
    <n v="44"/>
    <n v="3"/>
    <n v="4"/>
    <x v="0"/>
    <x v="3"/>
    <s v="Single"/>
    <n v="13758"/>
    <x v="2"/>
    <n v="2447"/>
    <n v="0"/>
    <x v="0"/>
    <n v="12"/>
    <n v="3"/>
    <n v="2"/>
    <n v="0"/>
    <n v="22"/>
    <n v="2"/>
    <n v="2"/>
    <n v="21"/>
    <x v="3"/>
    <n v="9"/>
    <n v="13"/>
    <n v="14"/>
  </r>
  <r>
    <n v="42"/>
    <x v="1"/>
    <s v="Travel_Rarely"/>
    <n v="647"/>
    <x v="0"/>
    <n v="4"/>
    <n v="4"/>
    <s v="Marketing"/>
    <n v="1171"/>
    <n v="2"/>
    <s v="Male"/>
    <n v="45"/>
    <n v="3"/>
    <n v="2"/>
    <x v="0"/>
    <x v="3"/>
    <s v="Single"/>
    <n v="5155"/>
    <x v="0"/>
    <n v="2253"/>
    <n v="7"/>
    <x v="1"/>
    <n v="13"/>
    <n v="3"/>
    <n v="4"/>
    <n v="0"/>
    <n v="9"/>
    <n v="3"/>
    <n v="4"/>
    <n v="6"/>
    <x v="0"/>
    <n v="4"/>
    <n v="1"/>
    <n v="5"/>
  </r>
  <r>
    <n v="35"/>
    <x v="1"/>
    <s v="Travel_Rarely"/>
    <n v="982"/>
    <x v="1"/>
    <n v="1"/>
    <n v="4"/>
    <s v="Medical"/>
    <n v="1172"/>
    <n v="4"/>
    <s v="Male"/>
    <n v="58"/>
    <n v="2"/>
    <n v="1"/>
    <x v="2"/>
    <x v="2"/>
    <s v="Married"/>
    <n v="2258"/>
    <x v="1"/>
    <n v="16340"/>
    <n v="6"/>
    <x v="1"/>
    <n v="12"/>
    <n v="3"/>
    <n v="2"/>
    <n v="1"/>
    <n v="10"/>
    <n v="2"/>
    <n v="3"/>
    <n v="8"/>
    <x v="0"/>
    <n v="0"/>
    <n v="1"/>
    <n v="7"/>
  </r>
  <r>
    <n v="24"/>
    <x v="1"/>
    <s v="Travel_Rarely"/>
    <n v="477"/>
    <x v="1"/>
    <n v="24"/>
    <n v="3"/>
    <s v="Medical"/>
    <n v="1173"/>
    <n v="4"/>
    <s v="Male"/>
    <n v="49"/>
    <n v="3"/>
    <n v="1"/>
    <x v="2"/>
    <x v="1"/>
    <s v="Single"/>
    <n v="3597"/>
    <x v="0"/>
    <n v="6409"/>
    <n v="8"/>
    <x v="1"/>
    <n v="22"/>
    <n v="4"/>
    <n v="4"/>
    <n v="0"/>
    <n v="6"/>
    <n v="2"/>
    <n v="3"/>
    <n v="4"/>
    <x v="2"/>
    <n v="3"/>
    <n v="1"/>
    <n v="2"/>
  </r>
  <r>
    <n v="28"/>
    <x v="0"/>
    <s v="Travel_Rarely"/>
    <n v="1485"/>
    <x v="1"/>
    <n v="12"/>
    <n v="1"/>
    <s v="Life Sciences"/>
    <n v="1175"/>
    <n v="3"/>
    <s v="Female"/>
    <n v="79"/>
    <n v="3"/>
    <n v="1"/>
    <x v="2"/>
    <x v="0"/>
    <s v="Married"/>
    <n v="2515"/>
    <x v="1"/>
    <n v="22955"/>
    <n v="1"/>
    <x v="0"/>
    <n v="11"/>
    <n v="3"/>
    <n v="4"/>
    <n v="0"/>
    <n v="1"/>
    <n v="4"/>
    <n v="2"/>
    <n v="1"/>
    <x v="1"/>
    <n v="1"/>
    <n v="0"/>
    <n v="0"/>
  </r>
  <r>
    <n v="26"/>
    <x v="1"/>
    <s v="Travel_Rarely"/>
    <n v="1384"/>
    <x v="1"/>
    <n v="3"/>
    <n v="4"/>
    <s v="Medical"/>
    <n v="1177"/>
    <n v="1"/>
    <s v="Male"/>
    <n v="82"/>
    <n v="4"/>
    <n v="1"/>
    <x v="2"/>
    <x v="0"/>
    <s v="Married"/>
    <n v="4420"/>
    <x v="0"/>
    <n v="13421"/>
    <n v="1"/>
    <x v="1"/>
    <n v="22"/>
    <n v="4"/>
    <n v="2"/>
    <n v="1"/>
    <n v="8"/>
    <n v="2"/>
    <n v="3"/>
    <n v="8"/>
    <x v="0"/>
    <n v="7"/>
    <n v="0"/>
    <n v="7"/>
  </r>
  <r>
    <n v="30"/>
    <x v="1"/>
    <s v="Travel_Rarely"/>
    <n v="852"/>
    <x v="0"/>
    <n v="10"/>
    <n v="3"/>
    <s v="Marketing"/>
    <n v="1179"/>
    <n v="3"/>
    <s v="Male"/>
    <n v="72"/>
    <n v="2"/>
    <n v="2"/>
    <x v="0"/>
    <x v="2"/>
    <s v="Married"/>
    <n v="6578"/>
    <x v="0"/>
    <n v="2706"/>
    <n v="1"/>
    <x v="1"/>
    <n v="18"/>
    <n v="3"/>
    <n v="1"/>
    <n v="1"/>
    <n v="10"/>
    <n v="3"/>
    <n v="3"/>
    <n v="10"/>
    <x v="0"/>
    <n v="3"/>
    <n v="1"/>
    <n v="4"/>
  </r>
  <r>
    <n v="40"/>
    <x v="1"/>
    <s v="Travel_Frequently"/>
    <n v="902"/>
    <x v="1"/>
    <n v="26"/>
    <n v="2"/>
    <s v="Medical"/>
    <n v="1180"/>
    <n v="3"/>
    <s v="Female"/>
    <n v="92"/>
    <n v="2"/>
    <n v="2"/>
    <x v="1"/>
    <x v="0"/>
    <s v="Married"/>
    <n v="4422"/>
    <x v="0"/>
    <n v="21203"/>
    <n v="3"/>
    <x v="0"/>
    <n v="13"/>
    <n v="3"/>
    <n v="4"/>
    <n v="1"/>
    <n v="16"/>
    <n v="3"/>
    <n v="1"/>
    <n v="1"/>
    <x v="1"/>
    <n v="1"/>
    <n v="0"/>
    <n v="0"/>
  </r>
  <r>
    <n v="35"/>
    <x v="1"/>
    <s v="Travel_Rarely"/>
    <n v="819"/>
    <x v="1"/>
    <n v="2"/>
    <n v="3"/>
    <s v="Life Sciences"/>
    <n v="1182"/>
    <n v="3"/>
    <s v="Male"/>
    <n v="44"/>
    <n v="2"/>
    <n v="3"/>
    <x v="3"/>
    <x v="1"/>
    <s v="Divorced"/>
    <n v="10274"/>
    <x v="2"/>
    <n v="19588"/>
    <n v="2"/>
    <x v="1"/>
    <n v="18"/>
    <n v="3"/>
    <n v="2"/>
    <n v="1"/>
    <n v="15"/>
    <n v="2"/>
    <n v="4"/>
    <n v="7"/>
    <x v="0"/>
    <n v="7"/>
    <n v="6"/>
    <n v="4"/>
  </r>
  <r>
    <n v="34"/>
    <x v="1"/>
    <s v="Travel_Frequently"/>
    <n v="669"/>
    <x v="1"/>
    <n v="1"/>
    <n v="3"/>
    <s v="Medical"/>
    <n v="1184"/>
    <n v="4"/>
    <s v="Male"/>
    <n v="97"/>
    <n v="2"/>
    <n v="2"/>
    <x v="4"/>
    <x v="3"/>
    <s v="Single"/>
    <n v="5343"/>
    <x v="0"/>
    <n v="25755"/>
    <n v="0"/>
    <x v="1"/>
    <n v="20"/>
    <n v="4"/>
    <n v="3"/>
    <n v="0"/>
    <n v="14"/>
    <n v="3"/>
    <n v="3"/>
    <n v="13"/>
    <x v="3"/>
    <n v="9"/>
    <n v="4"/>
    <n v="9"/>
  </r>
  <r>
    <n v="35"/>
    <x v="1"/>
    <s v="Travel_Frequently"/>
    <n v="636"/>
    <x v="1"/>
    <n v="4"/>
    <n v="4"/>
    <s v="Other"/>
    <n v="1185"/>
    <n v="4"/>
    <s v="Male"/>
    <n v="47"/>
    <n v="2"/>
    <n v="1"/>
    <x v="2"/>
    <x v="0"/>
    <s v="Married"/>
    <n v="2376"/>
    <x v="1"/>
    <n v="26537"/>
    <n v="1"/>
    <x v="1"/>
    <n v="13"/>
    <n v="3"/>
    <n v="2"/>
    <n v="1"/>
    <n v="2"/>
    <n v="2"/>
    <n v="4"/>
    <n v="2"/>
    <x v="1"/>
    <n v="2"/>
    <n v="2"/>
    <n v="2"/>
  </r>
  <r>
    <n v="43"/>
    <x v="0"/>
    <s v="Travel_Rarely"/>
    <n v="1372"/>
    <x v="0"/>
    <n v="9"/>
    <n v="3"/>
    <s v="Marketing"/>
    <n v="1188"/>
    <n v="1"/>
    <s v="Female"/>
    <n v="85"/>
    <n v="1"/>
    <n v="2"/>
    <x v="0"/>
    <x v="2"/>
    <s v="Single"/>
    <n v="5346"/>
    <x v="0"/>
    <n v="9489"/>
    <n v="8"/>
    <x v="1"/>
    <n v="13"/>
    <n v="3"/>
    <n v="2"/>
    <n v="0"/>
    <n v="7"/>
    <n v="2"/>
    <n v="2"/>
    <n v="4"/>
    <x v="2"/>
    <n v="3"/>
    <n v="1"/>
    <n v="3"/>
  </r>
  <r>
    <n v="32"/>
    <x v="1"/>
    <s v="Non-Travel"/>
    <n v="862"/>
    <x v="0"/>
    <n v="2"/>
    <n v="1"/>
    <s v="Life Sciences"/>
    <n v="1190"/>
    <n v="3"/>
    <s v="Female"/>
    <n v="76"/>
    <n v="3"/>
    <n v="1"/>
    <x v="6"/>
    <x v="3"/>
    <s v="Divorced"/>
    <n v="2827"/>
    <x v="1"/>
    <n v="14947"/>
    <n v="1"/>
    <x v="1"/>
    <n v="12"/>
    <n v="3"/>
    <n v="3"/>
    <n v="3"/>
    <n v="1"/>
    <n v="3"/>
    <n v="3"/>
    <n v="1"/>
    <x v="1"/>
    <n v="0"/>
    <n v="0"/>
    <n v="0"/>
  </r>
  <r>
    <n v="56"/>
    <x v="1"/>
    <s v="Travel_Rarely"/>
    <n v="718"/>
    <x v="1"/>
    <n v="4"/>
    <n v="4"/>
    <s v="Technical Degree"/>
    <n v="1191"/>
    <n v="4"/>
    <s v="Female"/>
    <n v="92"/>
    <n v="3"/>
    <n v="5"/>
    <x v="5"/>
    <x v="3"/>
    <s v="Divorced"/>
    <n v="19943"/>
    <x v="2"/>
    <n v="18575"/>
    <n v="4"/>
    <x v="1"/>
    <n v="13"/>
    <n v="3"/>
    <n v="4"/>
    <n v="1"/>
    <n v="28"/>
    <n v="2"/>
    <n v="3"/>
    <n v="5"/>
    <x v="2"/>
    <n v="2"/>
    <n v="4"/>
    <n v="2"/>
  </r>
  <r>
    <n v="29"/>
    <x v="1"/>
    <s v="Travel_Rarely"/>
    <n v="1401"/>
    <x v="1"/>
    <n v="6"/>
    <n v="1"/>
    <s v="Medical"/>
    <n v="1192"/>
    <n v="2"/>
    <s v="Female"/>
    <n v="54"/>
    <n v="3"/>
    <n v="1"/>
    <x v="2"/>
    <x v="0"/>
    <s v="Married"/>
    <n v="3131"/>
    <x v="0"/>
    <n v="26342"/>
    <n v="1"/>
    <x v="1"/>
    <n v="13"/>
    <n v="3"/>
    <n v="1"/>
    <n v="1"/>
    <n v="10"/>
    <n v="5"/>
    <n v="3"/>
    <n v="10"/>
    <x v="0"/>
    <n v="8"/>
    <n v="0"/>
    <n v="8"/>
  </r>
  <r>
    <n v="19"/>
    <x v="1"/>
    <s v="Travel_Rarely"/>
    <n v="645"/>
    <x v="1"/>
    <n v="9"/>
    <n v="2"/>
    <s v="Life Sciences"/>
    <n v="1193"/>
    <n v="3"/>
    <s v="Male"/>
    <n v="54"/>
    <n v="3"/>
    <n v="1"/>
    <x v="1"/>
    <x v="3"/>
    <s v="Single"/>
    <n v="2552"/>
    <x v="1"/>
    <n v="7172"/>
    <n v="1"/>
    <x v="1"/>
    <n v="25"/>
    <n v="4"/>
    <n v="3"/>
    <n v="0"/>
    <n v="1"/>
    <n v="4"/>
    <n v="3"/>
    <n v="1"/>
    <x v="1"/>
    <n v="1"/>
    <n v="0"/>
    <n v="0"/>
  </r>
  <r>
    <n v="45"/>
    <x v="1"/>
    <s v="Travel_Rarely"/>
    <n v="1457"/>
    <x v="1"/>
    <n v="7"/>
    <n v="3"/>
    <s v="Medical"/>
    <n v="1195"/>
    <n v="1"/>
    <s v="Female"/>
    <n v="83"/>
    <n v="3"/>
    <n v="1"/>
    <x v="1"/>
    <x v="2"/>
    <s v="Married"/>
    <n v="4477"/>
    <x v="0"/>
    <n v="20100"/>
    <n v="4"/>
    <x v="0"/>
    <n v="19"/>
    <n v="3"/>
    <n v="3"/>
    <n v="1"/>
    <n v="7"/>
    <n v="2"/>
    <n v="2"/>
    <n v="3"/>
    <x v="2"/>
    <n v="2"/>
    <n v="0"/>
    <n v="2"/>
  </r>
  <r>
    <n v="37"/>
    <x v="1"/>
    <s v="Travel_Rarely"/>
    <n v="977"/>
    <x v="1"/>
    <n v="1"/>
    <n v="3"/>
    <s v="Life Sciences"/>
    <n v="1196"/>
    <n v="4"/>
    <s v="Female"/>
    <n v="56"/>
    <n v="2"/>
    <n v="2"/>
    <x v="3"/>
    <x v="0"/>
    <s v="Married"/>
    <n v="6474"/>
    <x v="0"/>
    <n v="9961"/>
    <n v="1"/>
    <x v="1"/>
    <n v="13"/>
    <n v="3"/>
    <n v="2"/>
    <n v="1"/>
    <n v="14"/>
    <n v="2"/>
    <n v="2"/>
    <n v="14"/>
    <x v="3"/>
    <n v="8"/>
    <n v="3"/>
    <n v="11"/>
  </r>
  <r>
    <n v="20"/>
    <x v="1"/>
    <s v="Travel_Rarely"/>
    <n v="805"/>
    <x v="1"/>
    <n v="3"/>
    <n v="3"/>
    <s v="Life Sciences"/>
    <n v="1198"/>
    <n v="1"/>
    <s v="Male"/>
    <n v="87"/>
    <n v="2"/>
    <n v="1"/>
    <x v="2"/>
    <x v="2"/>
    <s v="Single"/>
    <n v="3033"/>
    <x v="0"/>
    <n v="12828"/>
    <n v="1"/>
    <x v="1"/>
    <n v="12"/>
    <n v="3"/>
    <n v="1"/>
    <n v="0"/>
    <n v="2"/>
    <n v="2"/>
    <n v="2"/>
    <n v="2"/>
    <x v="1"/>
    <n v="2"/>
    <n v="1"/>
    <n v="2"/>
  </r>
  <r>
    <n v="44"/>
    <x v="0"/>
    <s v="Travel_Rarely"/>
    <n v="1097"/>
    <x v="1"/>
    <n v="10"/>
    <n v="4"/>
    <s v="Life Sciences"/>
    <n v="1200"/>
    <n v="3"/>
    <s v="Male"/>
    <n v="96"/>
    <n v="3"/>
    <n v="1"/>
    <x v="1"/>
    <x v="2"/>
    <s v="Single"/>
    <n v="2936"/>
    <x v="1"/>
    <n v="10826"/>
    <n v="1"/>
    <x v="0"/>
    <n v="11"/>
    <n v="3"/>
    <n v="3"/>
    <n v="0"/>
    <n v="6"/>
    <n v="4"/>
    <n v="3"/>
    <n v="6"/>
    <x v="0"/>
    <n v="4"/>
    <n v="0"/>
    <n v="2"/>
  </r>
  <r>
    <n v="53"/>
    <x v="1"/>
    <s v="Travel_Rarely"/>
    <n v="1223"/>
    <x v="1"/>
    <n v="7"/>
    <n v="2"/>
    <s v="Medical"/>
    <n v="1201"/>
    <n v="4"/>
    <s v="Female"/>
    <n v="50"/>
    <n v="3"/>
    <n v="5"/>
    <x v="5"/>
    <x v="2"/>
    <s v="Divorced"/>
    <n v="18606"/>
    <x v="2"/>
    <n v="18640"/>
    <n v="3"/>
    <x v="1"/>
    <n v="18"/>
    <n v="3"/>
    <n v="2"/>
    <n v="1"/>
    <n v="26"/>
    <n v="6"/>
    <n v="3"/>
    <n v="7"/>
    <x v="0"/>
    <n v="7"/>
    <n v="4"/>
    <n v="7"/>
  </r>
  <r>
    <n v="29"/>
    <x v="1"/>
    <s v="Travel_Rarely"/>
    <n v="942"/>
    <x v="1"/>
    <n v="15"/>
    <n v="1"/>
    <s v="Life Sciences"/>
    <n v="1202"/>
    <n v="2"/>
    <s v="Female"/>
    <n v="69"/>
    <n v="1"/>
    <n v="1"/>
    <x v="1"/>
    <x v="0"/>
    <s v="Married"/>
    <n v="2168"/>
    <x v="1"/>
    <n v="26933"/>
    <n v="0"/>
    <x v="0"/>
    <n v="18"/>
    <n v="3"/>
    <n v="1"/>
    <n v="1"/>
    <n v="6"/>
    <n v="2"/>
    <n v="2"/>
    <n v="5"/>
    <x v="2"/>
    <n v="4"/>
    <n v="1"/>
    <n v="3"/>
  </r>
  <r>
    <n v="22"/>
    <x v="0"/>
    <s v="Travel_Frequently"/>
    <n v="1256"/>
    <x v="1"/>
    <n v="3"/>
    <n v="4"/>
    <s v="Life Sciences"/>
    <n v="1203"/>
    <n v="3"/>
    <s v="Male"/>
    <n v="48"/>
    <n v="2"/>
    <n v="1"/>
    <x v="1"/>
    <x v="0"/>
    <s v="Married"/>
    <n v="2853"/>
    <x v="1"/>
    <n v="4223"/>
    <n v="0"/>
    <x v="0"/>
    <n v="11"/>
    <n v="3"/>
    <n v="2"/>
    <n v="1"/>
    <n v="1"/>
    <n v="5"/>
    <n v="3"/>
    <n v="0"/>
    <x v="1"/>
    <n v="0"/>
    <n v="0"/>
    <n v="0"/>
  </r>
  <r>
    <n v="46"/>
    <x v="1"/>
    <s v="Travel_Rarely"/>
    <n v="1402"/>
    <x v="0"/>
    <n v="2"/>
    <n v="3"/>
    <s v="Marketing"/>
    <n v="1204"/>
    <n v="3"/>
    <s v="Female"/>
    <n v="69"/>
    <n v="3"/>
    <n v="4"/>
    <x v="5"/>
    <x v="3"/>
    <s v="Married"/>
    <n v="17048"/>
    <x v="2"/>
    <n v="24097"/>
    <n v="8"/>
    <x v="1"/>
    <n v="23"/>
    <n v="4"/>
    <n v="1"/>
    <n v="0"/>
    <n v="28"/>
    <n v="2"/>
    <n v="3"/>
    <n v="26"/>
    <x v="3"/>
    <n v="15"/>
    <n v="15"/>
    <n v="9"/>
  </r>
  <r>
    <n v="44"/>
    <x v="1"/>
    <s v="Non-Travel"/>
    <n v="111"/>
    <x v="1"/>
    <n v="17"/>
    <n v="3"/>
    <s v="Life Sciences"/>
    <n v="1206"/>
    <n v="4"/>
    <s v="Male"/>
    <n v="74"/>
    <n v="1"/>
    <n v="1"/>
    <x v="1"/>
    <x v="2"/>
    <s v="Single"/>
    <n v="2290"/>
    <x v="1"/>
    <n v="4279"/>
    <n v="2"/>
    <x v="1"/>
    <n v="13"/>
    <n v="3"/>
    <n v="4"/>
    <n v="0"/>
    <n v="6"/>
    <n v="3"/>
    <n v="3"/>
    <n v="0"/>
    <x v="1"/>
    <n v="0"/>
    <n v="0"/>
    <n v="0"/>
  </r>
  <r>
    <n v="33"/>
    <x v="1"/>
    <s v="Travel_Rarely"/>
    <n v="147"/>
    <x v="2"/>
    <n v="2"/>
    <n v="3"/>
    <s v="Human Resources"/>
    <n v="1207"/>
    <n v="2"/>
    <s v="Male"/>
    <n v="99"/>
    <n v="3"/>
    <n v="1"/>
    <x v="8"/>
    <x v="2"/>
    <s v="Married"/>
    <n v="3600"/>
    <x v="0"/>
    <n v="8429"/>
    <n v="1"/>
    <x v="1"/>
    <n v="13"/>
    <n v="3"/>
    <n v="4"/>
    <n v="1"/>
    <n v="5"/>
    <n v="2"/>
    <n v="3"/>
    <n v="5"/>
    <x v="2"/>
    <n v="4"/>
    <n v="1"/>
    <n v="4"/>
  </r>
  <r>
    <n v="41"/>
    <x v="0"/>
    <s v="Non-Travel"/>
    <n v="906"/>
    <x v="1"/>
    <n v="5"/>
    <n v="2"/>
    <s v="Life Sciences"/>
    <n v="1210"/>
    <n v="1"/>
    <s v="Male"/>
    <n v="95"/>
    <n v="2"/>
    <n v="1"/>
    <x v="1"/>
    <x v="3"/>
    <s v="Divorced"/>
    <n v="2107"/>
    <x v="1"/>
    <n v="20293"/>
    <n v="6"/>
    <x v="1"/>
    <n v="17"/>
    <n v="3"/>
    <n v="1"/>
    <n v="1"/>
    <n v="5"/>
    <n v="2"/>
    <n v="1"/>
    <n v="1"/>
    <x v="1"/>
    <n v="0"/>
    <n v="0"/>
    <n v="0"/>
  </r>
  <r>
    <n v="30"/>
    <x v="1"/>
    <s v="Travel_Rarely"/>
    <n v="1329"/>
    <x v="0"/>
    <n v="29"/>
    <n v="4"/>
    <s v="Life Sciences"/>
    <n v="1211"/>
    <n v="3"/>
    <s v="Male"/>
    <n v="61"/>
    <n v="3"/>
    <n v="2"/>
    <x v="0"/>
    <x v="3"/>
    <s v="Divorced"/>
    <n v="4115"/>
    <x v="0"/>
    <n v="13192"/>
    <n v="8"/>
    <x v="1"/>
    <n v="19"/>
    <n v="3"/>
    <n v="3"/>
    <n v="3"/>
    <n v="8"/>
    <n v="3"/>
    <n v="3"/>
    <n v="4"/>
    <x v="2"/>
    <n v="3"/>
    <n v="0"/>
    <n v="3"/>
  </r>
  <r>
    <n v="40"/>
    <x v="1"/>
    <s v="Travel_Frequently"/>
    <n v="1184"/>
    <x v="0"/>
    <n v="2"/>
    <n v="4"/>
    <s v="Medical"/>
    <n v="1212"/>
    <n v="2"/>
    <s v="Male"/>
    <n v="62"/>
    <n v="3"/>
    <n v="2"/>
    <x v="0"/>
    <x v="1"/>
    <s v="Married"/>
    <n v="4327"/>
    <x v="0"/>
    <n v="25440"/>
    <n v="5"/>
    <x v="1"/>
    <n v="12"/>
    <n v="3"/>
    <n v="4"/>
    <n v="3"/>
    <n v="5"/>
    <n v="2"/>
    <n v="3"/>
    <n v="0"/>
    <x v="1"/>
    <n v="0"/>
    <n v="0"/>
    <n v="0"/>
  </r>
  <r>
    <n v="50"/>
    <x v="1"/>
    <s v="Travel_Frequently"/>
    <n v="1421"/>
    <x v="1"/>
    <n v="2"/>
    <n v="3"/>
    <s v="Medical"/>
    <n v="1215"/>
    <n v="4"/>
    <s v="Female"/>
    <n v="30"/>
    <n v="3"/>
    <n v="4"/>
    <x v="5"/>
    <x v="3"/>
    <s v="Married"/>
    <n v="17856"/>
    <x v="2"/>
    <n v="9490"/>
    <n v="2"/>
    <x v="1"/>
    <n v="22"/>
    <n v="4"/>
    <n v="3"/>
    <n v="1"/>
    <n v="32"/>
    <n v="3"/>
    <n v="3"/>
    <n v="2"/>
    <x v="1"/>
    <n v="2"/>
    <n v="2"/>
    <n v="2"/>
  </r>
  <r>
    <n v="28"/>
    <x v="1"/>
    <s v="Travel_Rarely"/>
    <n v="1179"/>
    <x v="1"/>
    <n v="19"/>
    <n v="4"/>
    <s v="Medical"/>
    <n v="1216"/>
    <n v="4"/>
    <s v="Male"/>
    <n v="78"/>
    <n v="2"/>
    <n v="1"/>
    <x v="2"/>
    <x v="3"/>
    <s v="Married"/>
    <n v="3196"/>
    <x v="0"/>
    <n v="12449"/>
    <n v="1"/>
    <x v="1"/>
    <n v="12"/>
    <n v="3"/>
    <n v="3"/>
    <n v="3"/>
    <n v="6"/>
    <n v="2"/>
    <n v="3"/>
    <n v="6"/>
    <x v="0"/>
    <n v="5"/>
    <n v="3"/>
    <n v="3"/>
  </r>
  <r>
    <n v="46"/>
    <x v="1"/>
    <s v="Travel_Rarely"/>
    <n v="1450"/>
    <x v="1"/>
    <n v="15"/>
    <n v="2"/>
    <s v="Life Sciences"/>
    <n v="1217"/>
    <n v="4"/>
    <s v="Male"/>
    <n v="52"/>
    <n v="3"/>
    <n v="5"/>
    <x v="7"/>
    <x v="1"/>
    <s v="Married"/>
    <n v="19081"/>
    <x v="2"/>
    <n v="10849"/>
    <n v="5"/>
    <x v="1"/>
    <n v="11"/>
    <n v="3"/>
    <n v="1"/>
    <n v="1"/>
    <n v="25"/>
    <n v="2"/>
    <n v="3"/>
    <n v="4"/>
    <x v="2"/>
    <n v="2"/>
    <n v="0"/>
    <n v="3"/>
  </r>
  <r>
    <n v="35"/>
    <x v="1"/>
    <s v="Travel_Rarely"/>
    <n v="1361"/>
    <x v="0"/>
    <n v="17"/>
    <n v="4"/>
    <s v="Life Sciences"/>
    <n v="1218"/>
    <n v="3"/>
    <s v="Male"/>
    <n v="94"/>
    <n v="3"/>
    <n v="2"/>
    <x v="0"/>
    <x v="3"/>
    <s v="Married"/>
    <n v="8966"/>
    <x v="2"/>
    <n v="21026"/>
    <n v="3"/>
    <x v="0"/>
    <n v="15"/>
    <n v="3"/>
    <n v="4"/>
    <n v="3"/>
    <n v="15"/>
    <n v="2"/>
    <n v="3"/>
    <n v="7"/>
    <x v="0"/>
    <n v="7"/>
    <n v="1"/>
    <n v="7"/>
  </r>
  <r>
    <n v="24"/>
    <x v="0"/>
    <s v="Travel_Rarely"/>
    <n v="984"/>
    <x v="1"/>
    <n v="17"/>
    <n v="2"/>
    <s v="Life Sciences"/>
    <n v="1219"/>
    <n v="4"/>
    <s v="Female"/>
    <n v="97"/>
    <n v="3"/>
    <n v="1"/>
    <x v="2"/>
    <x v="1"/>
    <s v="Married"/>
    <n v="2210"/>
    <x v="1"/>
    <n v="3372"/>
    <n v="1"/>
    <x v="1"/>
    <n v="13"/>
    <n v="3"/>
    <n v="1"/>
    <n v="1"/>
    <n v="1"/>
    <n v="3"/>
    <n v="1"/>
    <n v="1"/>
    <x v="1"/>
    <n v="0"/>
    <n v="0"/>
    <n v="0"/>
  </r>
  <r>
    <n v="33"/>
    <x v="1"/>
    <s v="Travel_Frequently"/>
    <n v="1146"/>
    <x v="0"/>
    <n v="25"/>
    <n v="3"/>
    <s v="Medical"/>
    <n v="1220"/>
    <n v="2"/>
    <s v="Female"/>
    <n v="82"/>
    <n v="3"/>
    <n v="2"/>
    <x v="0"/>
    <x v="2"/>
    <s v="Married"/>
    <n v="4539"/>
    <x v="0"/>
    <n v="4905"/>
    <n v="1"/>
    <x v="1"/>
    <n v="12"/>
    <n v="3"/>
    <n v="1"/>
    <n v="1"/>
    <n v="10"/>
    <n v="3"/>
    <n v="2"/>
    <n v="10"/>
    <x v="0"/>
    <n v="7"/>
    <n v="0"/>
    <n v="1"/>
  </r>
  <r>
    <n v="36"/>
    <x v="1"/>
    <s v="Travel_Rarely"/>
    <n v="917"/>
    <x v="1"/>
    <n v="6"/>
    <n v="4"/>
    <s v="Life Sciences"/>
    <n v="1221"/>
    <n v="3"/>
    <s v="Male"/>
    <n v="60"/>
    <n v="1"/>
    <n v="1"/>
    <x v="2"/>
    <x v="2"/>
    <s v="Divorced"/>
    <n v="2741"/>
    <x v="1"/>
    <n v="6865"/>
    <n v="1"/>
    <x v="1"/>
    <n v="14"/>
    <n v="3"/>
    <n v="3"/>
    <n v="1"/>
    <n v="7"/>
    <n v="4"/>
    <n v="3"/>
    <n v="7"/>
    <x v="0"/>
    <n v="7"/>
    <n v="1"/>
    <n v="7"/>
  </r>
  <r>
    <n v="30"/>
    <x v="1"/>
    <s v="Travel_Rarely"/>
    <n v="853"/>
    <x v="1"/>
    <n v="7"/>
    <n v="4"/>
    <s v="Life Sciences"/>
    <n v="1224"/>
    <n v="3"/>
    <s v="Male"/>
    <n v="49"/>
    <n v="3"/>
    <n v="2"/>
    <x v="2"/>
    <x v="2"/>
    <s v="Divorced"/>
    <n v="3491"/>
    <x v="0"/>
    <n v="11309"/>
    <n v="1"/>
    <x v="1"/>
    <n v="13"/>
    <n v="3"/>
    <n v="1"/>
    <n v="3"/>
    <n v="10"/>
    <n v="4"/>
    <n v="2"/>
    <n v="10"/>
    <x v="0"/>
    <n v="7"/>
    <n v="8"/>
    <n v="9"/>
  </r>
  <r>
    <n v="44"/>
    <x v="1"/>
    <s v="Travel_Rarely"/>
    <n v="200"/>
    <x v="1"/>
    <n v="29"/>
    <n v="4"/>
    <s v="Other"/>
    <n v="1225"/>
    <n v="4"/>
    <s v="Male"/>
    <n v="32"/>
    <n v="3"/>
    <n v="2"/>
    <x v="1"/>
    <x v="0"/>
    <s v="Single"/>
    <n v="4541"/>
    <x v="0"/>
    <n v="7744"/>
    <n v="1"/>
    <x v="1"/>
    <n v="25"/>
    <n v="4"/>
    <n v="2"/>
    <n v="0"/>
    <n v="20"/>
    <n v="3"/>
    <n v="3"/>
    <n v="20"/>
    <x v="3"/>
    <n v="11"/>
    <n v="13"/>
    <n v="17"/>
  </r>
  <r>
    <n v="20"/>
    <x v="1"/>
    <s v="Travel_Rarely"/>
    <n v="654"/>
    <x v="0"/>
    <n v="21"/>
    <n v="3"/>
    <s v="Marketing"/>
    <n v="1226"/>
    <n v="3"/>
    <s v="Male"/>
    <n v="43"/>
    <n v="4"/>
    <n v="1"/>
    <x v="6"/>
    <x v="0"/>
    <s v="Single"/>
    <n v="2678"/>
    <x v="1"/>
    <n v="5050"/>
    <n v="1"/>
    <x v="1"/>
    <n v="17"/>
    <n v="3"/>
    <n v="4"/>
    <n v="0"/>
    <n v="2"/>
    <n v="2"/>
    <n v="3"/>
    <n v="2"/>
    <x v="1"/>
    <n v="1"/>
    <n v="2"/>
    <n v="2"/>
  </r>
  <r>
    <n v="46"/>
    <x v="1"/>
    <s v="Travel_Rarely"/>
    <n v="150"/>
    <x v="1"/>
    <n v="2"/>
    <n v="4"/>
    <s v="Technical Degree"/>
    <n v="1228"/>
    <n v="4"/>
    <s v="Male"/>
    <n v="60"/>
    <n v="3"/>
    <n v="2"/>
    <x v="3"/>
    <x v="0"/>
    <s v="Divorced"/>
    <n v="7379"/>
    <x v="2"/>
    <n v="17433"/>
    <n v="2"/>
    <x v="1"/>
    <n v="11"/>
    <n v="3"/>
    <n v="3"/>
    <n v="1"/>
    <n v="12"/>
    <n v="3"/>
    <n v="2"/>
    <n v="6"/>
    <x v="0"/>
    <n v="3"/>
    <n v="1"/>
    <n v="4"/>
  </r>
  <r>
    <n v="42"/>
    <x v="1"/>
    <s v="Non-Travel"/>
    <n v="179"/>
    <x v="2"/>
    <n v="2"/>
    <n v="5"/>
    <s v="Medical"/>
    <n v="1231"/>
    <n v="4"/>
    <s v="Male"/>
    <n v="79"/>
    <n v="4"/>
    <n v="2"/>
    <x v="8"/>
    <x v="3"/>
    <s v="Married"/>
    <n v="6272"/>
    <x v="0"/>
    <n v="12858"/>
    <n v="7"/>
    <x v="1"/>
    <n v="16"/>
    <n v="3"/>
    <n v="1"/>
    <n v="1"/>
    <n v="10"/>
    <n v="3"/>
    <n v="4"/>
    <n v="4"/>
    <x v="2"/>
    <n v="3"/>
    <n v="0"/>
    <n v="3"/>
  </r>
  <r>
    <n v="60"/>
    <x v="1"/>
    <s v="Travel_Rarely"/>
    <n v="696"/>
    <x v="0"/>
    <n v="7"/>
    <n v="4"/>
    <s v="Marketing"/>
    <n v="1233"/>
    <n v="2"/>
    <s v="Male"/>
    <n v="52"/>
    <n v="4"/>
    <n v="2"/>
    <x v="0"/>
    <x v="0"/>
    <s v="Divorced"/>
    <n v="5220"/>
    <x v="0"/>
    <n v="10893"/>
    <n v="0"/>
    <x v="0"/>
    <n v="18"/>
    <n v="3"/>
    <n v="2"/>
    <n v="1"/>
    <n v="12"/>
    <n v="3"/>
    <n v="3"/>
    <n v="11"/>
    <x v="3"/>
    <n v="7"/>
    <n v="1"/>
    <n v="9"/>
  </r>
  <r>
    <n v="32"/>
    <x v="1"/>
    <s v="Travel_Frequently"/>
    <n v="116"/>
    <x v="1"/>
    <n v="13"/>
    <n v="3"/>
    <s v="Other"/>
    <n v="1234"/>
    <n v="3"/>
    <s v="Female"/>
    <n v="77"/>
    <n v="2"/>
    <n v="1"/>
    <x v="2"/>
    <x v="1"/>
    <s v="Married"/>
    <n v="2743"/>
    <x v="1"/>
    <n v="7331"/>
    <n v="1"/>
    <x v="1"/>
    <n v="20"/>
    <n v="4"/>
    <n v="3"/>
    <n v="1"/>
    <n v="2"/>
    <n v="2"/>
    <n v="3"/>
    <n v="2"/>
    <x v="1"/>
    <n v="2"/>
    <n v="2"/>
    <n v="2"/>
  </r>
  <r>
    <n v="32"/>
    <x v="1"/>
    <s v="Travel_Frequently"/>
    <n v="1316"/>
    <x v="1"/>
    <n v="2"/>
    <n v="2"/>
    <s v="Life Sciences"/>
    <n v="1235"/>
    <n v="4"/>
    <s v="Female"/>
    <n v="38"/>
    <n v="3"/>
    <n v="2"/>
    <x v="1"/>
    <x v="2"/>
    <s v="Single"/>
    <n v="4998"/>
    <x v="0"/>
    <n v="2338"/>
    <n v="4"/>
    <x v="0"/>
    <n v="14"/>
    <n v="3"/>
    <n v="4"/>
    <n v="0"/>
    <n v="10"/>
    <n v="2"/>
    <n v="3"/>
    <n v="8"/>
    <x v="0"/>
    <n v="7"/>
    <n v="0"/>
    <n v="7"/>
  </r>
  <r>
    <n v="36"/>
    <x v="1"/>
    <s v="Travel_Rarely"/>
    <n v="363"/>
    <x v="1"/>
    <n v="1"/>
    <n v="3"/>
    <s v="Technical Degree"/>
    <n v="1237"/>
    <n v="3"/>
    <s v="Female"/>
    <n v="77"/>
    <n v="1"/>
    <n v="3"/>
    <x v="3"/>
    <x v="3"/>
    <s v="Divorced"/>
    <n v="10252"/>
    <x v="2"/>
    <n v="4235"/>
    <n v="2"/>
    <x v="0"/>
    <n v="21"/>
    <n v="4"/>
    <n v="3"/>
    <n v="1"/>
    <n v="17"/>
    <n v="2"/>
    <n v="3"/>
    <n v="7"/>
    <x v="0"/>
    <n v="7"/>
    <n v="7"/>
    <n v="7"/>
  </r>
  <r>
    <n v="33"/>
    <x v="1"/>
    <s v="Travel_Rarely"/>
    <n v="117"/>
    <x v="1"/>
    <n v="9"/>
    <n v="3"/>
    <s v="Medical"/>
    <n v="1238"/>
    <n v="1"/>
    <s v="Male"/>
    <n v="60"/>
    <n v="3"/>
    <n v="1"/>
    <x v="1"/>
    <x v="0"/>
    <s v="Married"/>
    <n v="2781"/>
    <x v="1"/>
    <n v="6311"/>
    <n v="0"/>
    <x v="1"/>
    <n v="13"/>
    <n v="3"/>
    <n v="2"/>
    <n v="1"/>
    <n v="15"/>
    <n v="5"/>
    <n v="3"/>
    <n v="14"/>
    <x v="3"/>
    <n v="10"/>
    <n v="4"/>
    <n v="10"/>
  </r>
  <r>
    <n v="40"/>
    <x v="1"/>
    <s v="Travel_Rarely"/>
    <n v="107"/>
    <x v="0"/>
    <n v="10"/>
    <n v="3"/>
    <s v="Technical Degree"/>
    <n v="1239"/>
    <n v="2"/>
    <s v="Female"/>
    <n v="84"/>
    <n v="2"/>
    <n v="2"/>
    <x v="0"/>
    <x v="1"/>
    <s v="Divorced"/>
    <n v="6852"/>
    <x v="0"/>
    <n v="11591"/>
    <n v="7"/>
    <x v="1"/>
    <n v="12"/>
    <n v="3"/>
    <n v="2"/>
    <n v="1"/>
    <n v="7"/>
    <n v="2"/>
    <n v="4"/>
    <n v="5"/>
    <x v="2"/>
    <n v="1"/>
    <n v="1"/>
    <n v="3"/>
  </r>
  <r>
    <n v="25"/>
    <x v="1"/>
    <s v="Travel_Rarely"/>
    <n v="1356"/>
    <x v="0"/>
    <n v="10"/>
    <n v="4"/>
    <s v="Life Sciences"/>
    <n v="1240"/>
    <n v="3"/>
    <s v="Male"/>
    <n v="57"/>
    <n v="3"/>
    <n v="2"/>
    <x v="0"/>
    <x v="0"/>
    <s v="Single"/>
    <n v="4950"/>
    <x v="0"/>
    <n v="20623"/>
    <n v="0"/>
    <x v="1"/>
    <n v="14"/>
    <n v="3"/>
    <n v="2"/>
    <n v="0"/>
    <n v="5"/>
    <n v="4"/>
    <n v="3"/>
    <n v="4"/>
    <x v="2"/>
    <n v="3"/>
    <n v="1"/>
    <n v="1"/>
  </r>
  <r>
    <n v="30"/>
    <x v="1"/>
    <s v="Travel_Rarely"/>
    <n v="1465"/>
    <x v="1"/>
    <n v="1"/>
    <n v="3"/>
    <s v="Medical"/>
    <n v="1241"/>
    <n v="4"/>
    <s v="Male"/>
    <n v="63"/>
    <n v="3"/>
    <n v="1"/>
    <x v="1"/>
    <x v="1"/>
    <s v="Married"/>
    <n v="3579"/>
    <x v="0"/>
    <n v="9369"/>
    <n v="0"/>
    <x v="0"/>
    <n v="21"/>
    <n v="4"/>
    <n v="1"/>
    <n v="1"/>
    <n v="12"/>
    <n v="2"/>
    <n v="3"/>
    <n v="11"/>
    <x v="3"/>
    <n v="9"/>
    <n v="5"/>
    <n v="7"/>
  </r>
  <r>
    <n v="42"/>
    <x v="1"/>
    <s v="Travel_Frequently"/>
    <n v="458"/>
    <x v="1"/>
    <n v="26"/>
    <n v="5"/>
    <s v="Medical"/>
    <n v="1242"/>
    <n v="1"/>
    <s v="Female"/>
    <n v="60"/>
    <n v="3"/>
    <n v="3"/>
    <x v="7"/>
    <x v="3"/>
    <s v="Married"/>
    <n v="13191"/>
    <x v="2"/>
    <n v="23281"/>
    <n v="3"/>
    <x v="0"/>
    <n v="17"/>
    <n v="3"/>
    <n v="3"/>
    <n v="0"/>
    <n v="20"/>
    <n v="6"/>
    <n v="3"/>
    <n v="1"/>
    <x v="1"/>
    <n v="0"/>
    <n v="0"/>
    <n v="0"/>
  </r>
  <r>
    <n v="35"/>
    <x v="1"/>
    <s v="Non-Travel"/>
    <n v="1212"/>
    <x v="0"/>
    <n v="8"/>
    <n v="2"/>
    <s v="Marketing"/>
    <n v="1243"/>
    <n v="3"/>
    <s v="Female"/>
    <n v="78"/>
    <n v="2"/>
    <n v="3"/>
    <x v="0"/>
    <x v="0"/>
    <s v="Married"/>
    <n v="10377"/>
    <x v="2"/>
    <n v="13755"/>
    <n v="4"/>
    <x v="0"/>
    <n v="11"/>
    <n v="3"/>
    <n v="2"/>
    <n v="1"/>
    <n v="16"/>
    <n v="6"/>
    <n v="2"/>
    <n v="13"/>
    <x v="3"/>
    <n v="2"/>
    <n v="4"/>
    <n v="12"/>
  </r>
  <r>
    <n v="27"/>
    <x v="1"/>
    <s v="Travel_Rarely"/>
    <n v="1103"/>
    <x v="1"/>
    <n v="14"/>
    <n v="3"/>
    <s v="Life Sciences"/>
    <n v="1244"/>
    <n v="1"/>
    <s v="Male"/>
    <n v="42"/>
    <n v="3"/>
    <n v="1"/>
    <x v="1"/>
    <x v="3"/>
    <s v="Married"/>
    <n v="2235"/>
    <x v="1"/>
    <n v="14377"/>
    <n v="1"/>
    <x v="0"/>
    <n v="14"/>
    <n v="3"/>
    <n v="4"/>
    <n v="2"/>
    <n v="9"/>
    <n v="3"/>
    <n v="2"/>
    <n v="9"/>
    <x v="0"/>
    <n v="7"/>
    <n v="6"/>
    <n v="8"/>
  </r>
  <r>
    <n v="54"/>
    <x v="1"/>
    <s v="Travel_Frequently"/>
    <n v="966"/>
    <x v="1"/>
    <n v="1"/>
    <n v="4"/>
    <s v="Life Sciences"/>
    <n v="1245"/>
    <n v="4"/>
    <s v="Female"/>
    <n v="53"/>
    <n v="3"/>
    <n v="3"/>
    <x v="3"/>
    <x v="2"/>
    <s v="Divorced"/>
    <n v="10502"/>
    <x v="2"/>
    <n v="9659"/>
    <n v="7"/>
    <x v="1"/>
    <n v="17"/>
    <n v="3"/>
    <n v="1"/>
    <n v="1"/>
    <n v="33"/>
    <n v="2"/>
    <n v="1"/>
    <n v="5"/>
    <x v="2"/>
    <n v="4"/>
    <n v="1"/>
    <n v="4"/>
  </r>
  <r>
    <n v="44"/>
    <x v="1"/>
    <s v="Travel_Rarely"/>
    <n v="1117"/>
    <x v="1"/>
    <n v="2"/>
    <n v="1"/>
    <s v="Life Sciences"/>
    <n v="1246"/>
    <n v="1"/>
    <s v="Female"/>
    <n v="72"/>
    <n v="4"/>
    <n v="1"/>
    <x v="1"/>
    <x v="0"/>
    <s v="Married"/>
    <n v="2011"/>
    <x v="1"/>
    <n v="19982"/>
    <n v="1"/>
    <x v="1"/>
    <n v="13"/>
    <n v="3"/>
    <n v="4"/>
    <n v="1"/>
    <n v="10"/>
    <n v="5"/>
    <n v="3"/>
    <n v="10"/>
    <x v="0"/>
    <n v="5"/>
    <n v="7"/>
    <n v="7"/>
  </r>
  <r>
    <n v="19"/>
    <x v="0"/>
    <s v="Non-Travel"/>
    <n v="504"/>
    <x v="1"/>
    <n v="10"/>
    <n v="3"/>
    <s v="Medical"/>
    <n v="1248"/>
    <n v="1"/>
    <s v="Female"/>
    <n v="96"/>
    <n v="2"/>
    <n v="1"/>
    <x v="1"/>
    <x v="1"/>
    <s v="Single"/>
    <n v="1859"/>
    <x v="1"/>
    <n v="6148"/>
    <n v="1"/>
    <x v="0"/>
    <n v="25"/>
    <n v="4"/>
    <n v="2"/>
    <n v="0"/>
    <n v="1"/>
    <n v="2"/>
    <n v="4"/>
    <n v="1"/>
    <x v="1"/>
    <n v="1"/>
    <n v="0"/>
    <n v="0"/>
  </r>
  <r>
    <n v="29"/>
    <x v="1"/>
    <s v="Travel_Rarely"/>
    <n v="1010"/>
    <x v="1"/>
    <n v="1"/>
    <n v="3"/>
    <s v="Life Sciences"/>
    <n v="1249"/>
    <n v="1"/>
    <s v="Female"/>
    <n v="97"/>
    <n v="3"/>
    <n v="1"/>
    <x v="1"/>
    <x v="0"/>
    <s v="Divorced"/>
    <n v="3760"/>
    <x v="0"/>
    <n v="5598"/>
    <n v="1"/>
    <x v="1"/>
    <n v="15"/>
    <n v="3"/>
    <n v="1"/>
    <n v="3"/>
    <n v="3"/>
    <n v="5"/>
    <n v="3"/>
    <n v="3"/>
    <x v="2"/>
    <n v="2"/>
    <n v="1"/>
    <n v="2"/>
  </r>
  <r>
    <n v="54"/>
    <x v="1"/>
    <s v="Travel_Rarely"/>
    <n v="685"/>
    <x v="1"/>
    <n v="3"/>
    <n v="3"/>
    <s v="Life Sciences"/>
    <n v="1250"/>
    <n v="4"/>
    <s v="Male"/>
    <n v="85"/>
    <n v="3"/>
    <n v="4"/>
    <x v="7"/>
    <x v="0"/>
    <s v="Married"/>
    <n v="17779"/>
    <x v="2"/>
    <n v="23474"/>
    <n v="3"/>
    <x v="1"/>
    <n v="14"/>
    <n v="3"/>
    <n v="1"/>
    <n v="0"/>
    <n v="36"/>
    <n v="2"/>
    <n v="3"/>
    <n v="10"/>
    <x v="0"/>
    <n v="9"/>
    <n v="0"/>
    <n v="9"/>
  </r>
  <r>
    <n v="31"/>
    <x v="1"/>
    <s v="Travel_Rarely"/>
    <n v="1332"/>
    <x v="1"/>
    <n v="11"/>
    <n v="2"/>
    <s v="Medical"/>
    <n v="1251"/>
    <n v="3"/>
    <s v="Male"/>
    <n v="80"/>
    <n v="3"/>
    <n v="2"/>
    <x v="4"/>
    <x v="3"/>
    <s v="Married"/>
    <n v="6833"/>
    <x v="0"/>
    <n v="17089"/>
    <n v="1"/>
    <x v="0"/>
    <n v="12"/>
    <n v="3"/>
    <n v="4"/>
    <n v="0"/>
    <n v="6"/>
    <n v="2"/>
    <n v="2"/>
    <n v="6"/>
    <x v="0"/>
    <n v="5"/>
    <n v="0"/>
    <n v="1"/>
  </r>
  <r>
    <n v="31"/>
    <x v="1"/>
    <s v="Travel_Rarely"/>
    <n v="1062"/>
    <x v="1"/>
    <n v="24"/>
    <n v="3"/>
    <s v="Medical"/>
    <n v="1252"/>
    <n v="3"/>
    <s v="Female"/>
    <n v="96"/>
    <n v="2"/>
    <n v="2"/>
    <x v="4"/>
    <x v="3"/>
    <s v="Single"/>
    <n v="6812"/>
    <x v="0"/>
    <n v="17198"/>
    <n v="1"/>
    <x v="1"/>
    <n v="19"/>
    <n v="3"/>
    <n v="2"/>
    <n v="0"/>
    <n v="10"/>
    <n v="2"/>
    <n v="3"/>
    <n v="10"/>
    <x v="0"/>
    <n v="9"/>
    <n v="1"/>
    <n v="8"/>
  </r>
  <r>
    <n v="59"/>
    <x v="1"/>
    <s v="Travel_Rarely"/>
    <n v="326"/>
    <x v="0"/>
    <n v="3"/>
    <n v="3"/>
    <s v="Life Sciences"/>
    <n v="1254"/>
    <n v="3"/>
    <s v="Female"/>
    <n v="48"/>
    <n v="2"/>
    <n v="2"/>
    <x v="0"/>
    <x v="0"/>
    <s v="Single"/>
    <n v="5171"/>
    <x v="0"/>
    <n v="16490"/>
    <n v="5"/>
    <x v="1"/>
    <n v="17"/>
    <n v="3"/>
    <n v="4"/>
    <n v="0"/>
    <n v="13"/>
    <n v="2"/>
    <n v="3"/>
    <n v="6"/>
    <x v="0"/>
    <n v="1"/>
    <n v="0"/>
    <n v="5"/>
  </r>
  <r>
    <n v="43"/>
    <x v="1"/>
    <s v="Travel_Rarely"/>
    <n v="920"/>
    <x v="1"/>
    <n v="3"/>
    <n v="3"/>
    <s v="Life Sciences"/>
    <n v="1255"/>
    <n v="3"/>
    <s v="Male"/>
    <n v="96"/>
    <n v="1"/>
    <n v="5"/>
    <x v="7"/>
    <x v="0"/>
    <s v="Married"/>
    <n v="19740"/>
    <x v="2"/>
    <n v="18625"/>
    <n v="3"/>
    <x v="1"/>
    <n v="14"/>
    <n v="3"/>
    <n v="2"/>
    <n v="1"/>
    <n v="25"/>
    <n v="2"/>
    <n v="3"/>
    <n v="8"/>
    <x v="0"/>
    <n v="7"/>
    <n v="0"/>
    <n v="7"/>
  </r>
  <r>
    <n v="49"/>
    <x v="1"/>
    <s v="Travel_Rarely"/>
    <n v="1098"/>
    <x v="1"/>
    <n v="4"/>
    <n v="2"/>
    <s v="Medical"/>
    <n v="1256"/>
    <n v="1"/>
    <s v="Male"/>
    <n v="85"/>
    <n v="2"/>
    <n v="5"/>
    <x v="5"/>
    <x v="2"/>
    <s v="Married"/>
    <n v="18711"/>
    <x v="2"/>
    <n v="12124"/>
    <n v="2"/>
    <x v="1"/>
    <n v="13"/>
    <n v="3"/>
    <n v="3"/>
    <n v="1"/>
    <n v="23"/>
    <n v="2"/>
    <n v="4"/>
    <n v="1"/>
    <x v="1"/>
    <n v="0"/>
    <n v="0"/>
    <n v="0"/>
  </r>
  <r>
    <n v="36"/>
    <x v="1"/>
    <s v="Travel_Frequently"/>
    <n v="469"/>
    <x v="1"/>
    <n v="3"/>
    <n v="3"/>
    <s v="Technical Degree"/>
    <n v="1257"/>
    <n v="3"/>
    <s v="Male"/>
    <n v="46"/>
    <n v="3"/>
    <n v="1"/>
    <x v="1"/>
    <x v="1"/>
    <s v="Married"/>
    <n v="3692"/>
    <x v="0"/>
    <n v="9256"/>
    <n v="1"/>
    <x v="1"/>
    <n v="12"/>
    <n v="3"/>
    <n v="3"/>
    <n v="0"/>
    <n v="12"/>
    <n v="2"/>
    <n v="2"/>
    <n v="11"/>
    <x v="3"/>
    <n v="10"/>
    <n v="0"/>
    <n v="7"/>
  </r>
  <r>
    <n v="48"/>
    <x v="1"/>
    <s v="Travel_Rarely"/>
    <n v="969"/>
    <x v="1"/>
    <n v="2"/>
    <n v="2"/>
    <s v="Technical Degree"/>
    <n v="1258"/>
    <n v="4"/>
    <s v="Male"/>
    <n v="76"/>
    <n v="4"/>
    <n v="1"/>
    <x v="2"/>
    <x v="1"/>
    <s v="Single"/>
    <n v="2559"/>
    <x v="1"/>
    <n v="16620"/>
    <n v="5"/>
    <x v="1"/>
    <n v="11"/>
    <n v="3"/>
    <n v="3"/>
    <n v="0"/>
    <n v="7"/>
    <n v="4"/>
    <n v="2"/>
    <n v="1"/>
    <x v="1"/>
    <n v="0"/>
    <n v="0"/>
    <n v="0"/>
  </r>
  <r>
    <n v="27"/>
    <x v="1"/>
    <s v="Travel_Rarely"/>
    <n v="1167"/>
    <x v="1"/>
    <n v="4"/>
    <n v="2"/>
    <s v="Life Sciences"/>
    <n v="1259"/>
    <n v="1"/>
    <s v="Male"/>
    <n v="76"/>
    <n v="3"/>
    <n v="1"/>
    <x v="1"/>
    <x v="2"/>
    <s v="Divorced"/>
    <n v="2517"/>
    <x v="1"/>
    <n v="3208"/>
    <n v="1"/>
    <x v="1"/>
    <n v="11"/>
    <n v="3"/>
    <n v="2"/>
    <n v="3"/>
    <n v="5"/>
    <n v="2"/>
    <n v="3"/>
    <n v="5"/>
    <x v="2"/>
    <n v="3"/>
    <n v="0"/>
    <n v="3"/>
  </r>
  <r>
    <n v="29"/>
    <x v="1"/>
    <s v="Travel_Rarely"/>
    <n v="1329"/>
    <x v="1"/>
    <n v="7"/>
    <n v="3"/>
    <s v="Life Sciences"/>
    <n v="1260"/>
    <n v="3"/>
    <s v="Male"/>
    <n v="82"/>
    <n v="3"/>
    <n v="2"/>
    <x v="4"/>
    <x v="0"/>
    <s v="Divorced"/>
    <n v="6623"/>
    <x v="0"/>
    <n v="4204"/>
    <n v="1"/>
    <x v="0"/>
    <n v="11"/>
    <n v="3"/>
    <n v="2"/>
    <n v="2"/>
    <n v="6"/>
    <n v="2"/>
    <n v="3"/>
    <n v="6"/>
    <x v="0"/>
    <n v="0"/>
    <n v="1"/>
    <n v="0"/>
  </r>
  <r>
    <n v="48"/>
    <x v="1"/>
    <s v="Travel_Rarely"/>
    <n v="715"/>
    <x v="1"/>
    <n v="1"/>
    <n v="3"/>
    <s v="Life Sciences"/>
    <n v="1263"/>
    <n v="4"/>
    <s v="Male"/>
    <n v="76"/>
    <n v="2"/>
    <n v="5"/>
    <x v="7"/>
    <x v="0"/>
    <s v="Single"/>
    <n v="18265"/>
    <x v="2"/>
    <n v="8733"/>
    <n v="6"/>
    <x v="1"/>
    <n v="12"/>
    <n v="3"/>
    <n v="3"/>
    <n v="0"/>
    <n v="25"/>
    <n v="3"/>
    <n v="4"/>
    <n v="1"/>
    <x v="1"/>
    <n v="0"/>
    <n v="0"/>
    <n v="0"/>
  </r>
  <r>
    <n v="29"/>
    <x v="1"/>
    <s v="Travel_Rarely"/>
    <n v="694"/>
    <x v="1"/>
    <n v="1"/>
    <n v="3"/>
    <s v="Life Sciences"/>
    <n v="1264"/>
    <n v="4"/>
    <s v="Female"/>
    <n v="87"/>
    <n v="2"/>
    <n v="4"/>
    <x v="7"/>
    <x v="0"/>
    <s v="Divorced"/>
    <n v="16124"/>
    <x v="2"/>
    <n v="3423"/>
    <n v="3"/>
    <x v="1"/>
    <n v="14"/>
    <n v="3"/>
    <n v="2"/>
    <n v="2"/>
    <n v="9"/>
    <n v="2"/>
    <n v="2"/>
    <n v="7"/>
    <x v="0"/>
    <n v="7"/>
    <n v="1"/>
    <n v="7"/>
  </r>
  <r>
    <n v="34"/>
    <x v="1"/>
    <s v="Travel_Rarely"/>
    <n v="1320"/>
    <x v="1"/>
    <n v="20"/>
    <n v="3"/>
    <s v="Technical Degree"/>
    <n v="1265"/>
    <n v="3"/>
    <s v="Female"/>
    <n v="89"/>
    <n v="4"/>
    <n v="1"/>
    <x v="1"/>
    <x v="2"/>
    <s v="Married"/>
    <n v="2585"/>
    <x v="1"/>
    <n v="21643"/>
    <n v="0"/>
    <x v="1"/>
    <n v="17"/>
    <n v="3"/>
    <n v="4"/>
    <n v="0"/>
    <n v="2"/>
    <n v="5"/>
    <n v="2"/>
    <n v="1"/>
    <x v="1"/>
    <n v="0"/>
    <n v="0"/>
    <n v="0"/>
  </r>
  <r>
    <n v="44"/>
    <x v="1"/>
    <s v="Travel_Rarely"/>
    <n v="1099"/>
    <x v="0"/>
    <n v="5"/>
    <n v="3"/>
    <s v="Marketing"/>
    <n v="1267"/>
    <n v="2"/>
    <s v="Male"/>
    <n v="88"/>
    <n v="3"/>
    <n v="5"/>
    <x v="5"/>
    <x v="1"/>
    <s v="Married"/>
    <n v="18213"/>
    <x v="2"/>
    <n v="8751"/>
    <n v="7"/>
    <x v="1"/>
    <n v="11"/>
    <n v="3"/>
    <n v="3"/>
    <n v="1"/>
    <n v="26"/>
    <n v="5"/>
    <n v="3"/>
    <n v="22"/>
    <x v="3"/>
    <n v="9"/>
    <n v="3"/>
    <n v="10"/>
  </r>
  <r>
    <n v="33"/>
    <x v="1"/>
    <s v="Travel_Rarely"/>
    <n v="536"/>
    <x v="0"/>
    <n v="10"/>
    <n v="5"/>
    <s v="Marketing"/>
    <n v="1268"/>
    <n v="4"/>
    <s v="Male"/>
    <n v="82"/>
    <n v="4"/>
    <n v="3"/>
    <x v="0"/>
    <x v="2"/>
    <s v="Divorced"/>
    <n v="8380"/>
    <x v="2"/>
    <n v="21708"/>
    <n v="0"/>
    <x v="0"/>
    <n v="14"/>
    <n v="3"/>
    <n v="4"/>
    <n v="2"/>
    <n v="10"/>
    <n v="3"/>
    <n v="3"/>
    <n v="9"/>
    <x v="0"/>
    <n v="8"/>
    <n v="0"/>
    <n v="8"/>
  </r>
  <r>
    <n v="19"/>
    <x v="1"/>
    <s v="Travel_Rarely"/>
    <n v="265"/>
    <x v="1"/>
    <n v="25"/>
    <n v="3"/>
    <s v="Life Sciences"/>
    <n v="1269"/>
    <n v="2"/>
    <s v="Female"/>
    <n v="57"/>
    <n v="4"/>
    <n v="1"/>
    <x v="1"/>
    <x v="0"/>
    <s v="Single"/>
    <n v="2994"/>
    <x v="1"/>
    <n v="21221"/>
    <n v="1"/>
    <x v="0"/>
    <n v="12"/>
    <n v="3"/>
    <n v="4"/>
    <n v="0"/>
    <n v="1"/>
    <n v="2"/>
    <n v="3"/>
    <n v="1"/>
    <x v="1"/>
    <n v="0"/>
    <n v="0"/>
    <n v="1"/>
  </r>
  <r>
    <n v="23"/>
    <x v="1"/>
    <s v="Travel_Rarely"/>
    <n v="373"/>
    <x v="1"/>
    <n v="1"/>
    <n v="2"/>
    <s v="Life Sciences"/>
    <n v="1270"/>
    <n v="4"/>
    <s v="Male"/>
    <n v="47"/>
    <n v="3"/>
    <n v="1"/>
    <x v="1"/>
    <x v="2"/>
    <s v="Married"/>
    <n v="1223"/>
    <x v="1"/>
    <n v="16901"/>
    <n v="1"/>
    <x v="1"/>
    <n v="22"/>
    <n v="4"/>
    <n v="4"/>
    <n v="1"/>
    <n v="1"/>
    <n v="2"/>
    <n v="3"/>
    <n v="1"/>
    <x v="1"/>
    <n v="0"/>
    <n v="0"/>
    <n v="1"/>
  </r>
  <r>
    <n v="25"/>
    <x v="0"/>
    <s v="Travel_Frequently"/>
    <n v="599"/>
    <x v="0"/>
    <n v="24"/>
    <n v="1"/>
    <s v="Life Sciences"/>
    <n v="1273"/>
    <n v="3"/>
    <s v="Male"/>
    <n v="73"/>
    <n v="1"/>
    <n v="1"/>
    <x v="6"/>
    <x v="0"/>
    <s v="Single"/>
    <n v="1118"/>
    <x v="1"/>
    <n v="8040"/>
    <n v="1"/>
    <x v="0"/>
    <n v="14"/>
    <n v="3"/>
    <n v="4"/>
    <n v="0"/>
    <n v="1"/>
    <n v="4"/>
    <n v="3"/>
    <n v="1"/>
    <x v="1"/>
    <n v="0"/>
    <n v="1"/>
    <n v="0"/>
  </r>
  <r>
    <n v="26"/>
    <x v="1"/>
    <s v="Travel_Rarely"/>
    <n v="583"/>
    <x v="1"/>
    <n v="4"/>
    <n v="2"/>
    <s v="Life Sciences"/>
    <n v="1275"/>
    <n v="3"/>
    <s v="Male"/>
    <n v="53"/>
    <n v="3"/>
    <n v="1"/>
    <x v="1"/>
    <x v="0"/>
    <s v="Single"/>
    <n v="2875"/>
    <x v="1"/>
    <n v="9973"/>
    <n v="1"/>
    <x v="0"/>
    <n v="20"/>
    <n v="4"/>
    <n v="2"/>
    <n v="0"/>
    <n v="8"/>
    <n v="2"/>
    <n v="2"/>
    <n v="8"/>
    <x v="0"/>
    <n v="5"/>
    <n v="2"/>
    <n v="2"/>
  </r>
  <r>
    <n v="45"/>
    <x v="0"/>
    <s v="Travel_Rarely"/>
    <n v="1449"/>
    <x v="0"/>
    <n v="2"/>
    <n v="3"/>
    <s v="Marketing"/>
    <n v="1277"/>
    <n v="1"/>
    <s v="Female"/>
    <n v="94"/>
    <n v="1"/>
    <n v="5"/>
    <x v="5"/>
    <x v="1"/>
    <s v="Single"/>
    <n v="18824"/>
    <x v="2"/>
    <n v="2493"/>
    <n v="2"/>
    <x v="0"/>
    <n v="16"/>
    <n v="3"/>
    <n v="1"/>
    <n v="0"/>
    <n v="26"/>
    <n v="2"/>
    <n v="3"/>
    <n v="24"/>
    <x v="3"/>
    <n v="10"/>
    <n v="1"/>
    <n v="11"/>
  </r>
  <r>
    <n v="55"/>
    <x v="1"/>
    <s v="Non-Travel"/>
    <n v="177"/>
    <x v="1"/>
    <n v="8"/>
    <n v="1"/>
    <s v="Medical"/>
    <n v="1278"/>
    <n v="4"/>
    <s v="Male"/>
    <n v="37"/>
    <n v="2"/>
    <n v="4"/>
    <x v="4"/>
    <x v="1"/>
    <s v="Divorced"/>
    <n v="13577"/>
    <x v="2"/>
    <n v="25592"/>
    <n v="1"/>
    <x v="0"/>
    <n v="15"/>
    <n v="3"/>
    <n v="4"/>
    <n v="1"/>
    <n v="34"/>
    <n v="3"/>
    <n v="3"/>
    <n v="33"/>
    <x v="3"/>
    <n v="9"/>
    <n v="15"/>
    <n v="0"/>
  </r>
  <r>
    <n v="21"/>
    <x v="0"/>
    <s v="Travel_Frequently"/>
    <n v="251"/>
    <x v="1"/>
    <n v="10"/>
    <n v="2"/>
    <s v="Life Sciences"/>
    <n v="1279"/>
    <n v="1"/>
    <s v="Female"/>
    <n v="45"/>
    <n v="2"/>
    <n v="1"/>
    <x v="2"/>
    <x v="2"/>
    <s v="Single"/>
    <n v="2625"/>
    <x v="1"/>
    <n v="25308"/>
    <n v="1"/>
    <x v="1"/>
    <n v="20"/>
    <n v="4"/>
    <n v="3"/>
    <n v="0"/>
    <n v="2"/>
    <n v="2"/>
    <n v="1"/>
    <n v="2"/>
    <x v="1"/>
    <n v="2"/>
    <n v="2"/>
    <n v="2"/>
  </r>
  <r>
    <n v="46"/>
    <x v="1"/>
    <s v="Travel_Rarely"/>
    <n v="168"/>
    <x v="0"/>
    <n v="4"/>
    <n v="2"/>
    <s v="Marketing"/>
    <n v="1280"/>
    <n v="4"/>
    <s v="Female"/>
    <n v="33"/>
    <n v="2"/>
    <n v="5"/>
    <x v="5"/>
    <x v="1"/>
    <s v="Married"/>
    <n v="18789"/>
    <x v="2"/>
    <n v="9946"/>
    <n v="2"/>
    <x v="1"/>
    <n v="14"/>
    <n v="3"/>
    <n v="3"/>
    <n v="1"/>
    <n v="26"/>
    <n v="2"/>
    <n v="3"/>
    <n v="11"/>
    <x v="3"/>
    <n v="4"/>
    <n v="0"/>
    <n v="8"/>
  </r>
  <r>
    <n v="34"/>
    <x v="1"/>
    <s v="Travel_Rarely"/>
    <n v="131"/>
    <x v="0"/>
    <n v="2"/>
    <n v="3"/>
    <s v="Marketing"/>
    <n v="1281"/>
    <n v="3"/>
    <s v="Female"/>
    <n v="86"/>
    <n v="3"/>
    <n v="2"/>
    <x v="0"/>
    <x v="3"/>
    <s v="Single"/>
    <n v="4538"/>
    <x v="0"/>
    <n v="6039"/>
    <n v="0"/>
    <x v="0"/>
    <n v="12"/>
    <n v="3"/>
    <n v="4"/>
    <n v="0"/>
    <n v="4"/>
    <n v="3"/>
    <n v="3"/>
    <n v="3"/>
    <x v="2"/>
    <n v="2"/>
    <n v="0"/>
    <n v="2"/>
  </r>
  <r>
    <n v="51"/>
    <x v="1"/>
    <s v="Travel_Frequently"/>
    <n v="237"/>
    <x v="0"/>
    <n v="9"/>
    <n v="3"/>
    <s v="Life Sciences"/>
    <n v="1282"/>
    <n v="4"/>
    <s v="Male"/>
    <n v="83"/>
    <n v="3"/>
    <n v="5"/>
    <x v="5"/>
    <x v="1"/>
    <s v="Divorced"/>
    <n v="19847"/>
    <x v="2"/>
    <n v="19196"/>
    <n v="4"/>
    <x v="0"/>
    <n v="24"/>
    <n v="4"/>
    <n v="1"/>
    <n v="1"/>
    <n v="31"/>
    <n v="5"/>
    <n v="2"/>
    <n v="29"/>
    <x v="3"/>
    <n v="10"/>
    <n v="11"/>
    <n v="10"/>
  </r>
  <r>
    <n v="59"/>
    <x v="1"/>
    <s v="Travel_Rarely"/>
    <n v="1429"/>
    <x v="1"/>
    <n v="18"/>
    <n v="4"/>
    <s v="Medical"/>
    <n v="1283"/>
    <n v="4"/>
    <s v="Male"/>
    <n v="67"/>
    <n v="3"/>
    <n v="3"/>
    <x v="3"/>
    <x v="0"/>
    <s v="Single"/>
    <n v="10512"/>
    <x v="2"/>
    <n v="20002"/>
    <n v="6"/>
    <x v="1"/>
    <n v="12"/>
    <n v="3"/>
    <n v="4"/>
    <n v="0"/>
    <n v="25"/>
    <n v="6"/>
    <n v="2"/>
    <n v="9"/>
    <x v="0"/>
    <n v="7"/>
    <n v="5"/>
    <n v="4"/>
  </r>
  <r>
    <n v="34"/>
    <x v="1"/>
    <s v="Travel_Frequently"/>
    <n v="135"/>
    <x v="1"/>
    <n v="19"/>
    <n v="3"/>
    <s v="Medical"/>
    <n v="1285"/>
    <n v="3"/>
    <s v="Female"/>
    <n v="46"/>
    <n v="3"/>
    <n v="2"/>
    <x v="2"/>
    <x v="1"/>
    <s v="Divorced"/>
    <n v="4444"/>
    <x v="0"/>
    <n v="22534"/>
    <n v="4"/>
    <x v="1"/>
    <n v="13"/>
    <n v="3"/>
    <n v="3"/>
    <n v="2"/>
    <n v="15"/>
    <n v="2"/>
    <n v="4"/>
    <n v="11"/>
    <x v="3"/>
    <n v="8"/>
    <n v="5"/>
    <n v="10"/>
  </r>
  <r>
    <n v="28"/>
    <x v="1"/>
    <s v="Travel_Frequently"/>
    <n v="791"/>
    <x v="1"/>
    <n v="1"/>
    <n v="4"/>
    <s v="Medical"/>
    <n v="1286"/>
    <n v="4"/>
    <s v="Male"/>
    <n v="44"/>
    <n v="3"/>
    <n v="1"/>
    <x v="2"/>
    <x v="2"/>
    <s v="Single"/>
    <n v="2154"/>
    <x v="1"/>
    <n v="6842"/>
    <n v="0"/>
    <x v="0"/>
    <n v="11"/>
    <n v="3"/>
    <n v="3"/>
    <n v="0"/>
    <n v="5"/>
    <n v="2"/>
    <n v="2"/>
    <n v="4"/>
    <x v="2"/>
    <n v="2"/>
    <n v="0"/>
    <n v="2"/>
  </r>
  <r>
    <n v="44"/>
    <x v="1"/>
    <s v="Travel_Rarely"/>
    <n v="1199"/>
    <x v="1"/>
    <n v="4"/>
    <n v="2"/>
    <s v="Life Sciences"/>
    <n v="1288"/>
    <n v="3"/>
    <s v="Male"/>
    <n v="92"/>
    <n v="4"/>
    <n v="5"/>
    <x v="5"/>
    <x v="3"/>
    <s v="Divorced"/>
    <n v="19190"/>
    <x v="2"/>
    <n v="17477"/>
    <n v="1"/>
    <x v="1"/>
    <n v="14"/>
    <n v="3"/>
    <n v="4"/>
    <n v="2"/>
    <n v="26"/>
    <n v="4"/>
    <n v="2"/>
    <n v="25"/>
    <x v="3"/>
    <n v="9"/>
    <n v="14"/>
    <n v="13"/>
  </r>
  <r>
    <n v="34"/>
    <x v="1"/>
    <s v="Travel_Frequently"/>
    <n v="648"/>
    <x v="2"/>
    <n v="11"/>
    <n v="3"/>
    <s v="Life Sciences"/>
    <n v="1289"/>
    <n v="3"/>
    <s v="Male"/>
    <n v="56"/>
    <n v="2"/>
    <n v="2"/>
    <x v="8"/>
    <x v="1"/>
    <s v="Married"/>
    <n v="4490"/>
    <x v="0"/>
    <n v="21833"/>
    <n v="4"/>
    <x v="1"/>
    <n v="11"/>
    <n v="3"/>
    <n v="4"/>
    <n v="2"/>
    <n v="14"/>
    <n v="5"/>
    <n v="4"/>
    <n v="10"/>
    <x v="0"/>
    <n v="9"/>
    <n v="1"/>
    <n v="8"/>
  </r>
  <r>
    <n v="35"/>
    <x v="1"/>
    <s v="Travel_Rarely"/>
    <n v="735"/>
    <x v="1"/>
    <n v="6"/>
    <n v="1"/>
    <s v="Life Sciences"/>
    <n v="1291"/>
    <n v="3"/>
    <s v="Male"/>
    <n v="66"/>
    <n v="3"/>
    <n v="1"/>
    <x v="1"/>
    <x v="2"/>
    <s v="Married"/>
    <n v="3506"/>
    <x v="0"/>
    <n v="6020"/>
    <n v="0"/>
    <x v="0"/>
    <n v="14"/>
    <n v="3"/>
    <n v="4"/>
    <n v="0"/>
    <n v="4"/>
    <n v="3"/>
    <n v="3"/>
    <n v="3"/>
    <x v="2"/>
    <n v="2"/>
    <n v="2"/>
    <n v="2"/>
  </r>
  <r>
    <n v="42"/>
    <x v="1"/>
    <s v="Travel_Rarely"/>
    <n v="603"/>
    <x v="1"/>
    <n v="7"/>
    <n v="4"/>
    <s v="Medical"/>
    <n v="1292"/>
    <n v="2"/>
    <s v="Female"/>
    <n v="78"/>
    <n v="4"/>
    <n v="2"/>
    <x v="1"/>
    <x v="1"/>
    <s v="Married"/>
    <n v="2372"/>
    <x v="1"/>
    <n v="5628"/>
    <n v="6"/>
    <x v="0"/>
    <n v="16"/>
    <n v="3"/>
    <n v="4"/>
    <n v="0"/>
    <n v="18"/>
    <n v="2"/>
    <n v="3"/>
    <n v="1"/>
    <x v="1"/>
    <n v="0"/>
    <n v="0"/>
    <n v="0"/>
  </r>
  <r>
    <n v="43"/>
    <x v="1"/>
    <s v="Travel_Rarely"/>
    <n v="531"/>
    <x v="0"/>
    <n v="4"/>
    <n v="4"/>
    <s v="Marketing"/>
    <n v="1293"/>
    <n v="4"/>
    <s v="Female"/>
    <n v="56"/>
    <n v="2"/>
    <n v="3"/>
    <x v="0"/>
    <x v="0"/>
    <s v="Single"/>
    <n v="10231"/>
    <x v="2"/>
    <n v="20364"/>
    <n v="3"/>
    <x v="1"/>
    <n v="14"/>
    <n v="3"/>
    <n v="4"/>
    <n v="0"/>
    <n v="23"/>
    <n v="3"/>
    <n v="4"/>
    <n v="21"/>
    <x v="3"/>
    <n v="7"/>
    <n v="15"/>
    <n v="17"/>
  </r>
  <r>
    <n v="36"/>
    <x v="1"/>
    <s v="Travel_Rarely"/>
    <n v="429"/>
    <x v="1"/>
    <n v="2"/>
    <n v="4"/>
    <s v="Life Sciences"/>
    <n v="1294"/>
    <n v="3"/>
    <s v="Female"/>
    <n v="53"/>
    <n v="3"/>
    <n v="2"/>
    <x v="3"/>
    <x v="1"/>
    <s v="Single"/>
    <n v="5410"/>
    <x v="0"/>
    <n v="2323"/>
    <n v="9"/>
    <x v="0"/>
    <n v="11"/>
    <n v="3"/>
    <n v="4"/>
    <n v="0"/>
    <n v="18"/>
    <n v="2"/>
    <n v="3"/>
    <n v="16"/>
    <x v="3"/>
    <n v="14"/>
    <n v="5"/>
    <n v="12"/>
  </r>
  <r>
    <n v="44"/>
    <x v="0"/>
    <s v="Travel_Rarely"/>
    <n v="621"/>
    <x v="1"/>
    <n v="15"/>
    <n v="3"/>
    <s v="Medical"/>
    <n v="1295"/>
    <n v="1"/>
    <s v="Female"/>
    <n v="73"/>
    <n v="3"/>
    <n v="3"/>
    <x v="4"/>
    <x v="0"/>
    <s v="Married"/>
    <n v="7978"/>
    <x v="2"/>
    <n v="14075"/>
    <n v="1"/>
    <x v="1"/>
    <n v="11"/>
    <n v="3"/>
    <n v="4"/>
    <n v="1"/>
    <n v="10"/>
    <n v="2"/>
    <n v="3"/>
    <n v="10"/>
    <x v="0"/>
    <n v="7"/>
    <n v="0"/>
    <n v="5"/>
  </r>
  <r>
    <n v="28"/>
    <x v="1"/>
    <s v="Travel_Frequently"/>
    <n v="193"/>
    <x v="1"/>
    <n v="2"/>
    <n v="3"/>
    <s v="Life Sciences"/>
    <n v="1296"/>
    <n v="4"/>
    <s v="Male"/>
    <n v="52"/>
    <n v="2"/>
    <n v="1"/>
    <x v="2"/>
    <x v="0"/>
    <s v="Married"/>
    <n v="3867"/>
    <x v="0"/>
    <n v="14222"/>
    <n v="1"/>
    <x v="0"/>
    <n v="12"/>
    <n v="3"/>
    <n v="2"/>
    <n v="1"/>
    <n v="2"/>
    <n v="2"/>
    <n v="3"/>
    <n v="2"/>
    <x v="1"/>
    <n v="2"/>
    <n v="2"/>
    <n v="2"/>
  </r>
  <r>
    <n v="51"/>
    <x v="1"/>
    <s v="Travel_Frequently"/>
    <n v="968"/>
    <x v="1"/>
    <n v="6"/>
    <n v="2"/>
    <s v="Medical"/>
    <n v="1297"/>
    <n v="2"/>
    <s v="Female"/>
    <n v="40"/>
    <n v="2"/>
    <n v="1"/>
    <x v="2"/>
    <x v="2"/>
    <s v="Single"/>
    <n v="2838"/>
    <x v="1"/>
    <n v="4257"/>
    <n v="0"/>
    <x v="1"/>
    <n v="14"/>
    <n v="3"/>
    <n v="2"/>
    <n v="0"/>
    <n v="8"/>
    <n v="6"/>
    <n v="2"/>
    <n v="7"/>
    <x v="0"/>
    <n v="0"/>
    <n v="7"/>
    <n v="7"/>
  </r>
  <r>
    <n v="30"/>
    <x v="1"/>
    <s v="Non-Travel"/>
    <n v="879"/>
    <x v="1"/>
    <n v="9"/>
    <n v="2"/>
    <s v="Medical"/>
    <n v="1298"/>
    <n v="3"/>
    <s v="Female"/>
    <n v="72"/>
    <n v="3"/>
    <n v="2"/>
    <x v="3"/>
    <x v="2"/>
    <s v="Single"/>
    <n v="4695"/>
    <x v="0"/>
    <n v="12858"/>
    <n v="7"/>
    <x v="0"/>
    <n v="18"/>
    <n v="3"/>
    <n v="3"/>
    <n v="0"/>
    <n v="10"/>
    <n v="3"/>
    <n v="3"/>
    <n v="8"/>
    <x v="0"/>
    <n v="4"/>
    <n v="1"/>
    <n v="7"/>
  </r>
  <r>
    <n v="29"/>
    <x v="0"/>
    <s v="Travel_Rarely"/>
    <n v="806"/>
    <x v="1"/>
    <n v="7"/>
    <n v="3"/>
    <s v="Technical Degree"/>
    <n v="1299"/>
    <n v="2"/>
    <s v="Female"/>
    <n v="39"/>
    <n v="3"/>
    <n v="1"/>
    <x v="2"/>
    <x v="2"/>
    <s v="Divorced"/>
    <n v="3339"/>
    <x v="0"/>
    <n v="17285"/>
    <n v="3"/>
    <x v="0"/>
    <n v="13"/>
    <n v="3"/>
    <n v="1"/>
    <n v="2"/>
    <n v="10"/>
    <n v="2"/>
    <n v="3"/>
    <n v="7"/>
    <x v="0"/>
    <n v="7"/>
    <n v="7"/>
    <n v="7"/>
  </r>
  <r>
    <n v="28"/>
    <x v="1"/>
    <s v="Travel_Rarely"/>
    <n v="640"/>
    <x v="1"/>
    <n v="1"/>
    <n v="3"/>
    <s v="Technical Degree"/>
    <n v="1301"/>
    <n v="4"/>
    <s v="Male"/>
    <n v="84"/>
    <n v="3"/>
    <n v="1"/>
    <x v="1"/>
    <x v="3"/>
    <s v="Single"/>
    <n v="2080"/>
    <x v="1"/>
    <n v="4732"/>
    <n v="2"/>
    <x v="1"/>
    <n v="11"/>
    <n v="3"/>
    <n v="2"/>
    <n v="0"/>
    <n v="5"/>
    <n v="2"/>
    <n v="2"/>
    <n v="3"/>
    <x v="2"/>
    <n v="2"/>
    <n v="1"/>
    <n v="2"/>
  </r>
  <r>
    <n v="25"/>
    <x v="1"/>
    <s v="Travel_Rarely"/>
    <n v="266"/>
    <x v="1"/>
    <n v="1"/>
    <n v="3"/>
    <s v="Medical"/>
    <n v="1303"/>
    <n v="4"/>
    <s v="Female"/>
    <n v="40"/>
    <n v="3"/>
    <n v="1"/>
    <x v="1"/>
    <x v="1"/>
    <s v="Single"/>
    <n v="2096"/>
    <x v="1"/>
    <n v="18830"/>
    <n v="1"/>
    <x v="1"/>
    <n v="18"/>
    <n v="3"/>
    <n v="4"/>
    <n v="0"/>
    <n v="2"/>
    <n v="3"/>
    <n v="2"/>
    <n v="2"/>
    <x v="1"/>
    <n v="2"/>
    <n v="2"/>
    <n v="1"/>
  </r>
  <r>
    <n v="32"/>
    <x v="1"/>
    <s v="Travel_Rarely"/>
    <n v="604"/>
    <x v="0"/>
    <n v="8"/>
    <n v="3"/>
    <s v="Medical"/>
    <n v="1304"/>
    <n v="3"/>
    <s v="Male"/>
    <n v="56"/>
    <n v="4"/>
    <n v="2"/>
    <x v="0"/>
    <x v="0"/>
    <s v="Married"/>
    <n v="6209"/>
    <x v="0"/>
    <n v="11693"/>
    <n v="1"/>
    <x v="1"/>
    <n v="15"/>
    <n v="3"/>
    <n v="3"/>
    <n v="2"/>
    <n v="10"/>
    <n v="4"/>
    <n v="4"/>
    <n v="10"/>
    <x v="0"/>
    <n v="7"/>
    <n v="0"/>
    <n v="8"/>
  </r>
  <r>
    <n v="45"/>
    <x v="1"/>
    <s v="Travel_Frequently"/>
    <n v="364"/>
    <x v="1"/>
    <n v="25"/>
    <n v="3"/>
    <s v="Medical"/>
    <n v="1306"/>
    <n v="2"/>
    <s v="Female"/>
    <n v="83"/>
    <n v="3"/>
    <n v="5"/>
    <x v="5"/>
    <x v="1"/>
    <s v="Single"/>
    <n v="18061"/>
    <x v="2"/>
    <n v="13035"/>
    <n v="3"/>
    <x v="1"/>
    <n v="22"/>
    <n v="4"/>
    <n v="3"/>
    <n v="0"/>
    <n v="22"/>
    <n v="4"/>
    <n v="3"/>
    <n v="0"/>
    <x v="1"/>
    <n v="0"/>
    <n v="0"/>
    <n v="0"/>
  </r>
  <r>
    <n v="39"/>
    <x v="1"/>
    <s v="Travel_Rarely"/>
    <n v="412"/>
    <x v="1"/>
    <n v="13"/>
    <n v="4"/>
    <s v="Medical"/>
    <n v="1307"/>
    <n v="3"/>
    <s v="Female"/>
    <n v="94"/>
    <n v="2"/>
    <n v="4"/>
    <x v="5"/>
    <x v="1"/>
    <s v="Divorced"/>
    <n v="17123"/>
    <x v="2"/>
    <n v="17334"/>
    <n v="6"/>
    <x v="0"/>
    <n v="13"/>
    <n v="3"/>
    <n v="4"/>
    <n v="2"/>
    <n v="21"/>
    <n v="4"/>
    <n v="3"/>
    <n v="19"/>
    <x v="3"/>
    <n v="9"/>
    <n v="15"/>
    <n v="2"/>
  </r>
  <r>
    <n v="58"/>
    <x v="1"/>
    <s v="Travel_Rarely"/>
    <n v="848"/>
    <x v="1"/>
    <n v="23"/>
    <n v="4"/>
    <s v="Life Sciences"/>
    <n v="1308"/>
    <n v="1"/>
    <s v="Male"/>
    <n v="88"/>
    <n v="3"/>
    <n v="1"/>
    <x v="1"/>
    <x v="2"/>
    <s v="Divorced"/>
    <n v="2372"/>
    <x v="1"/>
    <n v="26076"/>
    <n v="1"/>
    <x v="1"/>
    <n v="12"/>
    <n v="3"/>
    <n v="4"/>
    <n v="2"/>
    <n v="2"/>
    <n v="3"/>
    <n v="3"/>
    <n v="2"/>
    <x v="1"/>
    <n v="2"/>
    <n v="2"/>
    <n v="2"/>
  </r>
  <r>
    <n v="32"/>
    <x v="0"/>
    <s v="Travel_Rarely"/>
    <n v="1089"/>
    <x v="1"/>
    <n v="7"/>
    <n v="2"/>
    <s v="Life Sciences"/>
    <n v="1309"/>
    <n v="4"/>
    <s v="Male"/>
    <n v="79"/>
    <n v="3"/>
    <n v="2"/>
    <x v="2"/>
    <x v="2"/>
    <s v="Married"/>
    <n v="4883"/>
    <x v="0"/>
    <n v="22845"/>
    <n v="1"/>
    <x v="1"/>
    <n v="18"/>
    <n v="3"/>
    <n v="1"/>
    <n v="1"/>
    <n v="10"/>
    <n v="3"/>
    <n v="3"/>
    <n v="10"/>
    <x v="0"/>
    <n v="4"/>
    <n v="1"/>
    <n v="1"/>
  </r>
  <r>
    <n v="39"/>
    <x v="0"/>
    <s v="Travel_Rarely"/>
    <n v="360"/>
    <x v="1"/>
    <n v="23"/>
    <n v="3"/>
    <s v="Medical"/>
    <n v="1310"/>
    <n v="3"/>
    <s v="Male"/>
    <n v="93"/>
    <n v="3"/>
    <n v="1"/>
    <x v="1"/>
    <x v="3"/>
    <s v="Single"/>
    <n v="3904"/>
    <x v="0"/>
    <n v="22154"/>
    <n v="0"/>
    <x v="1"/>
    <n v="13"/>
    <n v="3"/>
    <n v="1"/>
    <n v="0"/>
    <n v="6"/>
    <n v="2"/>
    <n v="3"/>
    <n v="5"/>
    <x v="2"/>
    <n v="2"/>
    <n v="0"/>
    <n v="3"/>
  </r>
  <r>
    <n v="30"/>
    <x v="1"/>
    <s v="Travel_Rarely"/>
    <n v="1138"/>
    <x v="1"/>
    <n v="6"/>
    <n v="3"/>
    <s v="Technical Degree"/>
    <n v="1311"/>
    <n v="1"/>
    <s v="Female"/>
    <n v="48"/>
    <n v="2"/>
    <n v="2"/>
    <x v="2"/>
    <x v="0"/>
    <s v="Married"/>
    <n v="4627"/>
    <x v="0"/>
    <n v="23631"/>
    <n v="0"/>
    <x v="1"/>
    <n v="12"/>
    <n v="3"/>
    <n v="1"/>
    <n v="1"/>
    <n v="10"/>
    <n v="6"/>
    <n v="3"/>
    <n v="9"/>
    <x v="0"/>
    <n v="2"/>
    <n v="6"/>
    <n v="7"/>
  </r>
  <r>
    <n v="36"/>
    <x v="1"/>
    <s v="Travel_Rarely"/>
    <n v="325"/>
    <x v="1"/>
    <n v="10"/>
    <n v="4"/>
    <s v="Technical Degree"/>
    <n v="1312"/>
    <n v="4"/>
    <s v="Female"/>
    <n v="63"/>
    <n v="3"/>
    <n v="3"/>
    <x v="4"/>
    <x v="2"/>
    <s v="Married"/>
    <n v="7094"/>
    <x v="2"/>
    <n v="5747"/>
    <n v="3"/>
    <x v="1"/>
    <n v="12"/>
    <n v="3"/>
    <n v="1"/>
    <n v="0"/>
    <n v="10"/>
    <n v="0"/>
    <n v="3"/>
    <n v="7"/>
    <x v="0"/>
    <n v="7"/>
    <n v="1"/>
    <n v="7"/>
  </r>
  <r>
    <n v="46"/>
    <x v="1"/>
    <s v="Travel_Rarely"/>
    <n v="991"/>
    <x v="2"/>
    <n v="1"/>
    <n v="2"/>
    <s v="Life Sciences"/>
    <n v="1314"/>
    <n v="4"/>
    <s v="Female"/>
    <n v="44"/>
    <n v="3"/>
    <n v="1"/>
    <x v="8"/>
    <x v="3"/>
    <s v="Single"/>
    <n v="3423"/>
    <x v="0"/>
    <n v="22957"/>
    <n v="6"/>
    <x v="1"/>
    <n v="12"/>
    <n v="3"/>
    <n v="3"/>
    <n v="0"/>
    <n v="10"/>
    <n v="3"/>
    <n v="4"/>
    <n v="7"/>
    <x v="0"/>
    <n v="6"/>
    <n v="5"/>
    <n v="7"/>
  </r>
  <r>
    <n v="28"/>
    <x v="1"/>
    <s v="Non-Travel"/>
    <n v="1476"/>
    <x v="1"/>
    <n v="1"/>
    <n v="3"/>
    <s v="Life Sciences"/>
    <n v="1315"/>
    <n v="3"/>
    <s v="Female"/>
    <n v="55"/>
    <n v="1"/>
    <n v="2"/>
    <x v="2"/>
    <x v="0"/>
    <s v="Married"/>
    <n v="6674"/>
    <x v="0"/>
    <n v="16392"/>
    <n v="0"/>
    <x v="1"/>
    <n v="11"/>
    <n v="3"/>
    <n v="1"/>
    <n v="3"/>
    <n v="10"/>
    <n v="6"/>
    <n v="3"/>
    <n v="9"/>
    <x v="0"/>
    <n v="8"/>
    <n v="7"/>
    <n v="5"/>
  </r>
  <r>
    <n v="50"/>
    <x v="1"/>
    <s v="Travel_Rarely"/>
    <n v="1322"/>
    <x v="1"/>
    <n v="28"/>
    <n v="3"/>
    <s v="Life Sciences"/>
    <n v="1317"/>
    <n v="4"/>
    <s v="Female"/>
    <n v="43"/>
    <n v="3"/>
    <n v="4"/>
    <x v="7"/>
    <x v="3"/>
    <s v="Married"/>
    <n v="16880"/>
    <x v="2"/>
    <n v="22422"/>
    <n v="4"/>
    <x v="0"/>
    <n v="11"/>
    <n v="3"/>
    <n v="2"/>
    <n v="0"/>
    <n v="25"/>
    <n v="2"/>
    <n v="3"/>
    <n v="3"/>
    <x v="2"/>
    <n v="2"/>
    <n v="1"/>
    <n v="2"/>
  </r>
  <r>
    <n v="40"/>
    <x v="0"/>
    <s v="Travel_Rarely"/>
    <n v="299"/>
    <x v="0"/>
    <n v="25"/>
    <n v="4"/>
    <s v="Marketing"/>
    <n v="1318"/>
    <n v="4"/>
    <s v="Male"/>
    <n v="57"/>
    <n v="2"/>
    <n v="3"/>
    <x v="0"/>
    <x v="1"/>
    <s v="Single"/>
    <n v="9094"/>
    <x v="2"/>
    <n v="17235"/>
    <n v="2"/>
    <x v="0"/>
    <n v="12"/>
    <n v="3"/>
    <n v="3"/>
    <n v="0"/>
    <n v="9"/>
    <n v="2"/>
    <n v="3"/>
    <n v="5"/>
    <x v="2"/>
    <n v="4"/>
    <n v="1"/>
    <n v="0"/>
  </r>
  <r>
    <n v="52"/>
    <x v="0"/>
    <s v="Travel_Rarely"/>
    <n v="1030"/>
    <x v="0"/>
    <n v="5"/>
    <n v="3"/>
    <s v="Life Sciences"/>
    <n v="1319"/>
    <n v="2"/>
    <s v="Male"/>
    <n v="64"/>
    <n v="3"/>
    <n v="3"/>
    <x v="0"/>
    <x v="1"/>
    <s v="Single"/>
    <n v="8446"/>
    <x v="2"/>
    <n v="21534"/>
    <n v="9"/>
    <x v="0"/>
    <n v="19"/>
    <n v="3"/>
    <n v="3"/>
    <n v="0"/>
    <n v="10"/>
    <n v="2"/>
    <n v="2"/>
    <n v="8"/>
    <x v="0"/>
    <n v="7"/>
    <n v="7"/>
    <n v="7"/>
  </r>
  <r>
    <n v="30"/>
    <x v="1"/>
    <s v="Travel_Rarely"/>
    <n v="634"/>
    <x v="1"/>
    <n v="17"/>
    <n v="4"/>
    <s v="Medical"/>
    <n v="1321"/>
    <n v="2"/>
    <s v="Female"/>
    <n v="95"/>
    <n v="3"/>
    <n v="3"/>
    <x v="5"/>
    <x v="3"/>
    <s v="Married"/>
    <n v="11916"/>
    <x v="2"/>
    <n v="25927"/>
    <n v="1"/>
    <x v="0"/>
    <n v="23"/>
    <n v="4"/>
    <n v="4"/>
    <n v="2"/>
    <n v="9"/>
    <n v="2"/>
    <n v="3"/>
    <n v="9"/>
    <x v="0"/>
    <n v="1"/>
    <n v="0"/>
    <n v="8"/>
  </r>
  <r>
    <n v="39"/>
    <x v="1"/>
    <s v="Travel_Rarely"/>
    <n v="524"/>
    <x v="1"/>
    <n v="18"/>
    <n v="2"/>
    <s v="Life Sciences"/>
    <n v="1322"/>
    <n v="1"/>
    <s v="Male"/>
    <n v="32"/>
    <n v="3"/>
    <n v="2"/>
    <x v="3"/>
    <x v="2"/>
    <s v="Single"/>
    <n v="4534"/>
    <x v="0"/>
    <n v="13352"/>
    <n v="0"/>
    <x v="1"/>
    <n v="11"/>
    <n v="3"/>
    <n v="1"/>
    <n v="0"/>
    <n v="9"/>
    <n v="6"/>
    <n v="3"/>
    <n v="8"/>
    <x v="0"/>
    <n v="7"/>
    <n v="1"/>
    <n v="7"/>
  </r>
  <r>
    <n v="31"/>
    <x v="1"/>
    <s v="Non-Travel"/>
    <n v="587"/>
    <x v="0"/>
    <n v="2"/>
    <n v="4"/>
    <s v="Life Sciences"/>
    <n v="1324"/>
    <n v="4"/>
    <s v="Female"/>
    <n v="57"/>
    <n v="3"/>
    <n v="3"/>
    <x v="0"/>
    <x v="2"/>
    <s v="Divorced"/>
    <n v="9852"/>
    <x v="2"/>
    <n v="8935"/>
    <n v="1"/>
    <x v="0"/>
    <n v="19"/>
    <n v="3"/>
    <n v="1"/>
    <n v="1"/>
    <n v="10"/>
    <n v="5"/>
    <n v="2"/>
    <n v="10"/>
    <x v="0"/>
    <n v="8"/>
    <n v="9"/>
    <n v="6"/>
  </r>
  <r>
    <n v="41"/>
    <x v="1"/>
    <s v="Non-Travel"/>
    <n v="256"/>
    <x v="0"/>
    <n v="10"/>
    <n v="2"/>
    <s v="Medical"/>
    <n v="1329"/>
    <n v="3"/>
    <s v="Male"/>
    <n v="40"/>
    <n v="1"/>
    <n v="2"/>
    <x v="0"/>
    <x v="1"/>
    <s v="Single"/>
    <n v="6151"/>
    <x v="0"/>
    <n v="22074"/>
    <n v="1"/>
    <x v="1"/>
    <n v="13"/>
    <n v="3"/>
    <n v="1"/>
    <n v="0"/>
    <n v="19"/>
    <n v="4"/>
    <n v="3"/>
    <n v="19"/>
    <x v="3"/>
    <n v="2"/>
    <n v="11"/>
    <n v="9"/>
  </r>
  <r>
    <n v="31"/>
    <x v="0"/>
    <s v="Travel_Frequently"/>
    <n v="1060"/>
    <x v="0"/>
    <n v="1"/>
    <n v="3"/>
    <s v="Life Sciences"/>
    <n v="1331"/>
    <n v="4"/>
    <s v="Female"/>
    <n v="54"/>
    <n v="3"/>
    <n v="1"/>
    <x v="6"/>
    <x v="1"/>
    <s v="Single"/>
    <n v="2302"/>
    <x v="1"/>
    <n v="8319"/>
    <n v="1"/>
    <x v="0"/>
    <n v="11"/>
    <n v="3"/>
    <n v="1"/>
    <n v="0"/>
    <n v="3"/>
    <n v="2"/>
    <n v="4"/>
    <n v="3"/>
    <x v="2"/>
    <n v="2"/>
    <n v="2"/>
    <n v="2"/>
  </r>
  <r>
    <n v="44"/>
    <x v="0"/>
    <s v="Travel_Rarely"/>
    <n v="935"/>
    <x v="1"/>
    <n v="3"/>
    <n v="3"/>
    <s v="Life Sciences"/>
    <n v="1333"/>
    <n v="1"/>
    <s v="Male"/>
    <n v="89"/>
    <n v="3"/>
    <n v="1"/>
    <x v="2"/>
    <x v="3"/>
    <s v="Married"/>
    <n v="2362"/>
    <x v="1"/>
    <n v="14669"/>
    <n v="4"/>
    <x v="1"/>
    <n v="12"/>
    <n v="3"/>
    <n v="3"/>
    <n v="0"/>
    <n v="10"/>
    <n v="4"/>
    <n v="4"/>
    <n v="3"/>
    <x v="2"/>
    <n v="2"/>
    <n v="1"/>
    <n v="2"/>
  </r>
  <r>
    <n v="42"/>
    <x v="1"/>
    <s v="Non-Travel"/>
    <n v="495"/>
    <x v="1"/>
    <n v="2"/>
    <n v="1"/>
    <s v="Life Sciences"/>
    <n v="1334"/>
    <n v="3"/>
    <s v="Male"/>
    <n v="37"/>
    <n v="3"/>
    <n v="4"/>
    <x v="5"/>
    <x v="2"/>
    <s v="Married"/>
    <n v="17861"/>
    <x v="2"/>
    <n v="26582"/>
    <n v="0"/>
    <x v="0"/>
    <n v="13"/>
    <n v="3"/>
    <n v="4"/>
    <n v="0"/>
    <n v="21"/>
    <n v="3"/>
    <n v="2"/>
    <n v="20"/>
    <x v="3"/>
    <n v="8"/>
    <n v="2"/>
    <n v="10"/>
  </r>
  <r>
    <n v="55"/>
    <x v="1"/>
    <s v="Travel_Rarely"/>
    <n v="282"/>
    <x v="1"/>
    <n v="2"/>
    <n v="2"/>
    <s v="Medical"/>
    <n v="1336"/>
    <n v="4"/>
    <s v="Female"/>
    <n v="58"/>
    <n v="1"/>
    <n v="5"/>
    <x v="5"/>
    <x v="2"/>
    <s v="Married"/>
    <n v="19187"/>
    <x v="2"/>
    <n v="6992"/>
    <n v="4"/>
    <x v="1"/>
    <n v="14"/>
    <n v="3"/>
    <n v="4"/>
    <n v="1"/>
    <n v="23"/>
    <n v="5"/>
    <n v="3"/>
    <n v="19"/>
    <x v="3"/>
    <n v="9"/>
    <n v="9"/>
    <n v="11"/>
  </r>
  <r>
    <n v="56"/>
    <x v="1"/>
    <s v="Travel_Rarely"/>
    <n v="206"/>
    <x v="2"/>
    <n v="8"/>
    <n v="4"/>
    <s v="Life Sciences"/>
    <n v="1338"/>
    <n v="4"/>
    <s v="Male"/>
    <n v="99"/>
    <n v="3"/>
    <n v="5"/>
    <x v="5"/>
    <x v="1"/>
    <s v="Single"/>
    <n v="19717"/>
    <x v="2"/>
    <n v="4022"/>
    <n v="6"/>
    <x v="1"/>
    <n v="14"/>
    <n v="3"/>
    <n v="1"/>
    <n v="0"/>
    <n v="36"/>
    <n v="4"/>
    <n v="3"/>
    <n v="7"/>
    <x v="0"/>
    <n v="3"/>
    <n v="7"/>
    <n v="7"/>
  </r>
  <r>
    <n v="40"/>
    <x v="1"/>
    <s v="Non-Travel"/>
    <n v="458"/>
    <x v="1"/>
    <n v="16"/>
    <n v="2"/>
    <s v="Life Sciences"/>
    <n v="1340"/>
    <n v="3"/>
    <s v="Male"/>
    <n v="74"/>
    <n v="3"/>
    <n v="1"/>
    <x v="1"/>
    <x v="2"/>
    <s v="Divorced"/>
    <n v="3544"/>
    <x v="0"/>
    <n v="8532"/>
    <n v="9"/>
    <x v="1"/>
    <n v="16"/>
    <n v="3"/>
    <n v="2"/>
    <n v="1"/>
    <n v="6"/>
    <n v="0"/>
    <n v="3"/>
    <n v="4"/>
    <x v="2"/>
    <n v="2"/>
    <n v="0"/>
    <n v="0"/>
  </r>
  <r>
    <n v="34"/>
    <x v="1"/>
    <s v="Travel_Rarely"/>
    <n v="943"/>
    <x v="1"/>
    <n v="9"/>
    <n v="3"/>
    <s v="Life Sciences"/>
    <n v="1344"/>
    <n v="4"/>
    <s v="Male"/>
    <n v="86"/>
    <n v="3"/>
    <n v="3"/>
    <x v="4"/>
    <x v="0"/>
    <s v="Divorced"/>
    <n v="8500"/>
    <x v="2"/>
    <n v="5494"/>
    <n v="0"/>
    <x v="1"/>
    <n v="11"/>
    <n v="3"/>
    <n v="4"/>
    <n v="1"/>
    <n v="10"/>
    <n v="0"/>
    <n v="2"/>
    <n v="9"/>
    <x v="0"/>
    <n v="7"/>
    <n v="1"/>
    <n v="6"/>
  </r>
  <r>
    <n v="40"/>
    <x v="1"/>
    <s v="Travel_Rarely"/>
    <n v="523"/>
    <x v="1"/>
    <n v="2"/>
    <n v="3"/>
    <s v="Life Sciences"/>
    <n v="1346"/>
    <n v="3"/>
    <s v="Male"/>
    <n v="98"/>
    <n v="3"/>
    <n v="2"/>
    <x v="1"/>
    <x v="0"/>
    <s v="Single"/>
    <n v="4661"/>
    <x v="0"/>
    <n v="22455"/>
    <n v="1"/>
    <x v="1"/>
    <n v="13"/>
    <n v="3"/>
    <n v="3"/>
    <n v="0"/>
    <n v="9"/>
    <n v="4"/>
    <n v="3"/>
    <n v="9"/>
    <x v="0"/>
    <n v="8"/>
    <n v="8"/>
    <n v="8"/>
  </r>
  <r>
    <n v="41"/>
    <x v="1"/>
    <s v="Travel_Frequently"/>
    <n v="1018"/>
    <x v="0"/>
    <n v="1"/>
    <n v="3"/>
    <s v="Marketing"/>
    <n v="1349"/>
    <n v="3"/>
    <s v="Female"/>
    <n v="66"/>
    <n v="3"/>
    <n v="2"/>
    <x v="0"/>
    <x v="3"/>
    <s v="Divorced"/>
    <n v="4103"/>
    <x v="0"/>
    <n v="4297"/>
    <n v="0"/>
    <x v="1"/>
    <n v="17"/>
    <n v="3"/>
    <n v="4"/>
    <n v="1"/>
    <n v="10"/>
    <n v="2"/>
    <n v="3"/>
    <n v="9"/>
    <x v="0"/>
    <n v="3"/>
    <n v="1"/>
    <n v="7"/>
  </r>
  <r>
    <n v="35"/>
    <x v="1"/>
    <s v="Travel_Frequently"/>
    <n v="482"/>
    <x v="1"/>
    <n v="4"/>
    <n v="4"/>
    <s v="Life Sciences"/>
    <n v="1350"/>
    <n v="3"/>
    <s v="Male"/>
    <n v="87"/>
    <n v="3"/>
    <n v="2"/>
    <x v="1"/>
    <x v="2"/>
    <s v="Single"/>
    <n v="4249"/>
    <x v="0"/>
    <n v="2690"/>
    <n v="1"/>
    <x v="0"/>
    <n v="11"/>
    <n v="3"/>
    <n v="2"/>
    <n v="0"/>
    <n v="9"/>
    <n v="3"/>
    <n v="3"/>
    <n v="9"/>
    <x v="0"/>
    <n v="6"/>
    <n v="1"/>
    <n v="1"/>
  </r>
  <r>
    <n v="51"/>
    <x v="1"/>
    <s v="Travel_Rarely"/>
    <n v="770"/>
    <x v="2"/>
    <n v="5"/>
    <n v="3"/>
    <s v="Life Sciences"/>
    <n v="1352"/>
    <n v="3"/>
    <s v="Male"/>
    <n v="84"/>
    <n v="3"/>
    <n v="4"/>
    <x v="5"/>
    <x v="1"/>
    <s v="Divorced"/>
    <n v="14026"/>
    <x v="2"/>
    <n v="17588"/>
    <n v="1"/>
    <x v="0"/>
    <n v="11"/>
    <n v="3"/>
    <n v="2"/>
    <n v="1"/>
    <n v="33"/>
    <n v="2"/>
    <n v="3"/>
    <n v="33"/>
    <x v="3"/>
    <n v="9"/>
    <n v="0"/>
    <n v="10"/>
  </r>
  <r>
    <n v="38"/>
    <x v="1"/>
    <s v="Travel_Rarely"/>
    <n v="1009"/>
    <x v="0"/>
    <n v="2"/>
    <n v="2"/>
    <s v="Life Sciences"/>
    <n v="1355"/>
    <n v="2"/>
    <s v="Female"/>
    <n v="31"/>
    <n v="3"/>
    <n v="2"/>
    <x v="0"/>
    <x v="3"/>
    <s v="Divorced"/>
    <n v="6893"/>
    <x v="0"/>
    <n v="19461"/>
    <n v="3"/>
    <x v="1"/>
    <n v="15"/>
    <n v="3"/>
    <n v="4"/>
    <n v="1"/>
    <n v="11"/>
    <n v="3"/>
    <n v="3"/>
    <n v="7"/>
    <x v="0"/>
    <n v="7"/>
    <n v="1"/>
    <n v="7"/>
  </r>
  <r>
    <n v="34"/>
    <x v="1"/>
    <s v="Travel_Rarely"/>
    <n v="507"/>
    <x v="0"/>
    <n v="15"/>
    <n v="2"/>
    <s v="Medical"/>
    <n v="1356"/>
    <n v="3"/>
    <s v="Female"/>
    <n v="66"/>
    <n v="3"/>
    <n v="2"/>
    <x v="0"/>
    <x v="3"/>
    <s v="Single"/>
    <n v="6125"/>
    <x v="0"/>
    <n v="23553"/>
    <n v="1"/>
    <x v="1"/>
    <n v="12"/>
    <n v="3"/>
    <n v="4"/>
    <n v="0"/>
    <n v="10"/>
    <n v="6"/>
    <n v="4"/>
    <n v="10"/>
    <x v="0"/>
    <n v="8"/>
    <n v="9"/>
    <n v="6"/>
  </r>
  <r>
    <n v="25"/>
    <x v="1"/>
    <s v="Travel_Rarely"/>
    <n v="882"/>
    <x v="1"/>
    <n v="19"/>
    <n v="1"/>
    <s v="Medical"/>
    <n v="1358"/>
    <n v="4"/>
    <s v="Male"/>
    <n v="67"/>
    <n v="3"/>
    <n v="1"/>
    <x v="2"/>
    <x v="0"/>
    <s v="Married"/>
    <n v="3669"/>
    <x v="0"/>
    <n v="9075"/>
    <n v="3"/>
    <x v="1"/>
    <n v="11"/>
    <n v="3"/>
    <n v="3"/>
    <n v="3"/>
    <n v="7"/>
    <n v="6"/>
    <n v="2"/>
    <n v="3"/>
    <x v="2"/>
    <n v="2"/>
    <n v="1"/>
    <n v="2"/>
  </r>
  <r>
    <n v="58"/>
    <x v="0"/>
    <s v="Travel_Rarely"/>
    <n v="601"/>
    <x v="1"/>
    <n v="7"/>
    <n v="4"/>
    <s v="Medical"/>
    <n v="1360"/>
    <n v="3"/>
    <s v="Female"/>
    <n v="53"/>
    <n v="2"/>
    <n v="3"/>
    <x v="3"/>
    <x v="3"/>
    <s v="Married"/>
    <n v="10008"/>
    <x v="2"/>
    <n v="12023"/>
    <n v="7"/>
    <x v="0"/>
    <n v="14"/>
    <n v="3"/>
    <n v="4"/>
    <n v="0"/>
    <n v="31"/>
    <n v="0"/>
    <n v="2"/>
    <n v="10"/>
    <x v="0"/>
    <n v="9"/>
    <n v="5"/>
    <n v="9"/>
  </r>
  <r>
    <n v="40"/>
    <x v="1"/>
    <s v="Travel_Rarely"/>
    <n v="329"/>
    <x v="1"/>
    <n v="1"/>
    <n v="4"/>
    <s v="Life Sciences"/>
    <n v="1361"/>
    <n v="2"/>
    <s v="Male"/>
    <n v="88"/>
    <n v="3"/>
    <n v="1"/>
    <x v="2"/>
    <x v="1"/>
    <s v="Married"/>
    <n v="2387"/>
    <x v="1"/>
    <n v="6762"/>
    <n v="3"/>
    <x v="1"/>
    <n v="22"/>
    <n v="4"/>
    <n v="3"/>
    <n v="1"/>
    <n v="7"/>
    <n v="3"/>
    <n v="3"/>
    <n v="4"/>
    <x v="2"/>
    <n v="2"/>
    <n v="0"/>
    <n v="3"/>
  </r>
  <r>
    <n v="36"/>
    <x v="1"/>
    <s v="Travel_Frequently"/>
    <n v="607"/>
    <x v="0"/>
    <n v="7"/>
    <n v="3"/>
    <s v="Marketing"/>
    <n v="1362"/>
    <n v="1"/>
    <s v="Female"/>
    <n v="83"/>
    <n v="4"/>
    <n v="2"/>
    <x v="0"/>
    <x v="3"/>
    <s v="Married"/>
    <n v="4639"/>
    <x v="0"/>
    <n v="2261"/>
    <n v="2"/>
    <x v="1"/>
    <n v="16"/>
    <n v="3"/>
    <n v="4"/>
    <n v="1"/>
    <n v="17"/>
    <n v="2"/>
    <n v="2"/>
    <n v="15"/>
    <x v="3"/>
    <n v="7"/>
    <n v="6"/>
    <n v="13"/>
  </r>
  <r>
    <n v="48"/>
    <x v="1"/>
    <s v="Travel_Rarely"/>
    <n v="855"/>
    <x v="1"/>
    <n v="4"/>
    <n v="3"/>
    <s v="Life Sciences"/>
    <n v="1363"/>
    <n v="4"/>
    <s v="Male"/>
    <n v="54"/>
    <n v="3"/>
    <n v="3"/>
    <x v="3"/>
    <x v="0"/>
    <s v="Single"/>
    <n v="7898"/>
    <x v="2"/>
    <n v="18706"/>
    <n v="1"/>
    <x v="1"/>
    <n v="11"/>
    <n v="3"/>
    <n v="3"/>
    <n v="0"/>
    <n v="11"/>
    <n v="2"/>
    <n v="3"/>
    <n v="10"/>
    <x v="0"/>
    <n v="9"/>
    <n v="0"/>
    <n v="8"/>
  </r>
  <r>
    <n v="27"/>
    <x v="1"/>
    <s v="Travel_Rarely"/>
    <n v="1291"/>
    <x v="0"/>
    <n v="11"/>
    <n v="3"/>
    <s v="Medical"/>
    <n v="1364"/>
    <n v="3"/>
    <s v="Female"/>
    <n v="98"/>
    <n v="4"/>
    <n v="1"/>
    <x v="6"/>
    <x v="0"/>
    <s v="Married"/>
    <n v="2534"/>
    <x v="1"/>
    <n v="6527"/>
    <n v="8"/>
    <x v="1"/>
    <n v="14"/>
    <n v="3"/>
    <n v="2"/>
    <n v="1"/>
    <n v="5"/>
    <n v="4"/>
    <n v="3"/>
    <n v="1"/>
    <x v="1"/>
    <n v="0"/>
    <n v="0"/>
    <n v="0"/>
  </r>
  <r>
    <n v="51"/>
    <x v="1"/>
    <s v="Travel_Rarely"/>
    <n v="1405"/>
    <x v="1"/>
    <n v="11"/>
    <n v="2"/>
    <s v="Technical Degree"/>
    <n v="1367"/>
    <n v="4"/>
    <s v="Female"/>
    <n v="82"/>
    <n v="2"/>
    <n v="4"/>
    <x v="3"/>
    <x v="1"/>
    <s v="Single"/>
    <n v="13142"/>
    <x v="2"/>
    <n v="24439"/>
    <n v="3"/>
    <x v="1"/>
    <n v="16"/>
    <n v="3"/>
    <n v="2"/>
    <n v="0"/>
    <n v="29"/>
    <n v="1"/>
    <n v="2"/>
    <n v="5"/>
    <x v="2"/>
    <n v="2"/>
    <n v="0"/>
    <n v="3"/>
  </r>
  <r>
    <n v="18"/>
    <x v="1"/>
    <s v="Non-Travel"/>
    <n v="1124"/>
    <x v="1"/>
    <n v="1"/>
    <n v="3"/>
    <s v="Life Sciences"/>
    <n v="1368"/>
    <n v="4"/>
    <s v="Female"/>
    <n v="97"/>
    <n v="3"/>
    <n v="1"/>
    <x v="2"/>
    <x v="0"/>
    <s v="Single"/>
    <n v="1611"/>
    <x v="1"/>
    <n v="19305"/>
    <n v="1"/>
    <x v="1"/>
    <n v="15"/>
    <n v="3"/>
    <n v="3"/>
    <n v="0"/>
    <n v="0"/>
    <n v="5"/>
    <n v="4"/>
    <n v="0"/>
    <x v="1"/>
    <n v="0"/>
    <n v="0"/>
    <n v="0"/>
  </r>
  <r>
    <n v="35"/>
    <x v="1"/>
    <s v="Travel_Rarely"/>
    <n v="817"/>
    <x v="1"/>
    <n v="1"/>
    <n v="3"/>
    <s v="Medical"/>
    <n v="1369"/>
    <n v="4"/>
    <s v="Female"/>
    <n v="60"/>
    <n v="2"/>
    <n v="2"/>
    <x v="2"/>
    <x v="0"/>
    <s v="Married"/>
    <n v="5363"/>
    <x v="0"/>
    <n v="10846"/>
    <n v="0"/>
    <x v="1"/>
    <n v="12"/>
    <n v="3"/>
    <n v="2"/>
    <n v="1"/>
    <n v="10"/>
    <n v="0"/>
    <n v="3"/>
    <n v="9"/>
    <x v="0"/>
    <n v="7"/>
    <n v="0"/>
    <n v="0"/>
  </r>
  <r>
    <n v="27"/>
    <x v="1"/>
    <s v="Travel_Frequently"/>
    <n v="793"/>
    <x v="0"/>
    <n v="2"/>
    <n v="1"/>
    <s v="Life Sciences"/>
    <n v="1371"/>
    <n v="4"/>
    <s v="Male"/>
    <n v="43"/>
    <n v="1"/>
    <n v="2"/>
    <x v="0"/>
    <x v="0"/>
    <s v="Single"/>
    <n v="5071"/>
    <x v="0"/>
    <n v="20392"/>
    <n v="3"/>
    <x v="1"/>
    <n v="20"/>
    <n v="4"/>
    <n v="2"/>
    <n v="0"/>
    <n v="8"/>
    <n v="3"/>
    <n v="3"/>
    <n v="6"/>
    <x v="0"/>
    <n v="2"/>
    <n v="0"/>
    <n v="0"/>
  </r>
  <r>
    <n v="55"/>
    <x v="0"/>
    <s v="Travel_Rarely"/>
    <n v="267"/>
    <x v="0"/>
    <n v="13"/>
    <n v="4"/>
    <s v="Marketing"/>
    <n v="1372"/>
    <n v="1"/>
    <s v="Male"/>
    <n v="85"/>
    <n v="4"/>
    <n v="4"/>
    <x v="0"/>
    <x v="2"/>
    <s v="Single"/>
    <n v="13695"/>
    <x v="2"/>
    <n v="9277"/>
    <n v="6"/>
    <x v="0"/>
    <n v="17"/>
    <n v="3"/>
    <n v="3"/>
    <n v="0"/>
    <n v="24"/>
    <n v="2"/>
    <n v="2"/>
    <n v="19"/>
    <x v="3"/>
    <n v="7"/>
    <n v="3"/>
    <n v="8"/>
  </r>
  <r>
    <n v="56"/>
    <x v="1"/>
    <s v="Travel_Rarely"/>
    <n v="1369"/>
    <x v="1"/>
    <n v="23"/>
    <n v="3"/>
    <s v="Life Sciences"/>
    <n v="1373"/>
    <n v="4"/>
    <s v="Male"/>
    <n v="68"/>
    <n v="3"/>
    <n v="4"/>
    <x v="3"/>
    <x v="1"/>
    <s v="Married"/>
    <n v="13402"/>
    <x v="2"/>
    <n v="18235"/>
    <n v="4"/>
    <x v="0"/>
    <n v="12"/>
    <n v="3"/>
    <n v="1"/>
    <n v="1"/>
    <n v="33"/>
    <n v="0"/>
    <n v="3"/>
    <n v="19"/>
    <x v="3"/>
    <n v="16"/>
    <n v="15"/>
    <n v="9"/>
  </r>
  <r>
    <n v="34"/>
    <x v="1"/>
    <s v="Non-Travel"/>
    <n v="999"/>
    <x v="1"/>
    <n v="26"/>
    <n v="1"/>
    <s v="Technical Degree"/>
    <n v="1374"/>
    <n v="1"/>
    <s v="Female"/>
    <n v="92"/>
    <n v="2"/>
    <n v="1"/>
    <x v="1"/>
    <x v="2"/>
    <s v="Divorced"/>
    <n v="2029"/>
    <x v="1"/>
    <n v="15891"/>
    <n v="1"/>
    <x v="1"/>
    <n v="20"/>
    <n v="4"/>
    <n v="3"/>
    <n v="3"/>
    <n v="5"/>
    <n v="2"/>
    <n v="3"/>
    <n v="5"/>
    <x v="2"/>
    <n v="4"/>
    <n v="0"/>
    <n v="0"/>
  </r>
  <r>
    <n v="40"/>
    <x v="1"/>
    <s v="Travel_Rarely"/>
    <n v="1202"/>
    <x v="1"/>
    <n v="2"/>
    <n v="1"/>
    <s v="Medical"/>
    <n v="1375"/>
    <n v="2"/>
    <s v="Female"/>
    <n v="89"/>
    <n v="4"/>
    <n v="2"/>
    <x v="4"/>
    <x v="2"/>
    <s v="Divorced"/>
    <n v="6377"/>
    <x v="0"/>
    <n v="13888"/>
    <n v="5"/>
    <x v="1"/>
    <n v="20"/>
    <n v="4"/>
    <n v="2"/>
    <n v="3"/>
    <n v="15"/>
    <n v="0"/>
    <n v="3"/>
    <n v="12"/>
    <x v="3"/>
    <n v="11"/>
    <n v="11"/>
    <n v="8"/>
  </r>
  <r>
    <n v="34"/>
    <x v="1"/>
    <s v="Travel_Rarely"/>
    <n v="285"/>
    <x v="1"/>
    <n v="29"/>
    <n v="3"/>
    <s v="Medical"/>
    <n v="1377"/>
    <n v="2"/>
    <s v="Male"/>
    <n v="86"/>
    <n v="3"/>
    <n v="2"/>
    <x v="2"/>
    <x v="2"/>
    <s v="Married"/>
    <n v="5429"/>
    <x v="0"/>
    <n v="17491"/>
    <n v="4"/>
    <x v="1"/>
    <n v="13"/>
    <n v="3"/>
    <n v="1"/>
    <n v="2"/>
    <n v="10"/>
    <n v="1"/>
    <n v="3"/>
    <n v="8"/>
    <x v="0"/>
    <n v="7"/>
    <n v="7"/>
    <n v="7"/>
  </r>
  <r>
    <n v="31"/>
    <x v="0"/>
    <s v="Travel_Frequently"/>
    <n v="703"/>
    <x v="0"/>
    <n v="2"/>
    <n v="3"/>
    <s v="Life Sciences"/>
    <n v="1379"/>
    <n v="3"/>
    <s v="Female"/>
    <n v="90"/>
    <n v="2"/>
    <n v="1"/>
    <x v="6"/>
    <x v="0"/>
    <s v="Single"/>
    <n v="2785"/>
    <x v="1"/>
    <n v="11882"/>
    <n v="7"/>
    <x v="1"/>
    <n v="14"/>
    <n v="3"/>
    <n v="3"/>
    <n v="0"/>
    <n v="3"/>
    <n v="3"/>
    <n v="4"/>
    <n v="1"/>
    <x v="1"/>
    <n v="0"/>
    <n v="0"/>
    <n v="0"/>
  </r>
  <r>
    <n v="35"/>
    <x v="0"/>
    <s v="Travel_Frequently"/>
    <n v="662"/>
    <x v="0"/>
    <n v="18"/>
    <n v="4"/>
    <s v="Marketing"/>
    <n v="1380"/>
    <n v="4"/>
    <s v="Female"/>
    <n v="67"/>
    <n v="3"/>
    <n v="2"/>
    <x v="0"/>
    <x v="2"/>
    <s v="Married"/>
    <n v="4614"/>
    <x v="0"/>
    <n v="23288"/>
    <n v="0"/>
    <x v="0"/>
    <n v="18"/>
    <n v="3"/>
    <n v="3"/>
    <n v="1"/>
    <n v="5"/>
    <n v="0"/>
    <n v="2"/>
    <n v="4"/>
    <x v="2"/>
    <n v="2"/>
    <n v="3"/>
    <n v="2"/>
  </r>
  <r>
    <n v="38"/>
    <x v="1"/>
    <s v="Travel_Frequently"/>
    <n v="693"/>
    <x v="1"/>
    <n v="7"/>
    <n v="3"/>
    <s v="Life Sciences"/>
    <n v="1382"/>
    <n v="4"/>
    <s v="Male"/>
    <n v="57"/>
    <n v="4"/>
    <n v="1"/>
    <x v="1"/>
    <x v="2"/>
    <s v="Divorced"/>
    <n v="2610"/>
    <x v="1"/>
    <n v="15748"/>
    <n v="1"/>
    <x v="1"/>
    <n v="11"/>
    <n v="3"/>
    <n v="4"/>
    <n v="3"/>
    <n v="4"/>
    <n v="2"/>
    <n v="3"/>
    <n v="4"/>
    <x v="2"/>
    <n v="2"/>
    <n v="0"/>
    <n v="3"/>
  </r>
  <r>
    <n v="34"/>
    <x v="1"/>
    <s v="Travel_Rarely"/>
    <n v="404"/>
    <x v="1"/>
    <n v="2"/>
    <n v="4"/>
    <s v="Technical Degree"/>
    <n v="1383"/>
    <n v="3"/>
    <s v="Female"/>
    <n v="98"/>
    <n v="3"/>
    <n v="2"/>
    <x v="4"/>
    <x v="0"/>
    <s v="Single"/>
    <n v="6687"/>
    <x v="0"/>
    <n v="6163"/>
    <n v="1"/>
    <x v="1"/>
    <n v="11"/>
    <n v="3"/>
    <n v="4"/>
    <n v="0"/>
    <n v="14"/>
    <n v="2"/>
    <n v="4"/>
    <n v="14"/>
    <x v="3"/>
    <n v="11"/>
    <n v="4"/>
    <n v="11"/>
  </r>
  <r>
    <n v="28"/>
    <x v="1"/>
    <s v="Travel_Rarely"/>
    <n v="736"/>
    <x v="0"/>
    <n v="26"/>
    <n v="3"/>
    <s v="Life Sciences"/>
    <n v="1387"/>
    <n v="3"/>
    <s v="Male"/>
    <n v="48"/>
    <n v="2"/>
    <n v="2"/>
    <x v="0"/>
    <x v="3"/>
    <s v="Married"/>
    <n v="4724"/>
    <x v="0"/>
    <n v="24232"/>
    <n v="1"/>
    <x v="1"/>
    <n v="11"/>
    <n v="3"/>
    <n v="3"/>
    <n v="1"/>
    <n v="5"/>
    <n v="0"/>
    <n v="3"/>
    <n v="5"/>
    <x v="2"/>
    <n v="3"/>
    <n v="0"/>
    <n v="4"/>
  </r>
  <r>
    <n v="31"/>
    <x v="0"/>
    <s v="Travel_Rarely"/>
    <n v="330"/>
    <x v="1"/>
    <n v="22"/>
    <n v="4"/>
    <s v="Medical"/>
    <n v="1389"/>
    <n v="4"/>
    <s v="Male"/>
    <n v="98"/>
    <n v="3"/>
    <n v="2"/>
    <x v="3"/>
    <x v="2"/>
    <s v="Married"/>
    <n v="6179"/>
    <x v="0"/>
    <n v="21057"/>
    <n v="1"/>
    <x v="0"/>
    <n v="15"/>
    <n v="3"/>
    <n v="4"/>
    <n v="2"/>
    <n v="10"/>
    <n v="3"/>
    <n v="2"/>
    <n v="10"/>
    <x v="0"/>
    <n v="2"/>
    <n v="6"/>
    <n v="7"/>
  </r>
  <r>
    <n v="39"/>
    <x v="1"/>
    <s v="Travel_Rarely"/>
    <n v="1498"/>
    <x v="0"/>
    <n v="21"/>
    <n v="4"/>
    <s v="Life Sciences"/>
    <n v="1390"/>
    <n v="1"/>
    <s v="Male"/>
    <n v="44"/>
    <n v="2"/>
    <n v="2"/>
    <x v="0"/>
    <x v="0"/>
    <s v="Married"/>
    <n v="6120"/>
    <x v="0"/>
    <n v="3567"/>
    <n v="3"/>
    <x v="0"/>
    <n v="12"/>
    <n v="3"/>
    <n v="4"/>
    <n v="2"/>
    <n v="8"/>
    <n v="2"/>
    <n v="4"/>
    <n v="5"/>
    <x v="2"/>
    <n v="4"/>
    <n v="1"/>
    <n v="4"/>
  </r>
  <r>
    <n v="51"/>
    <x v="1"/>
    <s v="Travel_Frequently"/>
    <n v="541"/>
    <x v="0"/>
    <n v="2"/>
    <n v="3"/>
    <s v="Marketing"/>
    <n v="1391"/>
    <n v="2"/>
    <s v="Male"/>
    <n v="52"/>
    <n v="3"/>
    <n v="3"/>
    <x v="0"/>
    <x v="1"/>
    <s v="Married"/>
    <n v="10596"/>
    <x v="2"/>
    <n v="15395"/>
    <n v="2"/>
    <x v="1"/>
    <n v="11"/>
    <n v="3"/>
    <n v="2"/>
    <n v="0"/>
    <n v="14"/>
    <n v="5"/>
    <n v="3"/>
    <n v="4"/>
    <x v="2"/>
    <n v="2"/>
    <n v="3"/>
    <n v="2"/>
  </r>
  <r>
    <n v="41"/>
    <x v="1"/>
    <s v="Travel_Frequently"/>
    <n v="1200"/>
    <x v="1"/>
    <n v="22"/>
    <n v="3"/>
    <s v="Life Sciences"/>
    <n v="1392"/>
    <n v="4"/>
    <s v="Female"/>
    <n v="75"/>
    <n v="3"/>
    <n v="2"/>
    <x v="1"/>
    <x v="0"/>
    <s v="Divorced"/>
    <n v="5467"/>
    <x v="0"/>
    <n v="13953"/>
    <n v="3"/>
    <x v="0"/>
    <n v="14"/>
    <n v="3"/>
    <n v="1"/>
    <n v="2"/>
    <n v="12"/>
    <n v="4"/>
    <n v="2"/>
    <n v="6"/>
    <x v="0"/>
    <n v="2"/>
    <n v="3"/>
    <n v="3"/>
  </r>
  <r>
    <n v="37"/>
    <x v="1"/>
    <s v="Travel_Rarely"/>
    <n v="1439"/>
    <x v="1"/>
    <n v="4"/>
    <n v="1"/>
    <s v="Life Sciences"/>
    <n v="1394"/>
    <n v="3"/>
    <s v="Male"/>
    <n v="54"/>
    <n v="3"/>
    <n v="1"/>
    <x v="1"/>
    <x v="2"/>
    <s v="Married"/>
    <n v="2996"/>
    <x v="1"/>
    <n v="5182"/>
    <n v="7"/>
    <x v="0"/>
    <n v="15"/>
    <n v="3"/>
    <n v="4"/>
    <n v="0"/>
    <n v="8"/>
    <n v="2"/>
    <n v="3"/>
    <n v="6"/>
    <x v="0"/>
    <n v="4"/>
    <n v="1"/>
    <n v="3"/>
  </r>
  <r>
    <n v="33"/>
    <x v="1"/>
    <s v="Travel_Frequently"/>
    <n v="1111"/>
    <x v="0"/>
    <n v="5"/>
    <n v="1"/>
    <s v="Life Sciences"/>
    <n v="1395"/>
    <n v="2"/>
    <s v="Male"/>
    <n v="61"/>
    <n v="3"/>
    <n v="2"/>
    <x v="0"/>
    <x v="0"/>
    <s v="Married"/>
    <n v="9998"/>
    <x v="2"/>
    <n v="19293"/>
    <n v="6"/>
    <x v="1"/>
    <n v="13"/>
    <n v="3"/>
    <n v="1"/>
    <n v="0"/>
    <n v="8"/>
    <n v="2"/>
    <n v="4"/>
    <n v="5"/>
    <x v="2"/>
    <n v="4"/>
    <n v="1"/>
    <n v="2"/>
  </r>
  <r>
    <n v="32"/>
    <x v="1"/>
    <s v="Travel_Rarely"/>
    <n v="499"/>
    <x v="0"/>
    <n v="2"/>
    <n v="1"/>
    <s v="Marketing"/>
    <n v="1396"/>
    <n v="3"/>
    <s v="Male"/>
    <n v="36"/>
    <n v="3"/>
    <n v="2"/>
    <x v="0"/>
    <x v="1"/>
    <s v="Married"/>
    <n v="4078"/>
    <x v="0"/>
    <n v="20497"/>
    <n v="0"/>
    <x v="0"/>
    <n v="13"/>
    <n v="3"/>
    <n v="1"/>
    <n v="3"/>
    <n v="4"/>
    <n v="3"/>
    <n v="2"/>
    <n v="3"/>
    <x v="2"/>
    <n v="2"/>
    <n v="1"/>
    <n v="2"/>
  </r>
  <r>
    <n v="39"/>
    <x v="1"/>
    <s v="Non-Travel"/>
    <n v="1485"/>
    <x v="1"/>
    <n v="25"/>
    <n v="2"/>
    <s v="Life Sciences"/>
    <n v="1397"/>
    <n v="3"/>
    <s v="Male"/>
    <n v="71"/>
    <n v="3"/>
    <n v="3"/>
    <x v="4"/>
    <x v="2"/>
    <s v="Married"/>
    <n v="10920"/>
    <x v="2"/>
    <n v="3449"/>
    <n v="3"/>
    <x v="1"/>
    <n v="21"/>
    <n v="4"/>
    <n v="2"/>
    <n v="1"/>
    <n v="13"/>
    <n v="2"/>
    <n v="3"/>
    <n v="6"/>
    <x v="0"/>
    <n v="4"/>
    <n v="0"/>
    <n v="5"/>
  </r>
  <r>
    <n v="25"/>
    <x v="1"/>
    <s v="Travel_Rarely"/>
    <n v="1372"/>
    <x v="0"/>
    <n v="18"/>
    <n v="1"/>
    <s v="Life Sciences"/>
    <n v="1399"/>
    <n v="1"/>
    <s v="Male"/>
    <n v="93"/>
    <n v="4"/>
    <n v="2"/>
    <x v="0"/>
    <x v="2"/>
    <s v="Married"/>
    <n v="6232"/>
    <x v="0"/>
    <n v="12477"/>
    <n v="2"/>
    <x v="1"/>
    <n v="11"/>
    <n v="3"/>
    <n v="2"/>
    <n v="0"/>
    <n v="6"/>
    <n v="3"/>
    <n v="2"/>
    <n v="3"/>
    <x v="2"/>
    <n v="2"/>
    <n v="1"/>
    <n v="2"/>
  </r>
  <r>
    <n v="52"/>
    <x v="1"/>
    <s v="Travel_Frequently"/>
    <n v="322"/>
    <x v="1"/>
    <n v="28"/>
    <n v="2"/>
    <s v="Medical"/>
    <n v="1401"/>
    <n v="4"/>
    <s v="Female"/>
    <n v="59"/>
    <n v="4"/>
    <n v="4"/>
    <x v="3"/>
    <x v="2"/>
    <s v="Married"/>
    <n v="13247"/>
    <x v="2"/>
    <n v="9731"/>
    <n v="2"/>
    <x v="0"/>
    <n v="11"/>
    <n v="3"/>
    <n v="2"/>
    <n v="1"/>
    <n v="24"/>
    <n v="3"/>
    <n v="2"/>
    <n v="5"/>
    <x v="2"/>
    <n v="3"/>
    <n v="0"/>
    <n v="2"/>
  </r>
  <r>
    <n v="43"/>
    <x v="1"/>
    <s v="Travel_Rarely"/>
    <n v="930"/>
    <x v="1"/>
    <n v="6"/>
    <n v="3"/>
    <s v="Medical"/>
    <n v="1402"/>
    <n v="1"/>
    <s v="Female"/>
    <n v="73"/>
    <n v="2"/>
    <n v="2"/>
    <x v="1"/>
    <x v="2"/>
    <s v="Single"/>
    <n v="4081"/>
    <x v="0"/>
    <n v="20003"/>
    <n v="1"/>
    <x v="0"/>
    <n v="14"/>
    <n v="3"/>
    <n v="1"/>
    <n v="0"/>
    <n v="20"/>
    <n v="3"/>
    <n v="1"/>
    <n v="20"/>
    <x v="3"/>
    <n v="7"/>
    <n v="1"/>
    <n v="8"/>
  </r>
  <r>
    <n v="27"/>
    <x v="1"/>
    <s v="Travel_Rarely"/>
    <n v="205"/>
    <x v="0"/>
    <n v="10"/>
    <n v="3"/>
    <s v="Marketing"/>
    <n v="1403"/>
    <n v="4"/>
    <s v="Female"/>
    <n v="98"/>
    <n v="2"/>
    <n v="2"/>
    <x v="0"/>
    <x v="0"/>
    <s v="Married"/>
    <n v="5769"/>
    <x v="0"/>
    <n v="7100"/>
    <n v="1"/>
    <x v="0"/>
    <n v="11"/>
    <n v="3"/>
    <n v="4"/>
    <n v="0"/>
    <n v="6"/>
    <n v="3"/>
    <n v="3"/>
    <n v="6"/>
    <x v="0"/>
    <n v="2"/>
    <n v="4"/>
    <n v="4"/>
  </r>
  <r>
    <n v="27"/>
    <x v="0"/>
    <s v="Travel_Rarely"/>
    <n v="135"/>
    <x v="1"/>
    <n v="17"/>
    <n v="4"/>
    <s v="Life Sciences"/>
    <n v="1405"/>
    <n v="4"/>
    <s v="Female"/>
    <n v="51"/>
    <n v="3"/>
    <n v="1"/>
    <x v="1"/>
    <x v="2"/>
    <s v="Single"/>
    <n v="2394"/>
    <x v="1"/>
    <n v="25681"/>
    <n v="1"/>
    <x v="0"/>
    <n v="13"/>
    <n v="3"/>
    <n v="4"/>
    <n v="0"/>
    <n v="8"/>
    <n v="2"/>
    <n v="3"/>
    <n v="8"/>
    <x v="0"/>
    <n v="2"/>
    <n v="7"/>
    <n v="7"/>
  </r>
  <r>
    <n v="26"/>
    <x v="1"/>
    <s v="Travel_Rarely"/>
    <n v="683"/>
    <x v="1"/>
    <n v="2"/>
    <n v="1"/>
    <s v="Medical"/>
    <n v="1407"/>
    <n v="1"/>
    <s v="Male"/>
    <n v="36"/>
    <n v="2"/>
    <n v="1"/>
    <x v="1"/>
    <x v="0"/>
    <s v="Single"/>
    <n v="3904"/>
    <x v="0"/>
    <n v="4050"/>
    <n v="0"/>
    <x v="1"/>
    <n v="12"/>
    <n v="3"/>
    <n v="4"/>
    <n v="0"/>
    <n v="5"/>
    <n v="2"/>
    <n v="3"/>
    <n v="4"/>
    <x v="2"/>
    <n v="3"/>
    <n v="1"/>
    <n v="1"/>
  </r>
  <r>
    <n v="42"/>
    <x v="1"/>
    <s v="Travel_Rarely"/>
    <n v="1147"/>
    <x v="2"/>
    <n v="10"/>
    <n v="3"/>
    <s v="Human Resources"/>
    <n v="1408"/>
    <n v="3"/>
    <s v="Female"/>
    <n v="31"/>
    <n v="3"/>
    <n v="4"/>
    <x v="5"/>
    <x v="3"/>
    <s v="Married"/>
    <n v="16799"/>
    <x v="2"/>
    <n v="16616"/>
    <n v="0"/>
    <x v="1"/>
    <n v="14"/>
    <n v="3"/>
    <n v="3"/>
    <n v="1"/>
    <n v="21"/>
    <n v="5"/>
    <n v="3"/>
    <n v="20"/>
    <x v="3"/>
    <n v="7"/>
    <n v="0"/>
    <n v="9"/>
  </r>
  <r>
    <n v="52"/>
    <x v="1"/>
    <s v="Travel_Rarely"/>
    <n v="258"/>
    <x v="1"/>
    <n v="8"/>
    <n v="4"/>
    <s v="Other"/>
    <n v="1409"/>
    <n v="3"/>
    <s v="Female"/>
    <n v="54"/>
    <n v="3"/>
    <n v="1"/>
    <x v="2"/>
    <x v="3"/>
    <s v="Married"/>
    <n v="2950"/>
    <x v="1"/>
    <n v="17363"/>
    <n v="9"/>
    <x v="1"/>
    <n v="13"/>
    <n v="3"/>
    <n v="3"/>
    <n v="0"/>
    <n v="12"/>
    <n v="2"/>
    <n v="1"/>
    <n v="5"/>
    <x v="2"/>
    <n v="4"/>
    <n v="0"/>
    <n v="4"/>
  </r>
  <r>
    <n v="37"/>
    <x v="1"/>
    <s v="Travel_Rarely"/>
    <n v="1462"/>
    <x v="1"/>
    <n v="11"/>
    <n v="3"/>
    <s v="Medical"/>
    <n v="1411"/>
    <n v="1"/>
    <s v="Female"/>
    <n v="94"/>
    <n v="3"/>
    <n v="1"/>
    <x v="2"/>
    <x v="2"/>
    <s v="Single"/>
    <n v="3629"/>
    <x v="0"/>
    <n v="19106"/>
    <n v="4"/>
    <x v="1"/>
    <n v="18"/>
    <n v="3"/>
    <n v="1"/>
    <n v="0"/>
    <n v="8"/>
    <n v="6"/>
    <n v="3"/>
    <n v="3"/>
    <x v="2"/>
    <n v="2"/>
    <n v="0"/>
    <n v="2"/>
  </r>
  <r>
    <n v="35"/>
    <x v="1"/>
    <s v="Travel_Frequently"/>
    <n v="200"/>
    <x v="1"/>
    <n v="18"/>
    <n v="2"/>
    <s v="Life Sciences"/>
    <n v="1412"/>
    <n v="3"/>
    <s v="Male"/>
    <n v="60"/>
    <n v="3"/>
    <n v="3"/>
    <x v="3"/>
    <x v="0"/>
    <s v="Single"/>
    <n v="9362"/>
    <x v="2"/>
    <n v="19944"/>
    <n v="2"/>
    <x v="1"/>
    <n v="11"/>
    <n v="3"/>
    <n v="3"/>
    <n v="0"/>
    <n v="10"/>
    <n v="2"/>
    <n v="3"/>
    <n v="2"/>
    <x v="1"/>
    <n v="2"/>
    <n v="2"/>
    <n v="2"/>
  </r>
  <r>
    <n v="25"/>
    <x v="1"/>
    <s v="Travel_Rarely"/>
    <n v="949"/>
    <x v="1"/>
    <n v="1"/>
    <n v="3"/>
    <s v="Technical Degree"/>
    <n v="1415"/>
    <n v="1"/>
    <s v="Male"/>
    <n v="81"/>
    <n v="3"/>
    <n v="1"/>
    <x v="2"/>
    <x v="0"/>
    <s v="Married"/>
    <n v="3229"/>
    <x v="0"/>
    <n v="4910"/>
    <n v="4"/>
    <x v="1"/>
    <n v="11"/>
    <n v="3"/>
    <n v="2"/>
    <n v="1"/>
    <n v="7"/>
    <n v="2"/>
    <n v="2"/>
    <n v="3"/>
    <x v="2"/>
    <n v="2"/>
    <n v="0"/>
    <n v="2"/>
  </r>
  <r>
    <n v="26"/>
    <x v="1"/>
    <s v="Travel_Rarely"/>
    <n v="652"/>
    <x v="1"/>
    <n v="7"/>
    <n v="3"/>
    <s v="Other"/>
    <n v="1417"/>
    <n v="3"/>
    <s v="Male"/>
    <n v="100"/>
    <n v="4"/>
    <n v="1"/>
    <x v="2"/>
    <x v="3"/>
    <s v="Single"/>
    <n v="3578"/>
    <x v="0"/>
    <n v="23577"/>
    <n v="0"/>
    <x v="1"/>
    <n v="12"/>
    <n v="3"/>
    <n v="4"/>
    <n v="0"/>
    <n v="8"/>
    <n v="2"/>
    <n v="3"/>
    <n v="7"/>
    <x v="0"/>
    <n v="7"/>
    <n v="0"/>
    <n v="7"/>
  </r>
  <r>
    <n v="29"/>
    <x v="1"/>
    <s v="Travel_Rarely"/>
    <n v="332"/>
    <x v="2"/>
    <n v="17"/>
    <n v="3"/>
    <s v="Other"/>
    <n v="1419"/>
    <n v="2"/>
    <s v="Male"/>
    <n v="51"/>
    <n v="2"/>
    <n v="3"/>
    <x v="8"/>
    <x v="3"/>
    <s v="Single"/>
    <n v="7988"/>
    <x v="2"/>
    <n v="9769"/>
    <n v="1"/>
    <x v="1"/>
    <n v="13"/>
    <n v="3"/>
    <n v="1"/>
    <n v="0"/>
    <n v="10"/>
    <n v="3"/>
    <n v="2"/>
    <n v="10"/>
    <x v="0"/>
    <n v="9"/>
    <n v="0"/>
    <n v="9"/>
  </r>
  <r>
    <n v="49"/>
    <x v="0"/>
    <s v="Travel_Frequently"/>
    <n v="1475"/>
    <x v="1"/>
    <n v="28"/>
    <n v="2"/>
    <s v="Life Sciences"/>
    <n v="1420"/>
    <n v="1"/>
    <s v="Male"/>
    <n v="97"/>
    <n v="2"/>
    <n v="2"/>
    <x v="2"/>
    <x v="3"/>
    <s v="Single"/>
    <n v="4284"/>
    <x v="0"/>
    <n v="22710"/>
    <n v="3"/>
    <x v="1"/>
    <n v="20"/>
    <n v="4"/>
    <n v="1"/>
    <n v="0"/>
    <n v="20"/>
    <n v="2"/>
    <n v="3"/>
    <n v="4"/>
    <x v="2"/>
    <n v="3"/>
    <n v="1"/>
    <n v="3"/>
  </r>
  <r>
    <n v="29"/>
    <x v="0"/>
    <s v="Travel_Frequently"/>
    <n v="337"/>
    <x v="1"/>
    <n v="14"/>
    <n v="1"/>
    <s v="Other"/>
    <n v="1421"/>
    <n v="3"/>
    <s v="Female"/>
    <n v="84"/>
    <n v="3"/>
    <n v="3"/>
    <x v="4"/>
    <x v="0"/>
    <s v="Single"/>
    <n v="7553"/>
    <x v="2"/>
    <n v="22930"/>
    <n v="0"/>
    <x v="0"/>
    <n v="12"/>
    <n v="3"/>
    <n v="1"/>
    <n v="0"/>
    <n v="9"/>
    <n v="1"/>
    <n v="3"/>
    <n v="8"/>
    <x v="0"/>
    <n v="7"/>
    <n v="7"/>
    <n v="7"/>
  </r>
  <r>
    <n v="54"/>
    <x v="1"/>
    <s v="Travel_Rarely"/>
    <n v="971"/>
    <x v="1"/>
    <n v="1"/>
    <n v="3"/>
    <s v="Medical"/>
    <n v="1422"/>
    <n v="4"/>
    <s v="Female"/>
    <n v="54"/>
    <n v="3"/>
    <n v="4"/>
    <x v="7"/>
    <x v="0"/>
    <s v="Single"/>
    <n v="17328"/>
    <x v="2"/>
    <n v="5652"/>
    <n v="6"/>
    <x v="1"/>
    <n v="19"/>
    <n v="3"/>
    <n v="4"/>
    <n v="0"/>
    <n v="29"/>
    <n v="3"/>
    <n v="2"/>
    <n v="20"/>
    <x v="3"/>
    <n v="7"/>
    <n v="12"/>
    <n v="7"/>
  </r>
  <r>
    <n v="58"/>
    <x v="1"/>
    <s v="Travel_Rarely"/>
    <n v="1055"/>
    <x v="1"/>
    <n v="1"/>
    <n v="3"/>
    <s v="Medical"/>
    <n v="1423"/>
    <n v="4"/>
    <s v="Female"/>
    <n v="76"/>
    <n v="3"/>
    <n v="5"/>
    <x v="7"/>
    <x v="3"/>
    <s v="Married"/>
    <n v="19701"/>
    <x v="2"/>
    <n v="22456"/>
    <n v="3"/>
    <x v="0"/>
    <n v="21"/>
    <n v="4"/>
    <n v="3"/>
    <n v="1"/>
    <n v="32"/>
    <n v="3"/>
    <n v="3"/>
    <n v="9"/>
    <x v="0"/>
    <n v="8"/>
    <n v="1"/>
    <n v="5"/>
  </r>
  <r>
    <n v="55"/>
    <x v="1"/>
    <s v="Travel_Rarely"/>
    <n v="1136"/>
    <x v="1"/>
    <n v="1"/>
    <n v="4"/>
    <s v="Medical"/>
    <n v="1424"/>
    <n v="2"/>
    <s v="Male"/>
    <n v="81"/>
    <n v="4"/>
    <n v="4"/>
    <x v="7"/>
    <x v="0"/>
    <s v="Divorced"/>
    <n v="14732"/>
    <x v="2"/>
    <n v="12414"/>
    <n v="2"/>
    <x v="1"/>
    <n v="13"/>
    <n v="3"/>
    <n v="4"/>
    <n v="2"/>
    <n v="31"/>
    <n v="4"/>
    <n v="4"/>
    <n v="7"/>
    <x v="0"/>
    <n v="7"/>
    <n v="0"/>
    <n v="0"/>
  </r>
  <r>
    <n v="36"/>
    <x v="1"/>
    <s v="Travel_Rarely"/>
    <n v="1174"/>
    <x v="0"/>
    <n v="3"/>
    <n v="4"/>
    <s v="Marketing"/>
    <n v="1425"/>
    <n v="1"/>
    <s v="Female"/>
    <n v="99"/>
    <n v="3"/>
    <n v="2"/>
    <x v="0"/>
    <x v="1"/>
    <s v="Single"/>
    <n v="9278"/>
    <x v="2"/>
    <n v="20763"/>
    <n v="3"/>
    <x v="0"/>
    <n v="16"/>
    <n v="3"/>
    <n v="4"/>
    <n v="0"/>
    <n v="15"/>
    <n v="3"/>
    <n v="3"/>
    <n v="5"/>
    <x v="2"/>
    <n v="4"/>
    <n v="0"/>
    <n v="1"/>
  </r>
  <r>
    <n v="31"/>
    <x v="0"/>
    <s v="Travel_Frequently"/>
    <n v="667"/>
    <x v="0"/>
    <n v="1"/>
    <n v="4"/>
    <s v="Life Sciences"/>
    <n v="1427"/>
    <n v="2"/>
    <s v="Female"/>
    <n v="50"/>
    <n v="1"/>
    <n v="1"/>
    <x v="6"/>
    <x v="2"/>
    <s v="Single"/>
    <n v="1359"/>
    <x v="1"/>
    <n v="16154"/>
    <n v="1"/>
    <x v="1"/>
    <n v="12"/>
    <n v="3"/>
    <n v="2"/>
    <n v="0"/>
    <n v="1"/>
    <n v="3"/>
    <n v="3"/>
    <n v="1"/>
    <x v="1"/>
    <n v="0"/>
    <n v="0"/>
    <n v="0"/>
  </r>
  <r>
    <n v="30"/>
    <x v="1"/>
    <s v="Travel_Rarely"/>
    <n v="855"/>
    <x v="0"/>
    <n v="7"/>
    <n v="4"/>
    <s v="Marketing"/>
    <n v="1428"/>
    <n v="4"/>
    <s v="Female"/>
    <n v="73"/>
    <n v="3"/>
    <n v="2"/>
    <x v="0"/>
    <x v="3"/>
    <s v="Divorced"/>
    <n v="4779"/>
    <x v="0"/>
    <n v="12761"/>
    <n v="7"/>
    <x v="1"/>
    <n v="14"/>
    <n v="3"/>
    <n v="2"/>
    <n v="2"/>
    <n v="8"/>
    <n v="3"/>
    <n v="3"/>
    <n v="3"/>
    <x v="2"/>
    <n v="2"/>
    <n v="0"/>
    <n v="2"/>
  </r>
  <r>
    <n v="31"/>
    <x v="1"/>
    <s v="Travel_Rarely"/>
    <n v="182"/>
    <x v="1"/>
    <n v="8"/>
    <n v="5"/>
    <s v="Life Sciences"/>
    <n v="1430"/>
    <n v="1"/>
    <s v="Female"/>
    <n v="93"/>
    <n v="3"/>
    <n v="4"/>
    <x v="7"/>
    <x v="1"/>
    <s v="Single"/>
    <n v="16422"/>
    <x v="2"/>
    <n v="8847"/>
    <n v="3"/>
    <x v="1"/>
    <n v="11"/>
    <n v="3"/>
    <n v="3"/>
    <n v="0"/>
    <n v="9"/>
    <n v="3"/>
    <n v="4"/>
    <n v="3"/>
    <x v="2"/>
    <n v="2"/>
    <n v="1"/>
    <n v="0"/>
  </r>
  <r>
    <n v="34"/>
    <x v="1"/>
    <s v="Travel_Frequently"/>
    <n v="560"/>
    <x v="1"/>
    <n v="1"/>
    <n v="4"/>
    <s v="Other"/>
    <n v="1431"/>
    <n v="4"/>
    <s v="Male"/>
    <n v="91"/>
    <n v="3"/>
    <n v="1"/>
    <x v="1"/>
    <x v="3"/>
    <s v="Divorced"/>
    <n v="2996"/>
    <x v="1"/>
    <n v="20284"/>
    <n v="5"/>
    <x v="1"/>
    <n v="14"/>
    <n v="3"/>
    <n v="3"/>
    <n v="2"/>
    <n v="10"/>
    <n v="2"/>
    <n v="3"/>
    <n v="4"/>
    <x v="2"/>
    <n v="3"/>
    <n v="1"/>
    <n v="3"/>
  </r>
  <r>
    <n v="31"/>
    <x v="0"/>
    <s v="Travel_Rarely"/>
    <n v="202"/>
    <x v="1"/>
    <n v="8"/>
    <n v="3"/>
    <s v="Life Sciences"/>
    <n v="1433"/>
    <n v="1"/>
    <s v="Female"/>
    <n v="34"/>
    <n v="2"/>
    <n v="1"/>
    <x v="1"/>
    <x v="1"/>
    <s v="Single"/>
    <n v="1261"/>
    <x v="1"/>
    <n v="22262"/>
    <n v="1"/>
    <x v="1"/>
    <n v="12"/>
    <n v="3"/>
    <n v="3"/>
    <n v="0"/>
    <n v="1"/>
    <n v="3"/>
    <n v="4"/>
    <n v="1"/>
    <x v="1"/>
    <n v="0"/>
    <n v="0"/>
    <n v="0"/>
  </r>
  <r>
    <n v="27"/>
    <x v="1"/>
    <s v="Travel_Rarely"/>
    <n v="1377"/>
    <x v="1"/>
    <n v="11"/>
    <n v="1"/>
    <s v="Life Sciences"/>
    <n v="1434"/>
    <n v="2"/>
    <s v="Male"/>
    <n v="91"/>
    <n v="3"/>
    <n v="1"/>
    <x v="2"/>
    <x v="3"/>
    <s v="Married"/>
    <n v="2099"/>
    <x v="1"/>
    <n v="7679"/>
    <n v="0"/>
    <x v="1"/>
    <n v="14"/>
    <n v="3"/>
    <n v="2"/>
    <n v="0"/>
    <n v="6"/>
    <n v="3"/>
    <n v="4"/>
    <n v="5"/>
    <x v="2"/>
    <n v="0"/>
    <n v="1"/>
    <n v="4"/>
  </r>
  <r>
    <n v="36"/>
    <x v="1"/>
    <s v="Travel_Rarely"/>
    <n v="172"/>
    <x v="1"/>
    <n v="4"/>
    <n v="4"/>
    <s v="Life Sciences"/>
    <n v="1435"/>
    <n v="1"/>
    <s v="Male"/>
    <n v="37"/>
    <n v="2"/>
    <n v="2"/>
    <x v="2"/>
    <x v="0"/>
    <s v="Single"/>
    <n v="5810"/>
    <x v="0"/>
    <n v="22604"/>
    <n v="1"/>
    <x v="1"/>
    <n v="16"/>
    <n v="3"/>
    <n v="3"/>
    <n v="0"/>
    <n v="10"/>
    <n v="2"/>
    <n v="2"/>
    <n v="10"/>
    <x v="0"/>
    <n v="4"/>
    <n v="1"/>
    <n v="8"/>
  </r>
  <r>
    <n v="36"/>
    <x v="1"/>
    <s v="Travel_Rarely"/>
    <n v="329"/>
    <x v="0"/>
    <n v="16"/>
    <n v="4"/>
    <s v="Marketing"/>
    <n v="1436"/>
    <n v="3"/>
    <s v="Female"/>
    <n v="98"/>
    <n v="2"/>
    <n v="2"/>
    <x v="0"/>
    <x v="3"/>
    <s v="Married"/>
    <n v="5647"/>
    <x v="0"/>
    <n v="13494"/>
    <n v="4"/>
    <x v="1"/>
    <n v="13"/>
    <n v="3"/>
    <n v="1"/>
    <n v="2"/>
    <n v="11"/>
    <n v="3"/>
    <n v="2"/>
    <n v="3"/>
    <x v="2"/>
    <n v="2"/>
    <n v="0"/>
    <n v="2"/>
  </r>
  <r>
    <n v="47"/>
    <x v="1"/>
    <s v="Travel_Rarely"/>
    <n v="465"/>
    <x v="1"/>
    <n v="1"/>
    <n v="3"/>
    <s v="Technical Degree"/>
    <n v="1438"/>
    <n v="1"/>
    <s v="Male"/>
    <n v="74"/>
    <n v="3"/>
    <n v="1"/>
    <x v="1"/>
    <x v="0"/>
    <s v="Married"/>
    <n v="3420"/>
    <x v="0"/>
    <n v="10205"/>
    <n v="7"/>
    <x v="1"/>
    <n v="12"/>
    <n v="3"/>
    <n v="3"/>
    <n v="1"/>
    <n v="17"/>
    <n v="2"/>
    <n v="2"/>
    <n v="6"/>
    <x v="0"/>
    <n v="5"/>
    <n v="1"/>
    <n v="2"/>
  </r>
  <r>
    <n v="25"/>
    <x v="0"/>
    <s v="Travel_Rarely"/>
    <n v="383"/>
    <x v="0"/>
    <n v="9"/>
    <n v="2"/>
    <s v="Life Sciences"/>
    <n v="1439"/>
    <n v="1"/>
    <s v="Male"/>
    <n v="68"/>
    <n v="2"/>
    <n v="1"/>
    <x v="6"/>
    <x v="3"/>
    <s v="Married"/>
    <n v="4400"/>
    <x v="0"/>
    <n v="15182"/>
    <n v="3"/>
    <x v="1"/>
    <n v="12"/>
    <n v="3"/>
    <n v="1"/>
    <n v="0"/>
    <n v="6"/>
    <n v="2"/>
    <n v="3"/>
    <n v="3"/>
    <x v="2"/>
    <n v="2"/>
    <n v="2"/>
    <n v="2"/>
  </r>
  <r>
    <n v="37"/>
    <x v="1"/>
    <s v="Non-Travel"/>
    <n v="1413"/>
    <x v="1"/>
    <n v="5"/>
    <n v="2"/>
    <s v="Technical Degree"/>
    <n v="1440"/>
    <n v="3"/>
    <s v="Male"/>
    <n v="84"/>
    <n v="4"/>
    <n v="1"/>
    <x v="2"/>
    <x v="2"/>
    <s v="Single"/>
    <n v="3500"/>
    <x v="0"/>
    <n v="25470"/>
    <n v="0"/>
    <x v="1"/>
    <n v="14"/>
    <n v="3"/>
    <n v="1"/>
    <n v="0"/>
    <n v="7"/>
    <n v="2"/>
    <n v="1"/>
    <n v="6"/>
    <x v="0"/>
    <n v="5"/>
    <n v="1"/>
    <n v="3"/>
  </r>
  <r>
    <n v="56"/>
    <x v="1"/>
    <s v="Travel_Rarely"/>
    <n v="1255"/>
    <x v="1"/>
    <n v="1"/>
    <n v="2"/>
    <s v="Life Sciences"/>
    <n v="1441"/>
    <n v="1"/>
    <s v="Female"/>
    <n v="90"/>
    <n v="3"/>
    <n v="1"/>
    <x v="1"/>
    <x v="3"/>
    <s v="Married"/>
    <n v="2066"/>
    <x v="1"/>
    <n v="10494"/>
    <n v="2"/>
    <x v="1"/>
    <n v="22"/>
    <n v="4"/>
    <n v="4"/>
    <n v="1"/>
    <n v="5"/>
    <n v="3"/>
    <n v="4"/>
    <n v="3"/>
    <x v="2"/>
    <n v="2"/>
    <n v="1"/>
    <n v="0"/>
  </r>
  <r>
    <n v="47"/>
    <x v="1"/>
    <s v="Travel_Rarely"/>
    <n v="359"/>
    <x v="1"/>
    <n v="2"/>
    <n v="4"/>
    <s v="Medical"/>
    <n v="1443"/>
    <n v="1"/>
    <s v="Female"/>
    <n v="82"/>
    <n v="3"/>
    <n v="4"/>
    <x v="7"/>
    <x v="2"/>
    <s v="Married"/>
    <n v="17169"/>
    <x v="2"/>
    <n v="26703"/>
    <n v="3"/>
    <x v="1"/>
    <n v="19"/>
    <n v="3"/>
    <n v="2"/>
    <n v="2"/>
    <n v="26"/>
    <n v="2"/>
    <n v="4"/>
    <n v="20"/>
    <x v="3"/>
    <n v="17"/>
    <n v="5"/>
    <n v="6"/>
  </r>
  <r>
    <n v="24"/>
    <x v="1"/>
    <s v="Travel_Rarely"/>
    <n v="1476"/>
    <x v="0"/>
    <n v="4"/>
    <n v="1"/>
    <s v="Medical"/>
    <n v="1445"/>
    <n v="4"/>
    <s v="Female"/>
    <n v="42"/>
    <n v="3"/>
    <n v="2"/>
    <x v="0"/>
    <x v="2"/>
    <s v="Married"/>
    <n v="4162"/>
    <x v="0"/>
    <n v="15211"/>
    <n v="1"/>
    <x v="0"/>
    <n v="12"/>
    <n v="3"/>
    <n v="3"/>
    <n v="2"/>
    <n v="5"/>
    <n v="3"/>
    <n v="3"/>
    <n v="5"/>
    <x v="2"/>
    <n v="4"/>
    <n v="0"/>
    <n v="3"/>
  </r>
  <r>
    <n v="32"/>
    <x v="1"/>
    <s v="Travel_Rarely"/>
    <n v="601"/>
    <x v="0"/>
    <n v="7"/>
    <n v="5"/>
    <s v="Marketing"/>
    <n v="1446"/>
    <n v="4"/>
    <s v="Male"/>
    <n v="97"/>
    <n v="3"/>
    <n v="2"/>
    <x v="0"/>
    <x v="0"/>
    <s v="Married"/>
    <n v="9204"/>
    <x v="2"/>
    <n v="23343"/>
    <n v="4"/>
    <x v="1"/>
    <n v="12"/>
    <n v="3"/>
    <n v="3"/>
    <n v="1"/>
    <n v="7"/>
    <n v="3"/>
    <n v="2"/>
    <n v="4"/>
    <x v="2"/>
    <n v="3"/>
    <n v="0"/>
    <n v="3"/>
  </r>
  <r>
    <n v="34"/>
    <x v="1"/>
    <s v="Travel_Rarely"/>
    <n v="401"/>
    <x v="1"/>
    <n v="1"/>
    <n v="3"/>
    <s v="Life Sciences"/>
    <n v="1447"/>
    <n v="4"/>
    <s v="Female"/>
    <n v="86"/>
    <n v="2"/>
    <n v="1"/>
    <x v="2"/>
    <x v="1"/>
    <s v="Married"/>
    <n v="3294"/>
    <x v="0"/>
    <n v="3708"/>
    <n v="5"/>
    <x v="1"/>
    <n v="17"/>
    <n v="3"/>
    <n v="1"/>
    <n v="1"/>
    <n v="7"/>
    <n v="2"/>
    <n v="2"/>
    <n v="5"/>
    <x v="2"/>
    <n v="4"/>
    <n v="0"/>
    <n v="2"/>
  </r>
  <r>
    <n v="41"/>
    <x v="1"/>
    <s v="Travel_Rarely"/>
    <n v="1283"/>
    <x v="1"/>
    <n v="5"/>
    <n v="5"/>
    <s v="Medical"/>
    <n v="1448"/>
    <n v="2"/>
    <s v="Male"/>
    <n v="90"/>
    <n v="4"/>
    <n v="1"/>
    <x v="1"/>
    <x v="2"/>
    <s v="Married"/>
    <n v="2127"/>
    <x v="1"/>
    <n v="5561"/>
    <n v="2"/>
    <x v="0"/>
    <n v="12"/>
    <n v="3"/>
    <n v="1"/>
    <n v="0"/>
    <n v="7"/>
    <n v="5"/>
    <n v="2"/>
    <n v="4"/>
    <x v="2"/>
    <n v="2"/>
    <n v="0"/>
    <n v="3"/>
  </r>
  <r>
    <n v="40"/>
    <x v="1"/>
    <s v="Non-Travel"/>
    <n v="663"/>
    <x v="1"/>
    <n v="9"/>
    <n v="4"/>
    <s v="Other"/>
    <n v="1449"/>
    <n v="3"/>
    <s v="Male"/>
    <n v="81"/>
    <n v="3"/>
    <n v="2"/>
    <x v="2"/>
    <x v="2"/>
    <s v="Divorced"/>
    <n v="3975"/>
    <x v="0"/>
    <n v="23099"/>
    <n v="3"/>
    <x v="1"/>
    <n v="11"/>
    <n v="3"/>
    <n v="3"/>
    <n v="2"/>
    <n v="11"/>
    <n v="2"/>
    <n v="4"/>
    <n v="8"/>
    <x v="0"/>
    <n v="7"/>
    <n v="0"/>
    <n v="7"/>
  </r>
  <r>
    <n v="31"/>
    <x v="1"/>
    <s v="Travel_Rarely"/>
    <n v="326"/>
    <x v="0"/>
    <n v="8"/>
    <n v="2"/>
    <s v="Life Sciences"/>
    <n v="1453"/>
    <n v="1"/>
    <s v="Male"/>
    <n v="31"/>
    <n v="3"/>
    <n v="3"/>
    <x v="0"/>
    <x v="0"/>
    <s v="Divorced"/>
    <n v="10793"/>
    <x v="2"/>
    <n v="8386"/>
    <n v="1"/>
    <x v="1"/>
    <n v="18"/>
    <n v="3"/>
    <n v="1"/>
    <n v="1"/>
    <n v="13"/>
    <n v="5"/>
    <n v="3"/>
    <n v="13"/>
    <x v="3"/>
    <n v="7"/>
    <n v="9"/>
    <n v="9"/>
  </r>
  <r>
    <n v="46"/>
    <x v="0"/>
    <s v="Travel_Rarely"/>
    <n v="377"/>
    <x v="0"/>
    <n v="9"/>
    <n v="3"/>
    <s v="Marketing"/>
    <n v="1457"/>
    <n v="1"/>
    <s v="Male"/>
    <n v="52"/>
    <n v="3"/>
    <n v="3"/>
    <x v="0"/>
    <x v="0"/>
    <s v="Divorced"/>
    <n v="10096"/>
    <x v="2"/>
    <n v="15986"/>
    <n v="4"/>
    <x v="1"/>
    <n v="11"/>
    <n v="3"/>
    <n v="1"/>
    <n v="1"/>
    <n v="28"/>
    <n v="1"/>
    <n v="4"/>
    <n v="7"/>
    <x v="0"/>
    <n v="7"/>
    <n v="4"/>
    <n v="3"/>
  </r>
  <r>
    <n v="39"/>
    <x v="0"/>
    <s v="Non-Travel"/>
    <n v="592"/>
    <x v="1"/>
    <n v="2"/>
    <n v="3"/>
    <s v="Life Sciences"/>
    <n v="1458"/>
    <n v="1"/>
    <s v="Female"/>
    <n v="54"/>
    <n v="2"/>
    <n v="1"/>
    <x v="2"/>
    <x v="3"/>
    <s v="Single"/>
    <n v="3646"/>
    <x v="0"/>
    <n v="17181"/>
    <n v="2"/>
    <x v="0"/>
    <n v="23"/>
    <n v="4"/>
    <n v="2"/>
    <n v="0"/>
    <n v="11"/>
    <n v="2"/>
    <n v="4"/>
    <n v="1"/>
    <x v="1"/>
    <n v="0"/>
    <n v="0"/>
    <n v="0"/>
  </r>
  <r>
    <n v="31"/>
    <x v="0"/>
    <s v="Travel_Frequently"/>
    <n v="1445"/>
    <x v="1"/>
    <n v="1"/>
    <n v="5"/>
    <s v="Life Sciences"/>
    <n v="1459"/>
    <n v="3"/>
    <s v="Female"/>
    <n v="100"/>
    <n v="4"/>
    <n v="3"/>
    <x v="3"/>
    <x v="1"/>
    <s v="Single"/>
    <n v="7446"/>
    <x v="2"/>
    <n v="8931"/>
    <n v="1"/>
    <x v="1"/>
    <n v="11"/>
    <n v="3"/>
    <n v="1"/>
    <n v="0"/>
    <n v="10"/>
    <n v="2"/>
    <n v="3"/>
    <n v="10"/>
    <x v="0"/>
    <n v="8"/>
    <n v="4"/>
    <n v="7"/>
  </r>
  <r>
    <n v="45"/>
    <x v="1"/>
    <s v="Travel_Rarely"/>
    <n v="1038"/>
    <x v="1"/>
    <n v="20"/>
    <n v="3"/>
    <s v="Medical"/>
    <n v="1460"/>
    <n v="2"/>
    <s v="Male"/>
    <n v="95"/>
    <n v="1"/>
    <n v="3"/>
    <x v="4"/>
    <x v="3"/>
    <s v="Divorced"/>
    <n v="10851"/>
    <x v="2"/>
    <n v="19863"/>
    <n v="2"/>
    <x v="0"/>
    <n v="18"/>
    <n v="3"/>
    <n v="2"/>
    <n v="1"/>
    <n v="24"/>
    <n v="2"/>
    <n v="3"/>
    <n v="7"/>
    <x v="0"/>
    <n v="7"/>
    <n v="0"/>
    <n v="7"/>
  </r>
  <r>
    <n v="31"/>
    <x v="1"/>
    <s v="Travel_Rarely"/>
    <n v="1398"/>
    <x v="2"/>
    <n v="8"/>
    <n v="2"/>
    <s v="Medical"/>
    <n v="1461"/>
    <n v="4"/>
    <s v="Female"/>
    <n v="96"/>
    <n v="4"/>
    <n v="1"/>
    <x v="8"/>
    <x v="1"/>
    <s v="Single"/>
    <n v="2109"/>
    <x v="1"/>
    <n v="24609"/>
    <n v="9"/>
    <x v="1"/>
    <n v="18"/>
    <n v="3"/>
    <n v="4"/>
    <n v="0"/>
    <n v="8"/>
    <n v="3"/>
    <n v="3"/>
    <n v="3"/>
    <x v="2"/>
    <n v="2"/>
    <n v="0"/>
    <n v="2"/>
  </r>
  <r>
    <n v="31"/>
    <x v="0"/>
    <s v="Travel_Frequently"/>
    <n v="523"/>
    <x v="1"/>
    <n v="2"/>
    <n v="3"/>
    <s v="Life Sciences"/>
    <n v="1464"/>
    <n v="2"/>
    <s v="Male"/>
    <n v="94"/>
    <n v="3"/>
    <n v="1"/>
    <x v="2"/>
    <x v="0"/>
    <s v="Married"/>
    <n v="3722"/>
    <x v="0"/>
    <n v="21081"/>
    <n v="6"/>
    <x v="0"/>
    <n v="13"/>
    <n v="3"/>
    <n v="3"/>
    <n v="1"/>
    <n v="7"/>
    <n v="2"/>
    <n v="1"/>
    <n v="2"/>
    <x v="1"/>
    <n v="2"/>
    <n v="2"/>
    <n v="2"/>
  </r>
  <r>
    <n v="45"/>
    <x v="1"/>
    <s v="Travel_Rarely"/>
    <n v="1448"/>
    <x v="1"/>
    <n v="29"/>
    <n v="3"/>
    <s v="Technical Degree"/>
    <n v="1465"/>
    <n v="2"/>
    <s v="Male"/>
    <n v="55"/>
    <n v="3"/>
    <n v="3"/>
    <x v="3"/>
    <x v="0"/>
    <s v="Married"/>
    <n v="9380"/>
    <x v="2"/>
    <n v="14720"/>
    <n v="4"/>
    <x v="0"/>
    <n v="18"/>
    <n v="3"/>
    <n v="4"/>
    <n v="2"/>
    <n v="10"/>
    <n v="4"/>
    <n v="4"/>
    <n v="3"/>
    <x v="2"/>
    <n v="1"/>
    <n v="1"/>
    <n v="2"/>
  </r>
  <r>
    <n v="48"/>
    <x v="1"/>
    <s v="Travel_Rarely"/>
    <n v="1221"/>
    <x v="0"/>
    <n v="7"/>
    <n v="3"/>
    <s v="Marketing"/>
    <n v="1466"/>
    <n v="3"/>
    <s v="Male"/>
    <n v="96"/>
    <n v="3"/>
    <n v="2"/>
    <x v="0"/>
    <x v="3"/>
    <s v="Divorced"/>
    <n v="5486"/>
    <x v="0"/>
    <n v="24795"/>
    <n v="4"/>
    <x v="1"/>
    <n v="11"/>
    <n v="3"/>
    <n v="1"/>
    <n v="3"/>
    <n v="15"/>
    <n v="3"/>
    <n v="3"/>
    <n v="2"/>
    <x v="1"/>
    <n v="2"/>
    <n v="2"/>
    <n v="2"/>
  </r>
  <r>
    <n v="34"/>
    <x v="0"/>
    <s v="Travel_Rarely"/>
    <n v="1107"/>
    <x v="2"/>
    <n v="9"/>
    <n v="4"/>
    <s v="Technical Degree"/>
    <n v="1467"/>
    <n v="1"/>
    <s v="Female"/>
    <n v="52"/>
    <n v="3"/>
    <n v="1"/>
    <x v="8"/>
    <x v="2"/>
    <s v="Married"/>
    <n v="2742"/>
    <x v="1"/>
    <n v="3072"/>
    <n v="1"/>
    <x v="1"/>
    <n v="15"/>
    <n v="3"/>
    <n v="4"/>
    <n v="0"/>
    <n v="2"/>
    <n v="0"/>
    <n v="3"/>
    <n v="2"/>
    <x v="1"/>
    <n v="2"/>
    <n v="2"/>
    <n v="2"/>
  </r>
  <r>
    <n v="40"/>
    <x v="1"/>
    <s v="Non-Travel"/>
    <n v="218"/>
    <x v="1"/>
    <n v="8"/>
    <n v="1"/>
    <s v="Medical"/>
    <n v="1468"/>
    <n v="4"/>
    <s v="Male"/>
    <n v="55"/>
    <n v="2"/>
    <n v="3"/>
    <x v="7"/>
    <x v="1"/>
    <s v="Divorced"/>
    <n v="13757"/>
    <x v="2"/>
    <n v="25178"/>
    <n v="2"/>
    <x v="1"/>
    <n v="11"/>
    <n v="3"/>
    <n v="3"/>
    <n v="1"/>
    <n v="16"/>
    <n v="5"/>
    <n v="3"/>
    <n v="9"/>
    <x v="0"/>
    <n v="8"/>
    <n v="4"/>
    <n v="8"/>
  </r>
  <r>
    <n v="28"/>
    <x v="1"/>
    <s v="Travel_Rarely"/>
    <n v="866"/>
    <x v="0"/>
    <n v="5"/>
    <n v="3"/>
    <s v="Medical"/>
    <n v="1469"/>
    <n v="4"/>
    <s v="Male"/>
    <n v="84"/>
    <n v="3"/>
    <n v="2"/>
    <x v="0"/>
    <x v="3"/>
    <s v="Single"/>
    <n v="8463"/>
    <x v="2"/>
    <n v="23490"/>
    <n v="0"/>
    <x v="1"/>
    <n v="18"/>
    <n v="3"/>
    <n v="4"/>
    <n v="0"/>
    <n v="6"/>
    <n v="4"/>
    <n v="3"/>
    <n v="5"/>
    <x v="2"/>
    <n v="4"/>
    <n v="1"/>
    <n v="3"/>
  </r>
  <r>
    <n v="44"/>
    <x v="1"/>
    <s v="Non-Travel"/>
    <n v="981"/>
    <x v="1"/>
    <n v="5"/>
    <n v="3"/>
    <s v="Life Sciences"/>
    <n v="1471"/>
    <n v="3"/>
    <s v="Male"/>
    <n v="90"/>
    <n v="2"/>
    <n v="1"/>
    <x v="2"/>
    <x v="2"/>
    <s v="Single"/>
    <n v="3162"/>
    <x v="0"/>
    <n v="7973"/>
    <n v="3"/>
    <x v="1"/>
    <n v="14"/>
    <n v="3"/>
    <n v="4"/>
    <n v="0"/>
    <n v="7"/>
    <n v="5"/>
    <n v="3"/>
    <n v="5"/>
    <x v="2"/>
    <n v="2"/>
    <n v="0"/>
    <n v="3"/>
  </r>
  <r>
    <n v="53"/>
    <x v="1"/>
    <s v="Travel_Rarely"/>
    <n v="447"/>
    <x v="1"/>
    <n v="2"/>
    <n v="3"/>
    <s v="Medical"/>
    <n v="1472"/>
    <n v="4"/>
    <s v="Male"/>
    <n v="39"/>
    <n v="4"/>
    <n v="4"/>
    <x v="7"/>
    <x v="1"/>
    <s v="Single"/>
    <n v="16598"/>
    <x v="2"/>
    <n v="19764"/>
    <n v="4"/>
    <x v="1"/>
    <n v="12"/>
    <n v="3"/>
    <n v="2"/>
    <n v="0"/>
    <n v="35"/>
    <n v="2"/>
    <n v="2"/>
    <n v="9"/>
    <x v="0"/>
    <n v="8"/>
    <n v="8"/>
    <n v="8"/>
  </r>
  <r>
    <n v="49"/>
    <x v="1"/>
    <s v="Travel_Rarely"/>
    <n v="1495"/>
    <x v="1"/>
    <n v="5"/>
    <n v="4"/>
    <s v="Technical Degree"/>
    <n v="1473"/>
    <n v="1"/>
    <s v="Male"/>
    <n v="96"/>
    <n v="3"/>
    <n v="2"/>
    <x v="4"/>
    <x v="2"/>
    <s v="Married"/>
    <n v="6651"/>
    <x v="0"/>
    <n v="21534"/>
    <n v="2"/>
    <x v="1"/>
    <n v="14"/>
    <n v="3"/>
    <n v="2"/>
    <n v="1"/>
    <n v="20"/>
    <n v="0"/>
    <n v="2"/>
    <n v="3"/>
    <x v="2"/>
    <n v="2"/>
    <n v="1"/>
    <n v="2"/>
  </r>
  <r>
    <n v="40"/>
    <x v="1"/>
    <s v="Travel_Rarely"/>
    <n v="896"/>
    <x v="1"/>
    <n v="2"/>
    <n v="3"/>
    <s v="Medical"/>
    <n v="1474"/>
    <n v="3"/>
    <s v="Male"/>
    <n v="68"/>
    <n v="3"/>
    <n v="1"/>
    <x v="1"/>
    <x v="2"/>
    <s v="Divorced"/>
    <n v="2345"/>
    <x v="1"/>
    <n v="8045"/>
    <n v="2"/>
    <x v="1"/>
    <n v="14"/>
    <n v="3"/>
    <n v="3"/>
    <n v="1"/>
    <n v="8"/>
    <n v="3"/>
    <n v="4"/>
    <n v="3"/>
    <x v="2"/>
    <n v="1"/>
    <n v="1"/>
    <n v="2"/>
  </r>
  <r>
    <n v="44"/>
    <x v="1"/>
    <s v="Travel_Rarely"/>
    <n v="1467"/>
    <x v="1"/>
    <n v="20"/>
    <n v="3"/>
    <s v="Life Sciences"/>
    <n v="1475"/>
    <n v="4"/>
    <s v="Male"/>
    <n v="49"/>
    <n v="3"/>
    <n v="1"/>
    <x v="1"/>
    <x v="1"/>
    <s v="Single"/>
    <n v="3420"/>
    <x v="0"/>
    <n v="21158"/>
    <n v="1"/>
    <x v="1"/>
    <n v="13"/>
    <n v="3"/>
    <n v="3"/>
    <n v="0"/>
    <n v="6"/>
    <n v="3"/>
    <n v="2"/>
    <n v="5"/>
    <x v="2"/>
    <n v="2"/>
    <n v="1"/>
    <n v="3"/>
  </r>
  <r>
    <n v="33"/>
    <x v="1"/>
    <s v="Travel_Frequently"/>
    <n v="430"/>
    <x v="0"/>
    <n v="7"/>
    <n v="3"/>
    <s v="Medical"/>
    <n v="1477"/>
    <n v="4"/>
    <s v="Male"/>
    <n v="54"/>
    <n v="3"/>
    <n v="2"/>
    <x v="0"/>
    <x v="3"/>
    <s v="Married"/>
    <n v="4373"/>
    <x v="0"/>
    <n v="17456"/>
    <n v="0"/>
    <x v="1"/>
    <n v="14"/>
    <n v="3"/>
    <n v="1"/>
    <n v="2"/>
    <n v="5"/>
    <n v="2"/>
    <n v="3"/>
    <n v="4"/>
    <x v="2"/>
    <n v="3"/>
    <n v="0"/>
    <n v="3"/>
  </r>
  <r>
    <n v="34"/>
    <x v="1"/>
    <s v="Travel_Rarely"/>
    <n v="1326"/>
    <x v="0"/>
    <n v="3"/>
    <n v="3"/>
    <s v="Other"/>
    <n v="1478"/>
    <n v="4"/>
    <s v="Male"/>
    <n v="81"/>
    <n v="1"/>
    <n v="2"/>
    <x v="0"/>
    <x v="3"/>
    <s v="Single"/>
    <n v="4759"/>
    <x v="0"/>
    <n v="15891"/>
    <n v="3"/>
    <x v="1"/>
    <n v="18"/>
    <n v="3"/>
    <n v="4"/>
    <n v="0"/>
    <n v="15"/>
    <n v="2"/>
    <n v="3"/>
    <n v="13"/>
    <x v="3"/>
    <n v="9"/>
    <n v="3"/>
    <n v="12"/>
  </r>
  <r>
    <n v="30"/>
    <x v="1"/>
    <s v="Travel_Rarely"/>
    <n v="1358"/>
    <x v="0"/>
    <n v="16"/>
    <n v="1"/>
    <s v="Life Sciences"/>
    <n v="1479"/>
    <n v="4"/>
    <s v="Male"/>
    <n v="96"/>
    <n v="3"/>
    <n v="2"/>
    <x v="0"/>
    <x v="2"/>
    <s v="Married"/>
    <n v="5301"/>
    <x v="0"/>
    <n v="2939"/>
    <n v="8"/>
    <x v="1"/>
    <n v="15"/>
    <n v="3"/>
    <n v="3"/>
    <n v="2"/>
    <n v="4"/>
    <n v="2"/>
    <n v="2"/>
    <n v="2"/>
    <x v="1"/>
    <n v="1"/>
    <n v="2"/>
    <n v="2"/>
  </r>
  <r>
    <n v="42"/>
    <x v="1"/>
    <s v="Travel_Frequently"/>
    <n v="748"/>
    <x v="1"/>
    <n v="9"/>
    <n v="2"/>
    <s v="Medical"/>
    <n v="1480"/>
    <n v="1"/>
    <s v="Female"/>
    <n v="74"/>
    <n v="3"/>
    <n v="1"/>
    <x v="2"/>
    <x v="0"/>
    <s v="Single"/>
    <n v="3673"/>
    <x v="0"/>
    <n v="16458"/>
    <n v="1"/>
    <x v="1"/>
    <n v="13"/>
    <n v="3"/>
    <n v="3"/>
    <n v="0"/>
    <n v="12"/>
    <n v="3"/>
    <n v="3"/>
    <n v="12"/>
    <x v="3"/>
    <n v="9"/>
    <n v="5"/>
    <n v="8"/>
  </r>
  <r>
    <n v="44"/>
    <x v="1"/>
    <s v="Travel_Frequently"/>
    <n v="383"/>
    <x v="0"/>
    <n v="1"/>
    <n v="5"/>
    <s v="Marketing"/>
    <n v="1481"/>
    <n v="1"/>
    <s v="Female"/>
    <n v="79"/>
    <n v="3"/>
    <n v="2"/>
    <x v="0"/>
    <x v="2"/>
    <s v="Married"/>
    <n v="4768"/>
    <x v="0"/>
    <n v="9282"/>
    <n v="7"/>
    <x v="1"/>
    <n v="12"/>
    <n v="3"/>
    <n v="3"/>
    <n v="1"/>
    <n v="11"/>
    <n v="4"/>
    <n v="2"/>
    <n v="1"/>
    <x v="1"/>
    <n v="0"/>
    <n v="0"/>
    <n v="0"/>
  </r>
  <r>
    <n v="30"/>
    <x v="1"/>
    <s v="Non-Travel"/>
    <n v="990"/>
    <x v="1"/>
    <n v="7"/>
    <n v="3"/>
    <s v="Technical Degree"/>
    <n v="1482"/>
    <n v="3"/>
    <s v="Male"/>
    <n v="64"/>
    <n v="3"/>
    <n v="1"/>
    <x v="1"/>
    <x v="2"/>
    <s v="Divorced"/>
    <n v="1274"/>
    <x v="1"/>
    <n v="7152"/>
    <n v="1"/>
    <x v="1"/>
    <n v="13"/>
    <n v="3"/>
    <n v="2"/>
    <n v="2"/>
    <n v="1"/>
    <n v="2"/>
    <n v="2"/>
    <n v="1"/>
    <x v="1"/>
    <n v="0"/>
    <n v="0"/>
    <n v="0"/>
  </r>
  <r>
    <n v="57"/>
    <x v="1"/>
    <s v="Travel_Rarely"/>
    <n v="405"/>
    <x v="1"/>
    <n v="1"/>
    <n v="2"/>
    <s v="Life Sciences"/>
    <n v="1483"/>
    <n v="2"/>
    <s v="Male"/>
    <n v="93"/>
    <n v="4"/>
    <n v="2"/>
    <x v="1"/>
    <x v="2"/>
    <s v="Married"/>
    <n v="4900"/>
    <x v="0"/>
    <n v="2721"/>
    <n v="0"/>
    <x v="1"/>
    <n v="24"/>
    <n v="4"/>
    <n v="1"/>
    <n v="1"/>
    <n v="13"/>
    <n v="2"/>
    <n v="2"/>
    <n v="12"/>
    <x v="3"/>
    <n v="9"/>
    <n v="2"/>
    <n v="8"/>
  </r>
  <r>
    <n v="49"/>
    <x v="1"/>
    <s v="Travel_Rarely"/>
    <n v="1490"/>
    <x v="1"/>
    <n v="7"/>
    <n v="4"/>
    <s v="Life Sciences"/>
    <n v="1484"/>
    <n v="3"/>
    <s v="Male"/>
    <n v="35"/>
    <n v="3"/>
    <n v="3"/>
    <x v="4"/>
    <x v="1"/>
    <s v="Divorced"/>
    <n v="10466"/>
    <x v="2"/>
    <n v="20948"/>
    <n v="3"/>
    <x v="1"/>
    <n v="14"/>
    <n v="3"/>
    <n v="2"/>
    <n v="2"/>
    <n v="29"/>
    <n v="3"/>
    <n v="3"/>
    <n v="8"/>
    <x v="0"/>
    <n v="7"/>
    <n v="0"/>
    <n v="7"/>
  </r>
  <r>
    <n v="34"/>
    <x v="1"/>
    <s v="Travel_Frequently"/>
    <n v="829"/>
    <x v="1"/>
    <n v="15"/>
    <n v="3"/>
    <s v="Medical"/>
    <n v="1485"/>
    <n v="2"/>
    <s v="Male"/>
    <n v="71"/>
    <n v="3"/>
    <n v="4"/>
    <x v="7"/>
    <x v="3"/>
    <s v="Divorced"/>
    <n v="17007"/>
    <x v="2"/>
    <n v="11929"/>
    <n v="7"/>
    <x v="1"/>
    <n v="14"/>
    <n v="3"/>
    <n v="4"/>
    <n v="2"/>
    <n v="16"/>
    <n v="3"/>
    <n v="2"/>
    <n v="14"/>
    <x v="3"/>
    <n v="8"/>
    <n v="6"/>
    <n v="9"/>
  </r>
  <r>
    <n v="28"/>
    <x v="0"/>
    <s v="Travel_Frequently"/>
    <n v="1496"/>
    <x v="0"/>
    <n v="1"/>
    <n v="3"/>
    <s v="Technical Degree"/>
    <n v="1486"/>
    <n v="1"/>
    <s v="Male"/>
    <n v="92"/>
    <n v="3"/>
    <n v="1"/>
    <x v="6"/>
    <x v="2"/>
    <s v="Married"/>
    <n v="2909"/>
    <x v="1"/>
    <n v="15747"/>
    <n v="3"/>
    <x v="1"/>
    <n v="15"/>
    <n v="3"/>
    <n v="4"/>
    <n v="1"/>
    <n v="5"/>
    <n v="3"/>
    <n v="4"/>
    <n v="3"/>
    <x v="2"/>
    <n v="2"/>
    <n v="1"/>
    <n v="2"/>
  </r>
  <r>
    <n v="29"/>
    <x v="0"/>
    <s v="Travel_Frequently"/>
    <n v="115"/>
    <x v="0"/>
    <n v="13"/>
    <n v="3"/>
    <s v="Technical Degree"/>
    <n v="1487"/>
    <n v="1"/>
    <s v="Female"/>
    <n v="51"/>
    <n v="3"/>
    <n v="2"/>
    <x v="0"/>
    <x v="1"/>
    <s v="Single"/>
    <n v="5765"/>
    <x v="0"/>
    <n v="17485"/>
    <n v="5"/>
    <x v="1"/>
    <n v="11"/>
    <n v="3"/>
    <n v="1"/>
    <n v="0"/>
    <n v="7"/>
    <n v="4"/>
    <n v="1"/>
    <n v="5"/>
    <x v="2"/>
    <n v="3"/>
    <n v="0"/>
    <n v="0"/>
  </r>
  <r>
    <n v="34"/>
    <x v="0"/>
    <s v="Travel_Rarely"/>
    <n v="790"/>
    <x v="0"/>
    <n v="24"/>
    <n v="4"/>
    <s v="Medical"/>
    <n v="1489"/>
    <n v="1"/>
    <s v="Female"/>
    <n v="40"/>
    <n v="2"/>
    <n v="2"/>
    <x v="0"/>
    <x v="1"/>
    <s v="Single"/>
    <n v="4599"/>
    <x v="0"/>
    <n v="7815"/>
    <n v="0"/>
    <x v="0"/>
    <n v="23"/>
    <n v="4"/>
    <n v="3"/>
    <n v="0"/>
    <n v="16"/>
    <n v="2"/>
    <n v="4"/>
    <n v="15"/>
    <x v="3"/>
    <n v="9"/>
    <n v="10"/>
    <n v="10"/>
  </r>
  <r>
    <n v="35"/>
    <x v="1"/>
    <s v="Travel_Rarely"/>
    <n v="660"/>
    <x v="0"/>
    <n v="7"/>
    <n v="1"/>
    <s v="Life Sciences"/>
    <n v="1492"/>
    <n v="4"/>
    <s v="Male"/>
    <n v="76"/>
    <n v="3"/>
    <n v="1"/>
    <x v="6"/>
    <x v="2"/>
    <s v="Married"/>
    <n v="2404"/>
    <x v="1"/>
    <n v="16192"/>
    <n v="1"/>
    <x v="1"/>
    <n v="13"/>
    <n v="3"/>
    <n v="1"/>
    <n v="1"/>
    <n v="1"/>
    <n v="3"/>
    <n v="3"/>
    <n v="1"/>
    <x v="1"/>
    <n v="0"/>
    <n v="0"/>
    <n v="0"/>
  </r>
  <r>
    <n v="24"/>
    <x v="0"/>
    <s v="Travel_Frequently"/>
    <n v="381"/>
    <x v="1"/>
    <n v="9"/>
    <n v="3"/>
    <s v="Medical"/>
    <n v="1494"/>
    <n v="2"/>
    <s v="Male"/>
    <n v="89"/>
    <n v="3"/>
    <n v="1"/>
    <x v="2"/>
    <x v="3"/>
    <s v="Single"/>
    <n v="3172"/>
    <x v="0"/>
    <n v="16998"/>
    <n v="2"/>
    <x v="0"/>
    <n v="11"/>
    <n v="3"/>
    <n v="3"/>
    <n v="0"/>
    <n v="4"/>
    <n v="2"/>
    <n v="2"/>
    <n v="0"/>
    <x v="1"/>
    <n v="0"/>
    <n v="0"/>
    <n v="0"/>
  </r>
  <r>
    <n v="24"/>
    <x v="1"/>
    <s v="Non-Travel"/>
    <n v="830"/>
    <x v="0"/>
    <n v="13"/>
    <n v="2"/>
    <s v="Life Sciences"/>
    <n v="1495"/>
    <n v="4"/>
    <s v="Female"/>
    <n v="78"/>
    <n v="3"/>
    <n v="1"/>
    <x v="6"/>
    <x v="1"/>
    <s v="Married"/>
    <n v="2033"/>
    <x v="1"/>
    <n v="7103"/>
    <n v="1"/>
    <x v="1"/>
    <n v="13"/>
    <n v="3"/>
    <n v="3"/>
    <n v="1"/>
    <n v="1"/>
    <n v="2"/>
    <n v="3"/>
    <n v="1"/>
    <x v="1"/>
    <n v="0"/>
    <n v="0"/>
    <n v="0"/>
  </r>
  <r>
    <n v="44"/>
    <x v="1"/>
    <s v="Travel_Frequently"/>
    <n v="1193"/>
    <x v="1"/>
    <n v="2"/>
    <n v="1"/>
    <s v="Medical"/>
    <n v="1496"/>
    <n v="2"/>
    <s v="Male"/>
    <n v="86"/>
    <n v="3"/>
    <n v="3"/>
    <x v="3"/>
    <x v="2"/>
    <s v="Single"/>
    <n v="10209"/>
    <x v="2"/>
    <n v="19719"/>
    <n v="5"/>
    <x v="0"/>
    <n v="18"/>
    <n v="3"/>
    <n v="2"/>
    <n v="0"/>
    <n v="16"/>
    <n v="2"/>
    <n v="2"/>
    <n v="2"/>
    <x v="1"/>
    <n v="2"/>
    <n v="2"/>
    <n v="2"/>
  </r>
  <r>
    <n v="29"/>
    <x v="1"/>
    <s v="Travel_Rarely"/>
    <n v="1246"/>
    <x v="0"/>
    <n v="19"/>
    <n v="3"/>
    <s v="Life Sciences"/>
    <n v="1497"/>
    <n v="3"/>
    <s v="Male"/>
    <n v="77"/>
    <n v="2"/>
    <n v="2"/>
    <x v="0"/>
    <x v="2"/>
    <s v="Divorced"/>
    <n v="8620"/>
    <x v="2"/>
    <n v="23757"/>
    <n v="1"/>
    <x v="1"/>
    <n v="14"/>
    <n v="3"/>
    <n v="3"/>
    <n v="2"/>
    <n v="10"/>
    <n v="3"/>
    <n v="3"/>
    <n v="10"/>
    <x v="0"/>
    <n v="7"/>
    <n v="0"/>
    <n v="4"/>
  </r>
  <r>
    <n v="30"/>
    <x v="1"/>
    <s v="Travel_Rarely"/>
    <n v="330"/>
    <x v="2"/>
    <n v="1"/>
    <n v="3"/>
    <s v="Life Sciences"/>
    <n v="1499"/>
    <n v="3"/>
    <s v="Male"/>
    <n v="46"/>
    <n v="3"/>
    <n v="1"/>
    <x v="8"/>
    <x v="2"/>
    <s v="Divorced"/>
    <n v="2064"/>
    <x v="1"/>
    <n v="15428"/>
    <n v="0"/>
    <x v="1"/>
    <n v="21"/>
    <n v="4"/>
    <n v="1"/>
    <n v="1"/>
    <n v="6"/>
    <n v="3"/>
    <n v="4"/>
    <n v="5"/>
    <x v="2"/>
    <n v="3"/>
    <n v="1"/>
    <n v="3"/>
  </r>
  <r>
    <n v="55"/>
    <x v="1"/>
    <s v="Travel_Rarely"/>
    <n v="1229"/>
    <x v="1"/>
    <n v="4"/>
    <n v="4"/>
    <s v="Life Sciences"/>
    <n v="1501"/>
    <n v="4"/>
    <s v="Male"/>
    <n v="30"/>
    <n v="3"/>
    <n v="2"/>
    <x v="4"/>
    <x v="2"/>
    <s v="Married"/>
    <n v="4035"/>
    <x v="0"/>
    <n v="16143"/>
    <n v="0"/>
    <x v="0"/>
    <n v="16"/>
    <n v="3"/>
    <n v="2"/>
    <n v="0"/>
    <n v="4"/>
    <n v="2"/>
    <n v="3"/>
    <n v="3"/>
    <x v="2"/>
    <n v="2"/>
    <n v="1"/>
    <n v="2"/>
  </r>
  <r>
    <n v="33"/>
    <x v="1"/>
    <s v="Travel_Rarely"/>
    <n v="1099"/>
    <x v="1"/>
    <n v="4"/>
    <n v="4"/>
    <s v="Medical"/>
    <n v="1502"/>
    <n v="1"/>
    <s v="Female"/>
    <n v="82"/>
    <n v="2"/>
    <n v="1"/>
    <x v="2"/>
    <x v="1"/>
    <s v="Married"/>
    <n v="3838"/>
    <x v="0"/>
    <n v="8192"/>
    <n v="8"/>
    <x v="1"/>
    <n v="11"/>
    <n v="3"/>
    <n v="4"/>
    <n v="0"/>
    <n v="8"/>
    <n v="5"/>
    <n v="3"/>
    <n v="5"/>
    <x v="2"/>
    <n v="4"/>
    <n v="0"/>
    <n v="2"/>
  </r>
  <r>
    <n v="47"/>
    <x v="1"/>
    <s v="Travel_Rarely"/>
    <n v="571"/>
    <x v="0"/>
    <n v="14"/>
    <n v="3"/>
    <s v="Medical"/>
    <n v="1503"/>
    <n v="3"/>
    <s v="Female"/>
    <n v="78"/>
    <n v="3"/>
    <n v="2"/>
    <x v="0"/>
    <x v="2"/>
    <s v="Married"/>
    <n v="4591"/>
    <x v="0"/>
    <n v="24200"/>
    <n v="3"/>
    <x v="0"/>
    <n v="17"/>
    <n v="3"/>
    <n v="3"/>
    <n v="1"/>
    <n v="11"/>
    <n v="4"/>
    <n v="2"/>
    <n v="5"/>
    <x v="2"/>
    <n v="4"/>
    <n v="1"/>
    <n v="2"/>
  </r>
  <r>
    <n v="28"/>
    <x v="0"/>
    <s v="Travel_Frequently"/>
    <n v="289"/>
    <x v="1"/>
    <n v="2"/>
    <n v="2"/>
    <s v="Medical"/>
    <n v="1504"/>
    <n v="3"/>
    <s v="Male"/>
    <n v="38"/>
    <n v="2"/>
    <n v="1"/>
    <x v="2"/>
    <x v="3"/>
    <s v="Single"/>
    <n v="2561"/>
    <x v="1"/>
    <n v="5355"/>
    <n v="7"/>
    <x v="1"/>
    <n v="11"/>
    <n v="3"/>
    <n v="3"/>
    <n v="0"/>
    <n v="8"/>
    <n v="2"/>
    <n v="2"/>
    <n v="0"/>
    <x v="1"/>
    <n v="0"/>
    <n v="0"/>
    <n v="0"/>
  </r>
  <r>
    <n v="28"/>
    <x v="1"/>
    <s v="Travel_Rarely"/>
    <n v="1423"/>
    <x v="1"/>
    <n v="1"/>
    <n v="3"/>
    <s v="Life Sciences"/>
    <n v="1506"/>
    <n v="1"/>
    <s v="Male"/>
    <n v="72"/>
    <n v="2"/>
    <n v="1"/>
    <x v="1"/>
    <x v="2"/>
    <s v="Divorced"/>
    <n v="1563"/>
    <x v="1"/>
    <n v="12530"/>
    <n v="1"/>
    <x v="1"/>
    <n v="14"/>
    <n v="3"/>
    <n v="4"/>
    <n v="1"/>
    <n v="1"/>
    <n v="2"/>
    <n v="1"/>
    <n v="1"/>
    <x v="1"/>
    <n v="0"/>
    <n v="0"/>
    <n v="0"/>
  </r>
  <r>
    <n v="28"/>
    <x v="1"/>
    <s v="Travel_Frequently"/>
    <n v="467"/>
    <x v="0"/>
    <n v="7"/>
    <n v="3"/>
    <s v="Life Sciences"/>
    <n v="1507"/>
    <n v="3"/>
    <s v="Male"/>
    <n v="55"/>
    <n v="3"/>
    <n v="2"/>
    <x v="0"/>
    <x v="3"/>
    <s v="Single"/>
    <n v="4898"/>
    <x v="0"/>
    <n v="11827"/>
    <n v="0"/>
    <x v="1"/>
    <n v="14"/>
    <n v="3"/>
    <n v="4"/>
    <n v="0"/>
    <n v="5"/>
    <n v="5"/>
    <n v="3"/>
    <n v="4"/>
    <x v="2"/>
    <n v="2"/>
    <n v="1"/>
    <n v="3"/>
  </r>
  <r>
    <n v="49"/>
    <x v="1"/>
    <s v="Travel_Rarely"/>
    <n v="271"/>
    <x v="1"/>
    <n v="3"/>
    <n v="2"/>
    <s v="Medical"/>
    <n v="1509"/>
    <n v="3"/>
    <s v="Female"/>
    <n v="43"/>
    <n v="2"/>
    <n v="2"/>
    <x v="2"/>
    <x v="3"/>
    <s v="Married"/>
    <n v="4789"/>
    <x v="0"/>
    <n v="23070"/>
    <n v="4"/>
    <x v="1"/>
    <n v="25"/>
    <n v="4"/>
    <n v="1"/>
    <n v="1"/>
    <n v="10"/>
    <n v="3"/>
    <n v="3"/>
    <n v="3"/>
    <x v="2"/>
    <n v="2"/>
    <n v="1"/>
    <n v="2"/>
  </r>
  <r>
    <n v="29"/>
    <x v="1"/>
    <s v="Travel_Frequently"/>
    <n v="410"/>
    <x v="1"/>
    <n v="2"/>
    <n v="1"/>
    <s v="Life Sciences"/>
    <n v="1513"/>
    <n v="4"/>
    <s v="Female"/>
    <n v="97"/>
    <n v="3"/>
    <n v="1"/>
    <x v="2"/>
    <x v="1"/>
    <s v="Married"/>
    <n v="3180"/>
    <x v="0"/>
    <n v="4668"/>
    <n v="0"/>
    <x v="1"/>
    <n v="13"/>
    <n v="3"/>
    <n v="3"/>
    <n v="3"/>
    <n v="4"/>
    <n v="3"/>
    <n v="3"/>
    <n v="3"/>
    <x v="2"/>
    <n v="2"/>
    <n v="0"/>
    <n v="2"/>
  </r>
  <r>
    <n v="28"/>
    <x v="1"/>
    <s v="Travel_Rarely"/>
    <n v="1083"/>
    <x v="1"/>
    <n v="29"/>
    <n v="1"/>
    <s v="Life Sciences"/>
    <n v="1514"/>
    <n v="3"/>
    <s v="Male"/>
    <n v="96"/>
    <n v="1"/>
    <n v="2"/>
    <x v="3"/>
    <x v="1"/>
    <s v="Married"/>
    <n v="6549"/>
    <x v="0"/>
    <n v="3173"/>
    <n v="1"/>
    <x v="1"/>
    <n v="14"/>
    <n v="3"/>
    <n v="2"/>
    <n v="2"/>
    <n v="8"/>
    <n v="2"/>
    <n v="2"/>
    <n v="8"/>
    <x v="0"/>
    <n v="6"/>
    <n v="1"/>
    <n v="7"/>
  </r>
  <r>
    <n v="33"/>
    <x v="1"/>
    <s v="Travel_Rarely"/>
    <n v="516"/>
    <x v="1"/>
    <n v="8"/>
    <n v="5"/>
    <s v="Life Sciences"/>
    <n v="1515"/>
    <n v="4"/>
    <s v="Male"/>
    <n v="69"/>
    <n v="3"/>
    <n v="2"/>
    <x v="4"/>
    <x v="2"/>
    <s v="Single"/>
    <n v="6388"/>
    <x v="0"/>
    <n v="22049"/>
    <n v="2"/>
    <x v="0"/>
    <n v="17"/>
    <n v="3"/>
    <n v="1"/>
    <n v="0"/>
    <n v="14"/>
    <n v="6"/>
    <n v="3"/>
    <n v="0"/>
    <x v="1"/>
    <n v="0"/>
    <n v="0"/>
    <n v="0"/>
  </r>
  <r>
    <n v="32"/>
    <x v="1"/>
    <s v="Travel_Rarely"/>
    <n v="495"/>
    <x v="1"/>
    <n v="10"/>
    <n v="3"/>
    <s v="Medical"/>
    <n v="1516"/>
    <n v="3"/>
    <s v="Male"/>
    <n v="64"/>
    <n v="3"/>
    <n v="3"/>
    <x v="5"/>
    <x v="0"/>
    <s v="Single"/>
    <n v="11244"/>
    <x v="2"/>
    <n v="21072"/>
    <n v="2"/>
    <x v="1"/>
    <n v="25"/>
    <n v="4"/>
    <n v="2"/>
    <n v="0"/>
    <n v="10"/>
    <n v="5"/>
    <n v="4"/>
    <n v="5"/>
    <x v="2"/>
    <n v="2"/>
    <n v="0"/>
    <n v="0"/>
  </r>
  <r>
    <n v="54"/>
    <x v="1"/>
    <s v="Travel_Frequently"/>
    <n v="1050"/>
    <x v="1"/>
    <n v="11"/>
    <n v="4"/>
    <s v="Medical"/>
    <n v="1520"/>
    <n v="2"/>
    <s v="Female"/>
    <n v="87"/>
    <n v="3"/>
    <n v="4"/>
    <x v="5"/>
    <x v="0"/>
    <s v="Divorced"/>
    <n v="16032"/>
    <x v="2"/>
    <n v="24456"/>
    <n v="3"/>
    <x v="1"/>
    <n v="20"/>
    <n v="4"/>
    <n v="1"/>
    <n v="1"/>
    <n v="26"/>
    <n v="2"/>
    <n v="3"/>
    <n v="14"/>
    <x v="3"/>
    <n v="9"/>
    <n v="1"/>
    <n v="12"/>
  </r>
  <r>
    <n v="29"/>
    <x v="0"/>
    <s v="Travel_Rarely"/>
    <n v="224"/>
    <x v="1"/>
    <n v="1"/>
    <n v="4"/>
    <s v="Technical Degree"/>
    <n v="1522"/>
    <n v="1"/>
    <s v="Male"/>
    <n v="100"/>
    <n v="2"/>
    <n v="1"/>
    <x v="1"/>
    <x v="3"/>
    <s v="Single"/>
    <n v="2362"/>
    <x v="1"/>
    <n v="7568"/>
    <n v="6"/>
    <x v="1"/>
    <n v="13"/>
    <n v="3"/>
    <n v="3"/>
    <n v="0"/>
    <n v="11"/>
    <n v="2"/>
    <n v="1"/>
    <n v="9"/>
    <x v="0"/>
    <n v="7"/>
    <n v="0"/>
    <n v="7"/>
  </r>
  <r>
    <n v="44"/>
    <x v="1"/>
    <s v="Travel_Rarely"/>
    <n v="136"/>
    <x v="1"/>
    <n v="28"/>
    <n v="3"/>
    <s v="Life Sciences"/>
    <n v="1523"/>
    <n v="4"/>
    <s v="Male"/>
    <n v="32"/>
    <n v="3"/>
    <n v="4"/>
    <x v="7"/>
    <x v="3"/>
    <s v="Married"/>
    <n v="16328"/>
    <x v="2"/>
    <n v="22074"/>
    <n v="3"/>
    <x v="1"/>
    <n v="13"/>
    <n v="3"/>
    <n v="3"/>
    <n v="1"/>
    <n v="24"/>
    <n v="1"/>
    <n v="4"/>
    <n v="20"/>
    <x v="3"/>
    <n v="6"/>
    <n v="14"/>
    <n v="17"/>
  </r>
  <r>
    <n v="39"/>
    <x v="1"/>
    <s v="Travel_Rarely"/>
    <n v="1089"/>
    <x v="1"/>
    <n v="6"/>
    <n v="3"/>
    <s v="Life Sciences"/>
    <n v="1525"/>
    <n v="2"/>
    <s v="Female"/>
    <n v="32"/>
    <n v="3"/>
    <n v="3"/>
    <x v="3"/>
    <x v="1"/>
    <s v="Single"/>
    <n v="8376"/>
    <x v="2"/>
    <n v="9150"/>
    <n v="4"/>
    <x v="1"/>
    <n v="18"/>
    <n v="3"/>
    <n v="4"/>
    <n v="0"/>
    <n v="9"/>
    <n v="3"/>
    <n v="3"/>
    <n v="2"/>
    <x v="1"/>
    <n v="0"/>
    <n v="2"/>
    <n v="2"/>
  </r>
  <r>
    <n v="46"/>
    <x v="1"/>
    <s v="Travel_Rarely"/>
    <n v="228"/>
    <x v="0"/>
    <n v="3"/>
    <n v="3"/>
    <s v="Life Sciences"/>
    <n v="1527"/>
    <n v="3"/>
    <s v="Female"/>
    <n v="51"/>
    <n v="3"/>
    <n v="4"/>
    <x v="5"/>
    <x v="1"/>
    <s v="Married"/>
    <n v="16606"/>
    <x v="2"/>
    <n v="11380"/>
    <n v="8"/>
    <x v="1"/>
    <n v="12"/>
    <n v="3"/>
    <n v="4"/>
    <n v="1"/>
    <n v="23"/>
    <n v="2"/>
    <n v="4"/>
    <n v="13"/>
    <x v="3"/>
    <n v="12"/>
    <n v="5"/>
    <n v="1"/>
  </r>
  <r>
    <n v="35"/>
    <x v="1"/>
    <s v="Travel_Rarely"/>
    <n v="1029"/>
    <x v="1"/>
    <n v="16"/>
    <n v="3"/>
    <s v="Life Sciences"/>
    <n v="1529"/>
    <n v="4"/>
    <s v="Female"/>
    <n v="91"/>
    <n v="2"/>
    <n v="3"/>
    <x v="4"/>
    <x v="1"/>
    <s v="Single"/>
    <n v="8606"/>
    <x v="2"/>
    <n v="21195"/>
    <n v="1"/>
    <x v="1"/>
    <n v="19"/>
    <n v="3"/>
    <n v="4"/>
    <n v="0"/>
    <n v="11"/>
    <n v="3"/>
    <n v="1"/>
    <n v="11"/>
    <x v="3"/>
    <n v="8"/>
    <n v="3"/>
    <n v="3"/>
  </r>
  <r>
    <n v="23"/>
    <x v="1"/>
    <s v="Travel_Rarely"/>
    <n v="507"/>
    <x v="1"/>
    <n v="20"/>
    <n v="1"/>
    <s v="Life Sciences"/>
    <n v="1533"/>
    <n v="1"/>
    <s v="Male"/>
    <n v="97"/>
    <n v="3"/>
    <n v="2"/>
    <x v="2"/>
    <x v="2"/>
    <s v="Single"/>
    <n v="2272"/>
    <x v="1"/>
    <n v="24812"/>
    <n v="0"/>
    <x v="1"/>
    <n v="14"/>
    <n v="3"/>
    <n v="2"/>
    <n v="0"/>
    <n v="5"/>
    <n v="2"/>
    <n v="3"/>
    <n v="4"/>
    <x v="2"/>
    <n v="3"/>
    <n v="1"/>
    <n v="2"/>
  </r>
  <r>
    <n v="40"/>
    <x v="0"/>
    <s v="Travel_Rarely"/>
    <n v="676"/>
    <x v="1"/>
    <n v="9"/>
    <n v="4"/>
    <s v="Life Sciences"/>
    <n v="1534"/>
    <n v="4"/>
    <s v="Male"/>
    <n v="86"/>
    <n v="3"/>
    <n v="1"/>
    <x v="2"/>
    <x v="3"/>
    <s v="Single"/>
    <n v="2018"/>
    <x v="1"/>
    <n v="21831"/>
    <n v="3"/>
    <x v="1"/>
    <n v="14"/>
    <n v="3"/>
    <n v="2"/>
    <n v="0"/>
    <n v="15"/>
    <n v="3"/>
    <n v="1"/>
    <n v="5"/>
    <x v="2"/>
    <n v="4"/>
    <n v="1"/>
    <n v="0"/>
  </r>
  <r>
    <n v="34"/>
    <x v="1"/>
    <s v="Travel_Rarely"/>
    <n v="971"/>
    <x v="0"/>
    <n v="1"/>
    <n v="3"/>
    <s v="Technical Degree"/>
    <n v="1535"/>
    <n v="4"/>
    <s v="Male"/>
    <n v="64"/>
    <n v="2"/>
    <n v="3"/>
    <x v="0"/>
    <x v="2"/>
    <s v="Married"/>
    <n v="7083"/>
    <x v="2"/>
    <n v="12288"/>
    <n v="1"/>
    <x v="0"/>
    <n v="14"/>
    <n v="3"/>
    <n v="4"/>
    <n v="0"/>
    <n v="10"/>
    <n v="3"/>
    <n v="3"/>
    <n v="10"/>
    <x v="0"/>
    <n v="9"/>
    <n v="8"/>
    <n v="6"/>
  </r>
  <r>
    <n v="31"/>
    <x v="0"/>
    <s v="Travel_Frequently"/>
    <n v="561"/>
    <x v="1"/>
    <n v="3"/>
    <n v="3"/>
    <s v="Life Sciences"/>
    <n v="1537"/>
    <n v="4"/>
    <s v="Female"/>
    <n v="33"/>
    <n v="3"/>
    <n v="1"/>
    <x v="1"/>
    <x v="2"/>
    <s v="Single"/>
    <n v="4084"/>
    <x v="0"/>
    <n v="4156"/>
    <n v="1"/>
    <x v="1"/>
    <n v="12"/>
    <n v="3"/>
    <n v="1"/>
    <n v="0"/>
    <n v="7"/>
    <n v="2"/>
    <n v="1"/>
    <n v="7"/>
    <x v="0"/>
    <n v="2"/>
    <n v="7"/>
    <n v="7"/>
  </r>
  <r>
    <n v="50"/>
    <x v="1"/>
    <s v="Travel_Frequently"/>
    <n v="333"/>
    <x v="1"/>
    <n v="22"/>
    <n v="5"/>
    <s v="Medical"/>
    <n v="1539"/>
    <n v="3"/>
    <s v="Male"/>
    <n v="88"/>
    <n v="1"/>
    <n v="4"/>
    <x v="7"/>
    <x v="0"/>
    <s v="Single"/>
    <n v="14411"/>
    <x v="2"/>
    <n v="24450"/>
    <n v="1"/>
    <x v="0"/>
    <n v="13"/>
    <n v="3"/>
    <n v="4"/>
    <n v="0"/>
    <n v="32"/>
    <n v="2"/>
    <n v="3"/>
    <n v="32"/>
    <x v="3"/>
    <n v="6"/>
    <n v="13"/>
    <n v="9"/>
  </r>
  <r>
    <n v="34"/>
    <x v="1"/>
    <s v="Travel_Rarely"/>
    <n v="1440"/>
    <x v="0"/>
    <n v="7"/>
    <n v="2"/>
    <s v="Technical Degree"/>
    <n v="1541"/>
    <n v="2"/>
    <s v="Male"/>
    <n v="55"/>
    <n v="3"/>
    <n v="1"/>
    <x v="6"/>
    <x v="2"/>
    <s v="Married"/>
    <n v="2308"/>
    <x v="1"/>
    <n v="4944"/>
    <n v="0"/>
    <x v="0"/>
    <n v="25"/>
    <n v="4"/>
    <n v="2"/>
    <n v="1"/>
    <n v="12"/>
    <n v="4"/>
    <n v="3"/>
    <n v="11"/>
    <x v="3"/>
    <n v="10"/>
    <n v="5"/>
    <n v="7"/>
  </r>
  <r>
    <n v="42"/>
    <x v="1"/>
    <s v="Travel_Rarely"/>
    <n v="1210"/>
    <x v="1"/>
    <n v="2"/>
    <n v="3"/>
    <s v="Medical"/>
    <n v="1542"/>
    <n v="3"/>
    <s v="Male"/>
    <n v="68"/>
    <n v="2"/>
    <n v="1"/>
    <x v="2"/>
    <x v="1"/>
    <s v="Married"/>
    <n v="4841"/>
    <x v="0"/>
    <n v="24052"/>
    <n v="4"/>
    <x v="1"/>
    <n v="14"/>
    <n v="3"/>
    <n v="2"/>
    <n v="1"/>
    <n v="4"/>
    <n v="3"/>
    <n v="3"/>
    <n v="1"/>
    <x v="1"/>
    <n v="0"/>
    <n v="0"/>
    <n v="0"/>
  </r>
  <r>
    <n v="37"/>
    <x v="1"/>
    <s v="Travel_Rarely"/>
    <n v="674"/>
    <x v="1"/>
    <n v="13"/>
    <n v="3"/>
    <s v="Medical"/>
    <n v="1543"/>
    <n v="1"/>
    <s v="Male"/>
    <n v="47"/>
    <n v="3"/>
    <n v="2"/>
    <x v="1"/>
    <x v="0"/>
    <s v="Married"/>
    <n v="4285"/>
    <x v="0"/>
    <n v="3031"/>
    <n v="1"/>
    <x v="1"/>
    <n v="17"/>
    <n v="3"/>
    <n v="1"/>
    <n v="0"/>
    <n v="10"/>
    <n v="2"/>
    <n v="3"/>
    <n v="10"/>
    <x v="0"/>
    <n v="8"/>
    <n v="3"/>
    <n v="7"/>
  </r>
  <r>
    <n v="29"/>
    <x v="1"/>
    <s v="Travel_Rarely"/>
    <n v="441"/>
    <x v="1"/>
    <n v="8"/>
    <n v="1"/>
    <s v="Other"/>
    <n v="1544"/>
    <n v="3"/>
    <s v="Female"/>
    <n v="39"/>
    <n v="1"/>
    <n v="2"/>
    <x v="4"/>
    <x v="3"/>
    <s v="Married"/>
    <n v="9715"/>
    <x v="2"/>
    <n v="7288"/>
    <n v="3"/>
    <x v="1"/>
    <n v="13"/>
    <n v="3"/>
    <n v="3"/>
    <n v="1"/>
    <n v="9"/>
    <n v="3"/>
    <n v="3"/>
    <n v="7"/>
    <x v="0"/>
    <n v="7"/>
    <n v="0"/>
    <n v="7"/>
  </r>
  <r>
    <n v="33"/>
    <x v="1"/>
    <s v="Travel_Rarely"/>
    <n v="575"/>
    <x v="1"/>
    <n v="25"/>
    <n v="3"/>
    <s v="Life Sciences"/>
    <n v="1545"/>
    <n v="4"/>
    <s v="Male"/>
    <n v="44"/>
    <n v="2"/>
    <n v="2"/>
    <x v="3"/>
    <x v="1"/>
    <s v="Single"/>
    <n v="4320"/>
    <x v="0"/>
    <n v="24152"/>
    <n v="1"/>
    <x v="1"/>
    <n v="13"/>
    <n v="3"/>
    <n v="4"/>
    <n v="0"/>
    <n v="5"/>
    <n v="2"/>
    <n v="3"/>
    <n v="5"/>
    <x v="2"/>
    <n v="3"/>
    <n v="0"/>
    <n v="2"/>
  </r>
  <r>
    <n v="45"/>
    <x v="1"/>
    <s v="Travel_Rarely"/>
    <n v="950"/>
    <x v="1"/>
    <n v="28"/>
    <n v="3"/>
    <s v="Technical Degree"/>
    <n v="1546"/>
    <n v="4"/>
    <s v="Male"/>
    <n v="97"/>
    <n v="3"/>
    <n v="1"/>
    <x v="1"/>
    <x v="0"/>
    <s v="Married"/>
    <n v="2132"/>
    <x v="1"/>
    <n v="4585"/>
    <n v="4"/>
    <x v="1"/>
    <n v="20"/>
    <n v="4"/>
    <n v="4"/>
    <n v="1"/>
    <n v="8"/>
    <n v="3"/>
    <n v="3"/>
    <n v="5"/>
    <x v="2"/>
    <n v="4"/>
    <n v="0"/>
    <n v="3"/>
  </r>
  <r>
    <n v="42"/>
    <x v="1"/>
    <s v="Travel_Frequently"/>
    <n v="288"/>
    <x v="1"/>
    <n v="2"/>
    <n v="3"/>
    <s v="Life Sciences"/>
    <n v="1547"/>
    <n v="4"/>
    <s v="Male"/>
    <n v="40"/>
    <n v="3"/>
    <n v="3"/>
    <x v="4"/>
    <x v="0"/>
    <s v="Married"/>
    <n v="10124"/>
    <x v="2"/>
    <n v="18611"/>
    <n v="2"/>
    <x v="0"/>
    <n v="14"/>
    <n v="3"/>
    <n v="3"/>
    <n v="1"/>
    <n v="24"/>
    <n v="3"/>
    <n v="1"/>
    <n v="20"/>
    <x v="3"/>
    <n v="8"/>
    <n v="13"/>
    <n v="9"/>
  </r>
  <r>
    <n v="40"/>
    <x v="1"/>
    <s v="Travel_Rarely"/>
    <n v="1342"/>
    <x v="0"/>
    <n v="9"/>
    <n v="2"/>
    <s v="Medical"/>
    <n v="1548"/>
    <n v="1"/>
    <s v="Male"/>
    <n v="47"/>
    <n v="3"/>
    <n v="2"/>
    <x v="0"/>
    <x v="3"/>
    <s v="Married"/>
    <n v="5473"/>
    <x v="0"/>
    <n v="19345"/>
    <n v="0"/>
    <x v="1"/>
    <n v="12"/>
    <n v="3"/>
    <n v="4"/>
    <n v="0"/>
    <n v="9"/>
    <n v="5"/>
    <n v="4"/>
    <n v="8"/>
    <x v="0"/>
    <n v="4"/>
    <n v="7"/>
    <n v="1"/>
  </r>
  <r>
    <n v="33"/>
    <x v="1"/>
    <s v="Travel_Rarely"/>
    <n v="589"/>
    <x v="1"/>
    <n v="28"/>
    <n v="4"/>
    <s v="Life Sciences"/>
    <n v="1549"/>
    <n v="2"/>
    <s v="Male"/>
    <n v="79"/>
    <n v="3"/>
    <n v="2"/>
    <x v="2"/>
    <x v="2"/>
    <s v="Married"/>
    <n v="5207"/>
    <x v="0"/>
    <n v="22949"/>
    <n v="1"/>
    <x v="0"/>
    <n v="12"/>
    <n v="3"/>
    <n v="2"/>
    <n v="1"/>
    <n v="15"/>
    <n v="3"/>
    <n v="3"/>
    <n v="15"/>
    <x v="3"/>
    <n v="14"/>
    <n v="5"/>
    <n v="7"/>
  </r>
  <r>
    <n v="40"/>
    <x v="1"/>
    <s v="Travel_Rarely"/>
    <n v="898"/>
    <x v="2"/>
    <n v="6"/>
    <n v="2"/>
    <s v="Medical"/>
    <n v="1550"/>
    <n v="3"/>
    <s v="Male"/>
    <n v="38"/>
    <n v="3"/>
    <n v="4"/>
    <x v="5"/>
    <x v="0"/>
    <s v="Single"/>
    <n v="16437"/>
    <x v="2"/>
    <n v="17381"/>
    <n v="1"/>
    <x v="0"/>
    <n v="21"/>
    <n v="4"/>
    <n v="4"/>
    <n v="0"/>
    <n v="21"/>
    <n v="2"/>
    <n v="3"/>
    <n v="21"/>
    <x v="3"/>
    <n v="7"/>
    <n v="7"/>
    <n v="7"/>
  </r>
  <r>
    <n v="24"/>
    <x v="1"/>
    <s v="Travel_Rarely"/>
    <n v="350"/>
    <x v="1"/>
    <n v="21"/>
    <n v="2"/>
    <s v="Technical Degree"/>
    <n v="1551"/>
    <n v="3"/>
    <s v="Male"/>
    <n v="57"/>
    <n v="2"/>
    <n v="1"/>
    <x v="2"/>
    <x v="3"/>
    <s v="Divorced"/>
    <n v="2296"/>
    <x v="1"/>
    <n v="10036"/>
    <n v="0"/>
    <x v="1"/>
    <n v="14"/>
    <n v="3"/>
    <n v="2"/>
    <n v="3"/>
    <n v="2"/>
    <n v="3"/>
    <n v="3"/>
    <n v="1"/>
    <x v="1"/>
    <n v="1"/>
    <n v="0"/>
    <n v="0"/>
  </r>
  <r>
    <n v="40"/>
    <x v="1"/>
    <s v="Non-Travel"/>
    <n v="1142"/>
    <x v="1"/>
    <n v="8"/>
    <n v="2"/>
    <s v="Life Sciences"/>
    <n v="1552"/>
    <n v="4"/>
    <s v="Male"/>
    <n v="72"/>
    <n v="3"/>
    <n v="2"/>
    <x v="4"/>
    <x v="0"/>
    <s v="Divorced"/>
    <n v="4069"/>
    <x v="0"/>
    <n v="8841"/>
    <n v="3"/>
    <x v="0"/>
    <n v="18"/>
    <n v="3"/>
    <n v="3"/>
    <n v="0"/>
    <n v="8"/>
    <n v="2"/>
    <n v="3"/>
    <n v="2"/>
    <x v="1"/>
    <n v="2"/>
    <n v="2"/>
    <n v="2"/>
  </r>
  <r>
    <n v="45"/>
    <x v="1"/>
    <s v="Travel_Rarely"/>
    <n v="538"/>
    <x v="1"/>
    <n v="1"/>
    <n v="4"/>
    <s v="Technical Degree"/>
    <n v="1553"/>
    <n v="1"/>
    <s v="Male"/>
    <n v="66"/>
    <n v="3"/>
    <n v="3"/>
    <x v="4"/>
    <x v="1"/>
    <s v="Divorced"/>
    <n v="7441"/>
    <x v="2"/>
    <n v="20933"/>
    <n v="1"/>
    <x v="1"/>
    <n v="12"/>
    <n v="3"/>
    <n v="1"/>
    <n v="3"/>
    <n v="10"/>
    <n v="4"/>
    <n v="3"/>
    <n v="10"/>
    <x v="0"/>
    <n v="8"/>
    <n v="7"/>
    <n v="7"/>
  </r>
  <r>
    <n v="35"/>
    <x v="1"/>
    <s v="Travel_Rarely"/>
    <n v="1402"/>
    <x v="0"/>
    <n v="28"/>
    <n v="4"/>
    <s v="Life Sciences"/>
    <n v="1554"/>
    <n v="2"/>
    <s v="Female"/>
    <n v="98"/>
    <n v="2"/>
    <n v="1"/>
    <x v="6"/>
    <x v="2"/>
    <s v="Married"/>
    <n v="2430"/>
    <x v="1"/>
    <n v="26204"/>
    <n v="0"/>
    <x v="1"/>
    <n v="23"/>
    <n v="4"/>
    <n v="1"/>
    <n v="2"/>
    <n v="6"/>
    <n v="5"/>
    <n v="3"/>
    <n v="5"/>
    <x v="2"/>
    <n v="3"/>
    <n v="4"/>
    <n v="2"/>
  </r>
  <r>
    <n v="32"/>
    <x v="1"/>
    <s v="Travel_Rarely"/>
    <n v="824"/>
    <x v="1"/>
    <n v="5"/>
    <n v="2"/>
    <s v="Life Sciences"/>
    <n v="1555"/>
    <n v="4"/>
    <s v="Female"/>
    <n v="67"/>
    <n v="2"/>
    <n v="2"/>
    <x v="1"/>
    <x v="1"/>
    <s v="Married"/>
    <n v="5878"/>
    <x v="0"/>
    <n v="15624"/>
    <n v="3"/>
    <x v="1"/>
    <n v="12"/>
    <n v="3"/>
    <n v="1"/>
    <n v="1"/>
    <n v="12"/>
    <n v="2"/>
    <n v="3"/>
    <n v="7"/>
    <x v="0"/>
    <n v="1"/>
    <n v="2"/>
    <n v="5"/>
  </r>
  <r>
    <n v="36"/>
    <x v="1"/>
    <s v="Travel_Rarely"/>
    <n v="1157"/>
    <x v="0"/>
    <n v="2"/>
    <n v="4"/>
    <s v="Life Sciences"/>
    <n v="1556"/>
    <n v="3"/>
    <s v="Male"/>
    <n v="70"/>
    <n v="3"/>
    <n v="1"/>
    <x v="6"/>
    <x v="0"/>
    <s v="Single"/>
    <n v="2644"/>
    <x v="1"/>
    <n v="17001"/>
    <n v="3"/>
    <x v="0"/>
    <n v="21"/>
    <n v="4"/>
    <n v="4"/>
    <n v="0"/>
    <n v="7"/>
    <n v="3"/>
    <n v="2"/>
    <n v="3"/>
    <x v="2"/>
    <n v="2"/>
    <n v="1"/>
    <n v="2"/>
  </r>
  <r>
    <n v="48"/>
    <x v="1"/>
    <s v="Travel_Rarely"/>
    <n v="492"/>
    <x v="0"/>
    <n v="16"/>
    <n v="4"/>
    <s v="Life Sciences"/>
    <n v="1557"/>
    <n v="3"/>
    <s v="Female"/>
    <n v="96"/>
    <n v="3"/>
    <n v="2"/>
    <x v="0"/>
    <x v="2"/>
    <s v="Divorced"/>
    <n v="6439"/>
    <x v="0"/>
    <n v="13693"/>
    <n v="8"/>
    <x v="1"/>
    <n v="14"/>
    <n v="3"/>
    <n v="3"/>
    <n v="1"/>
    <n v="18"/>
    <n v="2"/>
    <n v="3"/>
    <n v="8"/>
    <x v="0"/>
    <n v="7"/>
    <n v="7"/>
    <n v="7"/>
  </r>
  <r>
    <n v="29"/>
    <x v="1"/>
    <s v="Travel_Rarely"/>
    <n v="598"/>
    <x v="1"/>
    <n v="9"/>
    <n v="3"/>
    <s v="Life Sciences"/>
    <n v="1558"/>
    <n v="3"/>
    <s v="Male"/>
    <n v="91"/>
    <n v="4"/>
    <n v="1"/>
    <x v="1"/>
    <x v="2"/>
    <s v="Married"/>
    <n v="2451"/>
    <x v="1"/>
    <n v="22376"/>
    <n v="6"/>
    <x v="1"/>
    <n v="18"/>
    <n v="3"/>
    <n v="1"/>
    <n v="2"/>
    <n v="5"/>
    <n v="2"/>
    <n v="2"/>
    <n v="1"/>
    <x v="1"/>
    <n v="0"/>
    <n v="0"/>
    <n v="0"/>
  </r>
  <r>
    <n v="33"/>
    <x v="1"/>
    <s v="Travel_Rarely"/>
    <n v="1242"/>
    <x v="0"/>
    <n v="8"/>
    <n v="4"/>
    <s v="Life Sciences"/>
    <n v="1560"/>
    <n v="1"/>
    <s v="Male"/>
    <n v="46"/>
    <n v="3"/>
    <n v="2"/>
    <x v="0"/>
    <x v="3"/>
    <s v="Married"/>
    <n v="6392"/>
    <x v="0"/>
    <n v="10589"/>
    <n v="2"/>
    <x v="1"/>
    <n v="13"/>
    <n v="3"/>
    <n v="4"/>
    <n v="1"/>
    <n v="8"/>
    <n v="6"/>
    <n v="1"/>
    <n v="2"/>
    <x v="1"/>
    <n v="2"/>
    <n v="2"/>
    <n v="2"/>
  </r>
  <r>
    <n v="30"/>
    <x v="0"/>
    <s v="Travel_Rarely"/>
    <n v="740"/>
    <x v="0"/>
    <n v="1"/>
    <n v="3"/>
    <s v="Life Sciences"/>
    <n v="1562"/>
    <n v="2"/>
    <s v="Male"/>
    <n v="64"/>
    <n v="2"/>
    <n v="2"/>
    <x v="0"/>
    <x v="3"/>
    <s v="Married"/>
    <n v="9714"/>
    <x v="2"/>
    <n v="5323"/>
    <n v="1"/>
    <x v="1"/>
    <n v="11"/>
    <n v="3"/>
    <n v="4"/>
    <n v="1"/>
    <n v="10"/>
    <n v="4"/>
    <n v="3"/>
    <n v="10"/>
    <x v="0"/>
    <n v="8"/>
    <n v="6"/>
    <n v="7"/>
  </r>
  <r>
    <n v="38"/>
    <x v="1"/>
    <s v="Travel_Frequently"/>
    <n v="888"/>
    <x v="2"/>
    <n v="10"/>
    <n v="4"/>
    <s v="Human Resources"/>
    <n v="1563"/>
    <n v="3"/>
    <s v="Male"/>
    <n v="71"/>
    <n v="3"/>
    <n v="2"/>
    <x v="8"/>
    <x v="2"/>
    <s v="Married"/>
    <n v="6077"/>
    <x v="0"/>
    <n v="14814"/>
    <n v="3"/>
    <x v="1"/>
    <n v="11"/>
    <n v="3"/>
    <n v="3"/>
    <n v="0"/>
    <n v="10"/>
    <n v="2"/>
    <n v="3"/>
    <n v="6"/>
    <x v="0"/>
    <n v="3"/>
    <n v="1"/>
    <n v="2"/>
  </r>
  <r>
    <n v="35"/>
    <x v="1"/>
    <s v="Travel_Rarely"/>
    <n v="992"/>
    <x v="1"/>
    <n v="1"/>
    <n v="3"/>
    <s v="Medical"/>
    <n v="1564"/>
    <n v="4"/>
    <s v="Male"/>
    <n v="68"/>
    <n v="2"/>
    <n v="1"/>
    <x v="2"/>
    <x v="3"/>
    <s v="Single"/>
    <n v="2450"/>
    <x v="1"/>
    <n v="21731"/>
    <n v="1"/>
    <x v="1"/>
    <n v="19"/>
    <n v="3"/>
    <n v="2"/>
    <n v="0"/>
    <n v="3"/>
    <n v="3"/>
    <n v="3"/>
    <n v="3"/>
    <x v="2"/>
    <n v="0"/>
    <n v="1"/>
    <n v="2"/>
  </r>
  <r>
    <n v="30"/>
    <x v="1"/>
    <s v="Travel_Rarely"/>
    <n v="1288"/>
    <x v="0"/>
    <n v="29"/>
    <n v="4"/>
    <s v="Technical Degree"/>
    <n v="1568"/>
    <n v="3"/>
    <s v="Male"/>
    <n v="33"/>
    <n v="3"/>
    <n v="3"/>
    <x v="0"/>
    <x v="1"/>
    <s v="Married"/>
    <n v="9250"/>
    <x v="2"/>
    <n v="17799"/>
    <n v="3"/>
    <x v="1"/>
    <n v="12"/>
    <n v="3"/>
    <n v="2"/>
    <n v="1"/>
    <n v="9"/>
    <n v="3"/>
    <n v="3"/>
    <n v="4"/>
    <x v="2"/>
    <n v="2"/>
    <n v="1"/>
    <n v="3"/>
  </r>
  <r>
    <n v="35"/>
    <x v="0"/>
    <s v="Travel_Rarely"/>
    <n v="104"/>
    <x v="1"/>
    <n v="2"/>
    <n v="3"/>
    <s v="Life Sciences"/>
    <n v="1569"/>
    <n v="1"/>
    <s v="Female"/>
    <n v="69"/>
    <n v="3"/>
    <n v="1"/>
    <x v="2"/>
    <x v="3"/>
    <s v="Divorced"/>
    <n v="2074"/>
    <x v="1"/>
    <n v="26619"/>
    <n v="1"/>
    <x v="0"/>
    <n v="12"/>
    <n v="3"/>
    <n v="4"/>
    <n v="1"/>
    <n v="1"/>
    <n v="2"/>
    <n v="3"/>
    <n v="1"/>
    <x v="1"/>
    <n v="0"/>
    <n v="0"/>
    <n v="0"/>
  </r>
  <r>
    <n v="53"/>
    <x v="0"/>
    <s v="Travel_Rarely"/>
    <n v="607"/>
    <x v="1"/>
    <n v="2"/>
    <n v="5"/>
    <s v="Technical Degree"/>
    <n v="1572"/>
    <n v="3"/>
    <s v="Female"/>
    <n v="78"/>
    <n v="2"/>
    <n v="3"/>
    <x v="3"/>
    <x v="0"/>
    <s v="Married"/>
    <n v="10169"/>
    <x v="2"/>
    <n v="14618"/>
    <n v="0"/>
    <x v="1"/>
    <n v="16"/>
    <n v="3"/>
    <n v="2"/>
    <n v="1"/>
    <n v="34"/>
    <n v="4"/>
    <n v="3"/>
    <n v="33"/>
    <x v="3"/>
    <n v="7"/>
    <n v="1"/>
    <n v="9"/>
  </r>
  <r>
    <n v="38"/>
    <x v="0"/>
    <s v="Travel_Rarely"/>
    <n v="903"/>
    <x v="1"/>
    <n v="2"/>
    <n v="3"/>
    <s v="Medical"/>
    <n v="1573"/>
    <n v="3"/>
    <s v="Male"/>
    <n v="81"/>
    <n v="3"/>
    <n v="2"/>
    <x v="3"/>
    <x v="1"/>
    <s v="Married"/>
    <n v="4855"/>
    <x v="0"/>
    <n v="7653"/>
    <n v="4"/>
    <x v="1"/>
    <n v="11"/>
    <n v="3"/>
    <n v="1"/>
    <n v="2"/>
    <n v="7"/>
    <n v="2"/>
    <n v="3"/>
    <n v="5"/>
    <x v="2"/>
    <n v="2"/>
    <n v="1"/>
    <n v="4"/>
  </r>
  <r>
    <n v="32"/>
    <x v="1"/>
    <s v="Non-Travel"/>
    <n v="1200"/>
    <x v="1"/>
    <n v="1"/>
    <n v="4"/>
    <s v="Technical Degree"/>
    <n v="1574"/>
    <n v="4"/>
    <s v="Male"/>
    <n v="62"/>
    <n v="3"/>
    <n v="2"/>
    <x v="1"/>
    <x v="3"/>
    <s v="Married"/>
    <n v="4087"/>
    <x v="0"/>
    <n v="25174"/>
    <n v="4"/>
    <x v="1"/>
    <n v="14"/>
    <n v="3"/>
    <n v="2"/>
    <n v="1"/>
    <n v="9"/>
    <n v="3"/>
    <n v="2"/>
    <n v="6"/>
    <x v="0"/>
    <n v="5"/>
    <n v="1"/>
    <n v="2"/>
  </r>
  <r>
    <n v="48"/>
    <x v="1"/>
    <s v="Travel_Rarely"/>
    <n v="1108"/>
    <x v="1"/>
    <n v="15"/>
    <n v="4"/>
    <s v="Other"/>
    <n v="1576"/>
    <n v="3"/>
    <s v="Female"/>
    <n v="65"/>
    <n v="3"/>
    <n v="1"/>
    <x v="1"/>
    <x v="3"/>
    <s v="Married"/>
    <n v="2367"/>
    <x v="1"/>
    <n v="16530"/>
    <n v="8"/>
    <x v="1"/>
    <n v="12"/>
    <n v="3"/>
    <n v="4"/>
    <n v="1"/>
    <n v="10"/>
    <n v="3"/>
    <n v="2"/>
    <n v="8"/>
    <x v="0"/>
    <n v="2"/>
    <n v="7"/>
    <n v="6"/>
  </r>
  <r>
    <n v="34"/>
    <x v="1"/>
    <s v="Travel_Rarely"/>
    <n v="479"/>
    <x v="1"/>
    <n v="7"/>
    <n v="4"/>
    <s v="Medical"/>
    <n v="1577"/>
    <n v="1"/>
    <s v="Male"/>
    <n v="35"/>
    <n v="3"/>
    <n v="1"/>
    <x v="1"/>
    <x v="0"/>
    <s v="Single"/>
    <n v="2972"/>
    <x v="1"/>
    <n v="22061"/>
    <n v="1"/>
    <x v="1"/>
    <n v="13"/>
    <n v="3"/>
    <n v="3"/>
    <n v="0"/>
    <n v="1"/>
    <n v="4"/>
    <n v="1"/>
    <n v="1"/>
    <x v="1"/>
    <n v="0"/>
    <n v="0"/>
    <n v="0"/>
  </r>
  <r>
    <n v="55"/>
    <x v="1"/>
    <s v="Travel_Rarely"/>
    <n v="685"/>
    <x v="0"/>
    <n v="26"/>
    <n v="5"/>
    <s v="Marketing"/>
    <n v="1578"/>
    <n v="3"/>
    <s v="Male"/>
    <n v="60"/>
    <n v="2"/>
    <n v="5"/>
    <x v="5"/>
    <x v="0"/>
    <s v="Married"/>
    <n v="19586"/>
    <x v="2"/>
    <n v="23037"/>
    <n v="1"/>
    <x v="1"/>
    <n v="21"/>
    <n v="4"/>
    <n v="3"/>
    <n v="1"/>
    <n v="36"/>
    <n v="3"/>
    <n v="3"/>
    <n v="36"/>
    <x v="3"/>
    <n v="6"/>
    <n v="2"/>
    <n v="13"/>
  </r>
  <r>
    <n v="34"/>
    <x v="1"/>
    <s v="Travel_Rarely"/>
    <n v="1351"/>
    <x v="1"/>
    <n v="1"/>
    <n v="4"/>
    <s v="Life Sciences"/>
    <n v="1580"/>
    <n v="2"/>
    <s v="Male"/>
    <n v="45"/>
    <n v="3"/>
    <n v="2"/>
    <x v="1"/>
    <x v="0"/>
    <s v="Married"/>
    <n v="5484"/>
    <x v="0"/>
    <n v="13008"/>
    <n v="9"/>
    <x v="1"/>
    <n v="17"/>
    <n v="3"/>
    <n v="2"/>
    <n v="1"/>
    <n v="9"/>
    <n v="3"/>
    <n v="2"/>
    <n v="2"/>
    <x v="1"/>
    <n v="2"/>
    <n v="2"/>
    <n v="1"/>
  </r>
  <r>
    <n v="26"/>
    <x v="1"/>
    <s v="Travel_Rarely"/>
    <n v="474"/>
    <x v="1"/>
    <n v="3"/>
    <n v="3"/>
    <s v="Life Sciences"/>
    <n v="1581"/>
    <n v="1"/>
    <s v="Female"/>
    <n v="89"/>
    <n v="3"/>
    <n v="1"/>
    <x v="1"/>
    <x v="0"/>
    <s v="Married"/>
    <n v="2061"/>
    <x v="1"/>
    <n v="11133"/>
    <n v="1"/>
    <x v="1"/>
    <n v="21"/>
    <n v="4"/>
    <n v="1"/>
    <n v="0"/>
    <n v="1"/>
    <n v="5"/>
    <n v="3"/>
    <n v="1"/>
    <x v="1"/>
    <n v="0"/>
    <n v="0"/>
    <n v="0"/>
  </r>
  <r>
    <n v="38"/>
    <x v="1"/>
    <s v="Travel_Rarely"/>
    <n v="1245"/>
    <x v="0"/>
    <n v="14"/>
    <n v="3"/>
    <s v="Life Sciences"/>
    <n v="1582"/>
    <n v="3"/>
    <s v="Male"/>
    <n v="80"/>
    <n v="3"/>
    <n v="2"/>
    <x v="0"/>
    <x v="1"/>
    <s v="Married"/>
    <n v="9924"/>
    <x v="2"/>
    <n v="12355"/>
    <n v="0"/>
    <x v="1"/>
    <n v="11"/>
    <n v="3"/>
    <n v="4"/>
    <n v="1"/>
    <n v="10"/>
    <n v="3"/>
    <n v="3"/>
    <n v="9"/>
    <x v="0"/>
    <n v="8"/>
    <n v="7"/>
    <n v="7"/>
  </r>
  <r>
    <n v="38"/>
    <x v="1"/>
    <s v="Travel_Rarely"/>
    <n v="437"/>
    <x v="0"/>
    <n v="16"/>
    <n v="3"/>
    <s v="Life Sciences"/>
    <n v="1583"/>
    <n v="2"/>
    <s v="Female"/>
    <n v="90"/>
    <n v="3"/>
    <n v="2"/>
    <x v="0"/>
    <x v="1"/>
    <s v="Single"/>
    <n v="4198"/>
    <x v="0"/>
    <n v="16379"/>
    <n v="2"/>
    <x v="1"/>
    <n v="12"/>
    <n v="3"/>
    <n v="2"/>
    <n v="0"/>
    <n v="8"/>
    <n v="5"/>
    <n v="4"/>
    <n v="3"/>
    <x v="2"/>
    <n v="2"/>
    <n v="1"/>
    <n v="2"/>
  </r>
  <r>
    <n v="36"/>
    <x v="1"/>
    <s v="Travel_Rarely"/>
    <n v="884"/>
    <x v="0"/>
    <n v="1"/>
    <n v="4"/>
    <s v="Life Sciences"/>
    <n v="1585"/>
    <n v="2"/>
    <s v="Female"/>
    <n v="73"/>
    <n v="3"/>
    <n v="2"/>
    <x v="0"/>
    <x v="2"/>
    <s v="Single"/>
    <n v="6815"/>
    <x v="0"/>
    <n v="21447"/>
    <n v="6"/>
    <x v="1"/>
    <n v="13"/>
    <n v="3"/>
    <n v="1"/>
    <n v="0"/>
    <n v="15"/>
    <n v="5"/>
    <n v="3"/>
    <n v="1"/>
    <x v="1"/>
    <n v="0"/>
    <n v="0"/>
    <n v="0"/>
  </r>
  <r>
    <n v="29"/>
    <x v="1"/>
    <s v="Travel_Rarely"/>
    <n v="1370"/>
    <x v="1"/>
    <n v="3"/>
    <n v="1"/>
    <s v="Medical"/>
    <n v="1586"/>
    <n v="2"/>
    <s v="Male"/>
    <n v="87"/>
    <n v="3"/>
    <n v="1"/>
    <x v="2"/>
    <x v="3"/>
    <s v="Single"/>
    <n v="4723"/>
    <x v="0"/>
    <n v="16213"/>
    <n v="1"/>
    <x v="0"/>
    <n v="18"/>
    <n v="3"/>
    <n v="4"/>
    <n v="0"/>
    <n v="10"/>
    <n v="3"/>
    <n v="3"/>
    <n v="10"/>
    <x v="0"/>
    <n v="9"/>
    <n v="1"/>
    <n v="5"/>
  </r>
  <r>
    <n v="35"/>
    <x v="1"/>
    <s v="Travel_Rarely"/>
    <n v="670"/>
    <x v="1"/>
    <n v="10"/>
    <n v="4"/>
    <s v="Medical"/>
    <n v="1587"/>
    <n v="1"/>
    <s v="Female"/>
    <n v="51"/>
    <n v="3"/>
    <n v="2"/>
    <x v="4"/>
    <x v="2"/>
    <s v="Single"/>
    <n v="6142"/>
    <x v="0"/>
    <n v="4223"/>
    <n v="3"/>
    <x v="0"/>
    <n v="16"/>
    <n v="3"/>
    <n v="3"/>
    <n v="0"/>
    <n v="10"/>
    <n v="4"/>
    <n v="3"/>
    <n v="5"/>
    <x v="2"/>
    <n v="2"/>
    <n v="0"/>
    <n v="4"/>
  </r>
  <r>
    <n v="39"/>
    <x v="1"/>
    <s v="Travel_Rarely"/>
    <n v="1462"/>
    <x v="0"/>
    <n v="6"/>
    <n v="3"/>
    <s v="Medical"/>
    <n v="1588"/>
    <n v="4"/>
    <s v="Male"/>
    <n v="38"/>
    <n v="4"/>
    <n v="3"/>
    <x v="0"/>
    <x v="2"/>
    <s v="Married"/>
    <n v="8237"/>
    <x v="2"/>
    <n v="4658"/>
    <n v="2"/>
    <x v="1"/>
    <n v="11"/>
    <n v="3"/>
    <n v="1"/>
    <n v="1"/>
    <n v="11"/>
    <n v="3"/>
    <n v="3"/>
    <n v="7"/>
    <x v="0"/>
    <n v="6"/>
    <n v="7"/>
    <n v="6"/>
  </r>
  <r>
    <n v="29"/>
    <x v="1"/>
    <s v="Travel_Frequently"/>
    <n v="995"/>
    <x v="1"/>
    <n v="2"/>
    <n v="1"/>
    <s v="Life Sciences"/>
    <n v="1590"/>
    <n v="1"/>
    <s v="Male"/>
    <n v="87"/>
    <n v="3"/>
    <n v="2"/>
    <x v="4"/>
    <x v="0"/>
    <s v="Divorced"/>
    <n v="8853"/>
    <x v="2"/>
    <n v="24483"/>
    <n v="1"/>
    <x v="1"/>
    <n v="19"/>
    <n v="3"/>
    <n v="4"/>
    <n v="1"/>
    <n v="6"/>
    <n v="0"/>
    <n v="4"/>
    <n v="6"/>
    <x v="0"/>
    <n v="4"/>
    <n v="1"/>
    <n v="3"/>
  </r>
  <r>
    <n v="50"/>
    <x v="1"/>
    <s v="Travel_Rarely"/>
    <n v="264"/>
    <x v="0"/>
    <n v="9"/>
    <n v="3"/>
    <s v="Marketing"/>
    <n v="1591"/>
    <n v="3"/>
    <s v="Male"/>
    <n v="59"/>
    <n v="3"/>
    <n v="5"/>
    <x v="5"/>
    <x v="2"/>
    <s v="Married"/>
    <n v="19331"/>
    <x v="2"/>
    <n v="19519"/>
    <n v="4"/>
    <x v="0"/>
    <n v="16"/>
    <n v="3"/>
    <n v="3"/>
    <n v="1"/>
    <n v="27"/>
    <n v="2"/>
    <n v="3"/>
    <n v="1"/>
    <x v="1"/>
    <n v="0"/>
    <n v="0"/>
    <n v="0"/>
  </r>
  <r>
    <n v="23"/>
    <x v="1"/>
    <s v="Travel_Rarely"/>
    <n v="977"/>
    <x v="1"/>
    <n v="10"/>
    <n v="3"/>
    <s v="Technical Degree"/>
    <n v="1592"/>
    <n v="4"/>
    <s v="Male"/>
    <n v="45"/>
    <n v="4"/>
    <n v="1"/>
    <x v="1"/>
    <x v="2"/>
    <s v="Married"/>
    <n v="2073"/>
    <x v="1"/>
    <n v="12826"/>
    <n v="2"/>
    <x v="1"/>
    <n v="16"/>
    <n v="3"/>
    <n v="4"/>
    <n v="1"/>
    <n v="4"/>
    <n v="2"/>
    <n v="3"/>
    <n v="2"/>
    <x v="1"/>
    <n v="2"/>
    <n v="2"/>
    <n v="2"/>
  </r>
  <r>
    <n v="36"/>
    <x v="1"/>
    <s v="Travel_Frequently"/>
    <n v="1302"/>
    <x v="1"/>
    <n v="6"/>
    <n v="4"/>
    <s v="Life Sciences"/>
    <n v="1594"/>
    <n v="1"/>
    <s v="Male"/>
    <n v="80"/>
    <n v="4"/>
    <n v="2"/>
    <x v="2"/>
    <x v="3"/>
    <s v="Married"/>
    <n v="5562"/>
    <x v="0"/>
    <n v="19711"/>
    <n v="3"/>
    <x v="0"/>
    <n v="13"/>
    <n v="3"/>
    <n v="4"/>
    <n v="1"/>
    <n v="9"/>
    <n v="3"/>
    <n v="3"/>
    <n v="3"/>
    <x v="2"/>
    <n v="2"/>
    <n v="0"/>
    <n v="2"/>
  </r>
  <r>
    <n v="42"/>
    <x v="1"/>
    <s v="Travel_Rarely"/>
    <n v="1059"/>
    <x v="1"/>
    <n v="9"/>
    <n v="2"/>
    <s v="Other"/>
    <n v="1595"/>
    <n v="4"/>
    <s v="Male"/>
    <n v="93"/>
    <n v="2"/>
    <n v="5"/>
    <x v="5"/>
    <x v="0"/>
    <s v="Single"/>
    <n v="19613"/>
    <x v="2"/>
    <n v="26362"/>
    <n v="8"/>
    <x v="1"/>
    <n v="22"/>
    <n v="4"/>
    <n v="4"/>
    <n v="0"/>
    <n v="24"/>
    <n v="2"/>
    <n v="3"/>
    <n v="1"/>
    <x v="1"/>
    <n v="0"/>
    <n v="0"/>
    <n v="1"/>
  </r>
  <r>
    <n v="35"/>
    <x v="1"/>
    <s v="Travel_Rarely"/>
    <n v="750"/>
    <x v="1"/>
    <n v="28"/>
    <n v="3"/>
    <s v="Life Sciences"/>
    <n v="1596"/>
    <n v="2"/>
    <s v="Male"/>
    <n v="46"/>
    <n v="4"/>
    <n v="2"/>
    <x v="2"/>
    <x v="2"/>
    <s v="Married"/>
    <n v="3407"/>
    <x v="0"/>
    <n v="25348"/>
    <n v="1"/>
    <x v="1"/>
    <n v="17"/>
    <n v="3"/>
    <n v="4"/>
    <n v="2"/>
    <n v="10"/>
    <n v="3"/>
    <n v="2"/>
    <n v="10"/>
    <x v="0"/>
    <n v="9"/>
    <n v="6"/>
    <n v="8"/>
  </r>
  <r>
    <n v="34"/>
    <x v="1"/>
    <s v="Travel_Frequently"/>
    <n v="653"/>
    <x v="1"/>
    <n v="10"/>
    <n v="4"/>
    <s v="Technical Degree"/>
    <n v="1597"/>
    <n v="4"/>
    <s v="Male"/>
    <n v="92"/>
    <n v="2"/>
    <n v="2"/>
    <x v="4"/>
    <x v="2"/>
    <s v="Married"/>
    <n v="5063"/>
    <x v="0"/>
    <n v="15332"/>
    <n v="1"/>
    <x v="1"/>
    <n v="14"/>
    <n v="3"/>
    <n v="2"/>
    <n v="1"/>
    <n v="8"/>
    <n v="3"/>
    <n v="2"/>
    <n v="8"/>
    <x v="0"/>
    <n v="2"/>
    <n v="7"/>
    <n v="7"/>
  </r>
  <r>
    <n v="40"/>
    <x v="1"/>
    <s v="Travel_Rarely"/>
    <n v="118"/>
    <x v="0"/>
    <n v="14"/>
    <n v="2"/>
    <s v="Life Sciences"/>
    <n v="1598"/>
    <n v="4"/>
    <s v="Female"/>
    <n v="84"/>
    <n v="3"/>
    <n v="2"/>
    <x v="0"/>
    <x v="3"/>
    <s v="Married"/>
    <n v="4639"/>
    <x v="0"/>
    <n v="11262"/>
    <n v="1"/>
    <x v="1"/>
    <n v="15"/>
    <n v="3"/>
    <n v="3"/>
    <n v="1"/>
    <n v="5"/>
    <n v="2"/>
    <n v="3"/>
    <n v="5"/>
    <x v="2"/>
    <n v="4"/>
    <n v="1"/>
    <n v="2"/>
  </r>
  <r>
    <n v="43"/>
    <x v="1"/>
    <s v="Travel_Rarely"/>
    <n v="990"/>
    <x v="1"/>
    <n v="27"/>
    <n v="3"/>
    <s v="Technical Degree"/>
    <n v="1599"/>
    <n v="4"/>
    <s v="Male"/>
    <n v="87"/>
    <n v="4"/>
    <n v="1"/>
    <x v="2"/>
    <x v="1"/>
    <s v="Divorced"/>
    <n v="4876"/>
    <x v="0"/>
    <n v="5855"/>
    <n v="5"/>
    <x v="1"/>
    <n v="12"/>
    <n v="3"/>
    <n v="3"/>
    <n v="1"/>
    <n v="8"/>
    <n v="0"/>
    <n v="3"/>
    <n v="6"/>
    <x v="0"/>
    <n v="4"/>
    <n v="0"/>
    <n v="2"/>
  </r>
  <r>
    <n v="35"/>
    <x v="1"/>
    <s v="Travel_Rarely"/>
    <n v="1349"/>
    <x v="1"/>
    <n v="7"/>
    <n v="2"/>
    <s v="Life Sciences"/>
    <n v="1601"/>
    <n v="3"/>
    <s v="Male"/>
    <n v="63"/>
    <n v="2"/>
    <n v="1"/>
    <x v="2"/>
    <x v="0"/>
    <s v="Married"/>
    <n v="2690"/>
    <x v="1"/>
    <n v="7713"/>
    <n v="1"/>
    <x v="1"/>
    <n v="18"/>
    <n v="3"/>
    <n v="4"/>
    <n v="1"/>
    <n v="1"/>
    <n v="5"/>
    <n v="2"/>
    <n v="1"/>
    <x v="1"/>
    <n v="0"/>
    <n v="0"/>
    <n v="1"/>
  </r>
  <r>
    <n v="46"/>
    <x v="1"/>
    <s v="Travel_Rarely"/>
    <n v="563"/>
    <x v="0"/>
    <n v="1"/>
    <n v="4"/>
    <s v="Life Sciences"/>
    <n v="1602"/>
    <n v="4"/>
    <s v="Male"/>
    <n v="56"/>
    <n v="4"/>
    <n v="4"/>
    <x v="5"/>
    <x v="3"/>
    <s v="Single"/>
    <n v="17567"/>
    <x v="2"/>
    <n v="3156"/>
    <n v="1"/>
    <x v="1"/>
    <n v="15"/>
    <n v="3"/>
    <n v="2"/>
    <n v="0"/>
    <n v="27"/>
    <n v="5"/>
    <n v="1"/>
    <n v="26"/>
    <x v="3"/>
    <n v="0"/>
    <n v="0"/>
    <n v="12"/>
  </r>
  <r>
    <n v="28"/>
    <x v="0"/>
    <s v="Travel_Rarely"/>
    <n v="329"/>
    <x v="1"/>
    <n v="24"/>
    <n v="3"/>
    <s v="Medical"/>
    <n v="1604"/>
    <n v="3"/>
    <s v="Male"/>
    <n v="51"/>
    <n v="3"/>
    <n v="1"/>
    <x v="2"/>
    <x v="1"/>
    <s v="Married"/>
    <n v="2408"/>
    <x v="1"/>
    <n v="7324"/>
    <n v="1"/>
    <x v="0"/>
    <n v="17"/>
    <n v="3"/>
    <n v="3"/>
    <n v="3"/>
    <n v="1"/>
    <n v="3"/>
    <n v="3"/>
    <n v="1"/>
    <x v="1"/>
    <n v="1"/>
    <n v="0"/>
    <n v="0"/>
  </r>
  <r>
    <n v="22"/>
    <x v="1"/>
    <s v="Non-Travel"/>
    <n v="457"/>
    <x v="1"/>
    <n v="26"/>
    <n v="2"/>
    <s v="Other"/>
    <n v="1605"/>
    <n v="2"/>
    <s v="Female"/>
    <n v="85"/>
    <n v="2"/>
    <n v="1"/>
    <x v="1"/>
    <x v="2"/>
    <s v="Married"/>
    <n v="2814"/>
    <x v="1"/>
    <n v="10293"/>
    <n v="1"/>
    <x v="0"/>
    <n v="14"/>
    <n v="3"/>
    <n v="2"/>
    <n v="0"/>
    <n v="4"/>
    <n v="2"/>
    <n v="2"/>
    <n v="4"/>
    <x v="2"/>
    <n v="2"/>
    <n v="1"/>
    <n v="3"/>
  </r>
  <r>
    <n v="50"/>
    <x v="1"/>
    <s v="Travel_Frequently"/>
    <n v="1234"/>
    <x v="1"/>
    <n v="20"/>
    <n v="5"/>
    <s v="Medical"/>
    <n v="1606"/>
    <n v="2"/>
    <s v="Male"/>
    <n v="41"/>
    <n v="3"/>
    <n v="4"/>
    <x v="4"/>
    <x v="2"/>
    <s v="Married"/>
    <n v="11245"/>
    <x v="2"/>
    <n v="20689"/>
    <n v="2"/>
    <x v="0"/>
    <n v="15"/>
    <n v="3"/>
    <n v="3"/>
    <n v="1"/>
    <n v="32"/>
    <n v="3"/>
    <n v="3"/>
    <n v="30"/>
    <x v="3"/>
    <n v="8"/>
    <n v="12"/>
    <n v="13"/>
  </r>
  <r>
    <n v="32"/>
    <x v="1"/>
    <s v="Travel_Rarely"/>
    <n v="634"/>
    <x v="1"/>
    <n v="5"/>
    <n v="4"/>
    <s v="Other"/>
    <n v="1607"/>
    <n v="2"/>
    <s v="Female"/>
    <n v="35"/>
    <n v="4"/>
    <n v="1"/>
    <x v="1"/>
    <x v="0"/>
    <s v="Married"/>
    <n v="3312"/>
    <x v="0"/>
    <n v="18783"/>
    <n v="3"/>
    <x v="1"/>
    <n v="17"/>
    <n v="3"/>
    <n v="4"/>
    <n v="2"/>
    <n v="6"/>
    <n v="3"/>
    <n v="3"/>
    <n v="3"/>
    <x v="2"/>
    <n v="2"/>
    <n v="0"/>
    <n v="2"/>
  </r>
  <r>
    <n v="44"/>
    <x v="1"/>
    <s v="Travel_Rarely"/>
    <n v="1313"/>
    <x v="1"/>
    <n v="7"/>
    <n v="3"/>
    <s v="Medical"/>
    <n v="1608"/>
    <n v="2"/>
    <s v="Female"/>
    <n v="31"/>
    <n v="3"/>
    <n v="5"/>
    <x v="7"/>
    <x v="0"/>
    <s v="Divorced"/>
    <n v="19049"/>
    <x v="2"/>
    <n v="3549"/>
    <n v="0"/>
    <x v="0"/>
    <n v="14"/>
    <n v="3"/>
    <n v="4"/>
    <n v="1"/>
    <n v="23"/>
    <n v="4"/>
    <n v="2"/>
    <n v="22"/>
    <x v="3"/>
    <n v="7"/>
    <n v="1"/>
    <n v="10"/>
  </r>
  <r>
    <n v="30"/>
    <x v="1"/>
    <s v="Travel_Rarely"/>
    <n v="241"/>
    <x v="1"/>
    <n v="7"/>
    <n v="3"/>
    <s v="Medical"/>
    <n v="1609"/>
    <n v="2"/>
    <s v="Male"/>
    <n v="48"/>
    <n v="2"/>
    <n v="1"/>
    <x v="1"/>
    <x v="1"/>
    <s v="Married"/>
    <n v="2141"/>
    <x v="1"/>
    <n v="5348"/>
    <n v="1"/>
    <x v="1"/>
    <n v="12"/>
    <n v="3"/>
    <n v="2"/>
    <n v="1"/>
    <n v="6"/>
    <n v="3"/>
    <n v="2"/>
    <n v="6"/>
    <x v="0"/>
    <n v="4"/>
    <n v="1"/>
    <n v="1"/>
  </r>
  <r>
    <n v="45"/>
    <x v="1"/>
    <s v="Travel_Rarely"/>
    <n v="1015"/>
    <x v="1"/>
    <n v="5"/>
    <n v="5"/>
    <s v="Medical"/>
    <n v="1611"/>
    <n v="3"/>
    <s v="Female"/>
    <n v="50"/>
    <n v="1"/>
    <n v="2"/>
    <x v="2"/>
    <x v="3"/>
    <s v="Single"/>
    <n v="5769"/>
    <x v="0"/>
    <n v="23447"/>
    <n v="1"/>
    <x v="0"/>
    <n v="14"/>
    <n v="3"/>
    <n v="1"/>
    <n v="0"/>
    <n v="10"/>
    <n v="3"/>
    <n v="3"/>
    <n v="10"/>
    <x v="0"/>
    <n v="7"/>
    <n v="1"/>
    <n v="4"/>
  </r>
  <r>
    <n v="45"/>
    <x v="1"/>
    <s v="Non-Travel"/>
    <n v="336"/>
    <x v="0"/>
    <n v="26"/>
    <n v="3"/>
    <s v="Marketing"/>
    <n v="1612"/>
    <n v="1"/>
    <s v="Male"/>
    <n v="52"/>
    <n v="2"/>
    <n v="2"/>
    <x v="0"/>
    <x v="3"/>
    <s v="Married"/>
    <n v="4385"/>
    <x v="0"/>
    <n v="24162"/>
    <n v="1"/>
    <x v="1"/>
    <n v="15"/>
    <n v="3"/>
    <n v="1"/>
    <n v="1"/>
    <n v="10"/>
    <n v="2"/>
    <n v="3"/>
    <n v="10"/>
    <x v="0"/>
    <n v="7"/>
    <n v="4"/>
    <n v="5"/>
  </r>
  <r>
    <n v="31"/>
    <x v="1"/>
    <s v="Travel_Frequently"/>
    <n v="715"/>
    <x v="0"/>
    <n v="2"/>
    <n v="4"/>
    <s v="Other"/>
    <n v="1613"/>
    <n v="4"/>
    <s v="Male"/>
    <n v="54"/>
    <n v="3"/>
    <n v="2"/>
    <x v="0"/>
    <x v="3"/>
    <s v="Single"/>
    <n v="5332"/>
    <x v="0"/>
    <n v="21602"/>
    <n v="7"/>
    <x v="1"/>
    <n v="13"/>
    <n v="3"/>
    <n v="4"/>
    <n v="0"/>
    <n v="10"/>
    <n v="3"/>
    <n v="3"/>
    <n v="5"/>
    <x v="2"/>
    <n v="2"/>
    <n v="0"/>
    <n v="3"/>
  </r>
  <r>
    <n v="36"/>
    <x v="1"/>
    <s v="Travel_Rarely"/>
    <n v="559"/>
    <x v="1"/>
    <n v="12"/>
    <n v="4"/>
    <s v="Life Sciences"/>
    <n v="1614"/>
    <n v="3"/>
    <s v="Female"/>
    <n v="76"/>
    <n v="3"/>
    <n v="2"/>
    <x v="3"/>
    <x v="2"/>
    <s v="Married"/>
    <n v="4663"/>
    <x v="0"/>
    <n v="12421"/>
    <n v="9"/>
    <x v="0"/>
    <n v="12"/>
    <n v="3"/>
    <n v="2"/>
    <n v="2"/>
    <n v="7"/>
    <n v="2"/>
    <n v="3"/>
    <n v="3"/>
    <x v="2"/>
    <n v="2"/>
    <n v="1"/>
    <n v="1"/>
  </r>
  <r>
    <n v="34"/>
    <x v="1"/>
    <s v="Travel_Frequently"/>
    <n v="426"/>
    <x v="1"/>
    <n v="10"/>
    <n v="4"/>
    <s v="Life Sciences"/>
    <n v="1615"/>
    <n v="3"/>
    <s v="Male"/>
    <n v="42"/>
    <n v="4"/>
    <n v="2"/>
    <x v="3"/>
    <x v="0"/>
    <s v="Divorced"/>
    <n v="4724"/>
    <x v="0"/>
    <n v="17000"/>
    <n v="1"/>
    <x v="1"/>
    <n v="13"/>
    <n v="3"/>
    <n v="1"/>
    <n v="1"/>
    <n v="9"/>
    <n v="3"/>
    <n v="3"/>
    <n v="9"/>
    <x v="0"/>
    <n v="7"/>
    <n v="7"/>
    <n v="2"/>
  </r>
  <r>
    <n v="49"/>
    <x v="1"/>
    <s v="Travel_Rarely"/>
    <n v="722"/>
    <x v="1"/>
    <n v="25"/>
    <n v="4"/>
    <s v="Life Sciences"/>
    <n v="1617"/>
    <n v="3"/>
    <s v="Female"/>
    <n v="84"/>
    <n v="3"/>
    <n v="1"/>
    <x v="2"/>
    <x v="3"/>
    <s v="Married"/>
    <n v="3211"/>
    <x v="0"/>
    <n v="22102"/>
    <n v="1"/>
    <x v="1"/>
    <n v="14"/>
    <n v="3"/>
    <n v="4"/>
    <n v="1"/>
    <n v="10"/>
    <n v="3"/>
    <n v="2"/>
    <n v="9"/>
    <x v="0"/>
    <n v="6"/>
    <n v="1"/>
    <n v="4"/>
  </r>
  <r>
    <n v="39"/>
    <x v="1"/>
    <s v="Travel_Rarely"/>
    <n v="1387"/>
    <x v="1"/>
    <n v="10"/>
    <n v="5"/>
    <s v="Medical"/>
    <n v="1618"/>
    <n v="2"/>
    <s v="Male"/>
    <n v="76"/>
    <n v="3"/>
    <n v="2"/>
    <x v="3"/>
    <x v="3"/>
    <s v="Married"/>
    <n v="5377"/>
    <x v="0"/>
    <n v="3835"/>
    <n v="2"/>
    <x v="1"/>
    <n v="13"/>
    <n v="3"/>
    <n v="4"/>
    <n v="3"/>
    <n v="10"/>
    <n v="3"/>
    <n v="3"/>
    <n v="7"/>
    <x v="0"/>
    <n v="7"/>
    <n v="7"/>
    <n v="7"/>
  </r>
  <r>
    <n v="27"/>
    <x v="1"/>
    <s v="Travel_Rarely"/>
    <n v="1302"/>
    <x v="1"/>
    <n v="19"/>
    <n v="3"/>
    <s v="Other"/>
    <n v="1619"/>
    <n v="4"/>
    <s v="Male"/>
    <n v="67"/>
    <n v="2"/>
    <n v="1"/>
    <x v="2"/>
    <x v="3"/>
    <s v="Divorced"/>
    <n v="4066"/>
    <x v="0"/>
    <n v="16290"/>
    <n v="1"/>
    <x v="1"/>
    <n v="11"/>
    <n v="3"/>
    <n v="1"/>
    <n v="2"/>
    <n v="7"/>
    <n v="3"/>
    <n v="3"/>
    <n v="7"/>
    <x v="0"/>
    <n v="7"/>
    <n v="0"/>
    <n v="7"/>
  </r>
  <r>
    <n v="35"/>
    <x v="1"/>
    <s v="Travel_Rarely"/>
    <n v="819"/>
    <x v="1"/>
    <n v="18"/>
    <n v="5"/>
    <s v="Life Sciences"/>
    <n v="1621"/>
    <n v="2"/>
    <s v="Male"/>
    <n v="48"/>
    <n v="4"/>
    <n v="2"/>
    <x v="1"/>
    <x v="3"/>
    <s v="Married"/>
    <n v="5208"/>
    <x v="0"/>
    <n v="26312"/>
    <n v="1"/>
    <x v="1"/>
    <n v="11"/>
    <n v="3"/>
    <n v="4"/>
    <n v="0"/>
    <n v="16"/>
    <n v="2"/>
    <n v="3"/>
    <n v="16"/>
    <x v="3"/>
    <n v="15"/>
    <n v="1"/>
    <n v="10"/>
  </r>
  <r>
    <n v="28"/>
    <x v="1"/>
    <s v="Travel_Rarely"/>
    <n v="580"/>
    <x v="1"/>
    <n v="27"/>
    <n v="3"/>
    <s v="Medical"/>
    <n v="1622"/>
    <n v="2"/>
    <s v="Female"/>
    <n v="39"/>
    <n v="1"/>
    <n v="2"/>
    <x v="3"/>
    <x v="3"/>
    <s v="Divorced"/>
    <n v="4877"/>
    <x v="0"/>
    <n v="20460"/>
    <n v="0"/>
    <x v="1"/>
    <n v="21"/>
    <n v="4"/>
    <n v="2"/>
    <n v="1"/>
    <n v="6"/>
    <n v="5"/>
    <n v="2"/>
    <n v="5"/>
    <x v="2"/>
    <n v="3"/>
    <n v="0"/>
    <n v="0"/>
  </r>
  <r>
    <n v="21"/>
    <x v="1"/>
    <s v="Travel_Rarely"/>
    <n v="546"/>
    <x v="1"/>
    <n v="5"/>
    <n v="1"/>
    <s v="Medical"/>
    <n v="1623"/>
    <n v="3"/>
    <s v="Male"/>
    <n v="97"/>
    <n v="3"/>
    <n v="1"/>
    <x v="1"/>
    <x v="0"/>
    <s v="Single"/>
    <n v="3117"/>
    <x v="0"/>
    <n v="26009"/>
    <n v="1"/>
    <x v="1"/>
    <n v="18"/>
    <n v="3"/>
    <n v="3"/>
    <n v="0"/>
    <n v="3"/>
    <n v="2"/>
    <n v="3"/>
    <n v="2"/>
    <x v="1"/>
    <n v="2"/>
    <n v="2"/>
    <n v="2"/>
  </r>
  <r>
    <n v="18"/>
    <x v="0"/>
    <s v="Travel_Frequently"/>
    <n v="544"/>
    <x v="0"/>
    <n v="3"/>
    <n v="2"/>
    <s v="Medical"/>
    <n v="1624"/>
    <n v="2"/>
    <s v="Female"/>
    <n v="70"/>
    <n v="3"/>
    <n v="1"/>
    <x v="6"/>
    <x v="0"/>
    <s v="Single"/>
    <n v="1569"/>
    <x v="1"/>
    <n v="18420"/>
    <n v="1"/>
    <x v="0"/>
    <n v="12"/>
    <n v="3"/>
    <n v="3"/>
    <n v="0"/>
    <n v="0"/>
    <n v="2"/>
    <n v="4"/>
    <n v="0"/>
    <x v="1"/>
    <n v="0"/>
    <n v="0"/>
    <n v="0"/>
  </r>
  <r>
    <n v="47"/>
    <x v="1"/>
    <s v="Travel_Rarely"/>
    <n v="1176"/>
    <x v="2"/>
    <n v="26"/>
    <n v="4"/>
    <s v="Life Sciences"/>
    <n v="1625"/>
    <n v="4"/>
    <s v="Female"/>
    <n v="98"/>
    <n v="3"/>
    <n v="5"/>
    <x v="5"/>
    <x v="2"/>
    <s v="Married"/>
    <n v="19658"/>
    <x v="2"/>
    <n v="5220"/>
    <n v="3"/>
    <x v="1"/>
    <n v="11"/>
    <n v="3"/>
    <n v="3"/>
    <n v="1"/>
    <n v="27"/>
    <n v="2"/>
    <n v="3"/>
    <n v="5"/>
    <x v="2"/>
    <n v="2"/>
    <n v="1"/>
    <n v="0"/>
  </r>
  <r>
    <n v="39"/>
    <x v="1"/>
    <s v="Travel_Rarely"/>
    <n v="170"/>
    <x v="1"/>
    <n v="3"/>
    <n v="2"/>
    <s v="Medical"/>
    <n v="1627"/>
    <n v="3"/>
    <s v="Male"/>
    <n v="76"/>
    <n v="2"/>
    <n v="2"/>
    <x v="2"/>
    <x v="2"/>
    <s v="Divorced"/>
    <n v="3069"/>
    <x v="0"/>
    <n v="10302"/>
    <n v="0"/>
    <x v="1"/>
    <n v="15"/>
    <n v="3"/>
    <n v="4"/>
    <n v="1"/>
    <n v="11"/>
    <n v="3"/>
    <n v="3"/>
    <n v="10"/>
    <x v="0"/>
    <n v="8"/>
    <n v="0"/>
    <n v="7"/>
  </r>
  <r>
    <n v="40"/>
    <x v="1"/>
    <s v="Travel_Rarely"/>
    <n v="884"/>
    <x v="1"/>
    <n v="15"/>
    <n v="3"/>
    <s v="Life Sciences"/>
    <n v="1628"/>
    <n v="1"/>
    <s v="Female"/>
    <n v="80"/>
    <n v="2"/>
    <n v="3"/>
    <x v="3"/>
    <x v="2"/>
    <s v="Married"/>
    <n v="10435"/>
    <x v="2"/>
    <n v="25800"/>
    <n v="1"/>
    <x v="1"/>
    <n v="13"/>
    <n v="3"/>
    <n v="4"/>
    <n v="2"/>
    <n v="18"/>
    <n v="2"/>
    <n v="3"/>
    <n v="18"/>
    <x v="3"/>
    <n v="15"/>
    <n v="14"/>
    <n v="12"/>
  </r>
  <r>
    <n v="35"/>
    <x v="1"/>
    <s v="Non-Travel"/>
    <n v="208"/>
    <x v="1"/>
    <n v="8"/>
    <n v="4"/>
    <s v="Life Sciences"/>
    <n v="1630"/>
    <n v="3"/>
    <s v="Female"/>
    <n v="52"/>
    <n v="3"/>
    <n v="2"/>
    <x v="4"/>
    <x v="2"/>
    <s v="Married"/>
    <n v="4148"/>
    <x v="0"/>
    <n v="12250"/>
    <n v="1"/>
    <x v="1"/>
    <n v="12"/>
    <n v="3"/>
    <n v="4"/>
    <n v="1"/>
    <n v="15"/>
    <n v="5"/>
    <n v="3"/>
    <n v="14"/>
    <x v="3"/>
    <n v="11"/>
    <n v="2"/>
    <n v="9"/>
  </r>
  <r>
    <n v="37"/>
    <x v="1"/>
    <s v="Travel_Rarely"/>
    <n v="671"/>
    <x v="1"/>
    <n v="19"/>
    <n v="3"/>
    <s v="Life Sciences"/>
    <n v="1631"/>
    <n v="3"/>
    <s v="Male"/>
    <n v="85"/>
    <n v="3"/>
    <n v="2"/>
    <x v="3"/>
    <x v="2"/>
    <s v="Married"/>
    <n v="5768"/>
    <x v="0"/>
    <n v="26493"/>
    <n v="3"/>
    <x v="1"/>
    <n v="17"/>
    <n v="3"/>
    <n v="1"/>
    <n v="3"/>
    <n v="9"/>
    <n v="2"/>
    <n v="2"/>
    <n v="4"/>
    <x v="2"/>
    <n v="3"/>
    <n v="0"/>
    <n v="2"/>
  </r>
  <r>
    <n v="39"/>
    <x v="1"/>
    <s v="Travel_Frequently"/>
    <n v="711"/>
    <x v="1"/>
    <n v="4"/>
    <n v="3"/>
    <s v="Medical"/>
    <n v="1633"/>
    <n v="1"/>
    <s v="Female"/>
    <n v="81"/>
    <n v="3"/>
    <n v="2"/>
    <x v="3"/>
    <x v="2"/>
    <s v="Single"/>
    <n v="5042"/>
    <x v="0"/>
    <n v="3140"/>
    <n v="0"/>
    <x v="1"/>
    <n v="13"/>
    <n v="3"/>
    <n v="4"/>
    <n v="0"/>
    <n v="10"/>
    <n v="2"/>
    <n v="1"/>
    <n v="9"/>
    <x v="0"/>
    <n v="2"/>
    <n v="3"/>
    <n v="8"/>
  </r>
  <r>
    <n v="45"/>
    <x v="1"/>
    <s v="Travel_Rarely"/>
    <n v="1329"/>
    <x v="1"/>
    <n v="2"/>
    <n v="2"/>
    <s v="Other"/>
    <n v="1635"/>
    <n v="4"/>
    <s v="Female"/>
    <n v="59"/>
    <n v="2"/>
    <n v="2"/>
    <x v="3"/>
    <x v="0"/>
    <s v="Divorced"/>
    <n v="5770"/>
    <x v="0"/>
    <n v="5388"/>
    <n v="1"/>
    <x v="1"/>
    <n v="19"/>
    <n v="3"/>
    <n v="1"/>
    <n v="2"/>
    <n v="10"/>
    <n v="3"/>
    <n v="3"/>
    <n v="10"/>
    <x v="0"/>
    <n v="7"/>
    <n v="3"/>
    <n v="9"/>
  </r>
  <r>
    <n v="38"/>
    <x v="1"/>
    <s v="Travel_Rarely"/>
    <n v="397"/>
    <x v="1"/>
    <n v="2"/>
    <n v="2"/>
    <s v="Medical"/>
    <n v="1638"/>
    <n v="4"/>
    <s v="Female"/>
    <n v="54"/>
    <n v="2"/>
    <n v="3"/>
    <x v="3"/>
    <x v="2"/>
    <s v="Married"/>
    <n v="7756"/>
    <x v="2"/>
    <n v="14199"/>
    <n v="3"/>
    <x v="0"/>
    <n v="19"/>
    <n v="3"/>
    <n v="4"/>
    <n v="1"/>
    <n v="10"/>
    <n v="6"/>
    <n v="4"/>
    <n v="5"/>
    <x v="2"/>
    <n v="4"/>
    <n v="0"/>
    <n v="2"/>
  </r>
  <r>
    <n v="35"/>
    <x v="0"/>
    <s v="Travel_Rarely"/>
    <n v="737"/>
    <x v="0"/>
    <n v="10"/>
    <n v="3"/>
    <s v="Medical"/>
    <n v="1639"/>
    <n v="4"/>
    <s v="Male"/>
    <n v="55"/>
    <n v="2"/>
    <n v="3"/>
    <x v="0"/>
    <x v="3"/>
    <s v="Married"/>
    <n v="10306"/>
    <x v="2"/>
    <n v="21530"/>
    <n v="9"/>
    <x v="1"/>
    <n v="17"/>
    <n v="3"/>
    <n v="3"/>
    <n v="0"/>
    <n v="15"/>
    <n v="3"/>
    <n v="3"/>
    <n v="13"/>
    <x v="3"/>
    <n v="12"/>
    <n v="6"/>
    <n v="0"/>
  </r>
  <r>
    <n v="37"/>
    <x v="1"/>
    <s v="Travel_Rarely"/>
    <n v="1470"/>
    <x v="1"/>
    <n v="10"/>
    <n v="3"/>
    <s v="Medical"/>
    <n v="1640"/>
    <n v="2"/>
    <s v="Female"/>
    <n v="71"/>
    <n v="3"/>
    <n v="1"/>
    <x v="1"/>
    <x v="1"/>
    <s v="Married"/>
    <n v="3936"/>
    <x v="0"/>
    <n v="9953"/>
    <n v="1"/>
    <x v="1"/>
    <n v="11"/>
    <n v="3"/>
    <n v="1"/>
    <n v="1"/>
    <n v="8"/>
    <n v="2"/>
    <n v="1"/>
    <n v="8"/>
    <x v="0"/>
    <n v="4"/>
    <n v="7"/>
    <n v="7"/>
  </r>
  <r>
    <n v="40"/>
    <x v="1"/>
    <s v="Travel_Rarely"/>
    <n v="448"/>
    <x v="1"/>
    <n v="16"/>
    <n v="3"/>
    <s v="Life Sciences"/>
    <n v="1641"/>
    <n v="3"/>
    <s v="Female"/>
    <n v="84"/>
    <n v="3"/>
    <n v="3"/>
    <x v="3"/>
    <x v="0"/>
    <s v="Single"/>
    <n v="7945"/>
    <x v="2"/>
    <n v="19948"/>
    <n v="6"/>
    <x v="0"/>
    <n v="15"/>
    <n v="3"/>
    <n v="4"/>
    <n v="0"/>
    <n v="18"/>
    <n v="2"/>
    <n v="2"/>
    <n v="4"/>
    <x v="2"/>
    <n v="2"/>
    <n v="3"/>
    <n v="3"/>
  </r>
  <r>
    <n v="44"/>
    <x v="1"/>
    <s v="Travel_Frequently"/>
    <n v="602"/>
    <x v="2"/>
    <n v="1"/>
    <n v="5"/>
    <s v="Human Resources"/>
    <n v="1642"/>
    <n v="1"/>
    <s v="Male"/>
    <n v="37"/>
    <n v="3"/>
    <n v="2"/>
    <x v="8"/>
    <x v="0"/>
    <s v="Married"/>
    <n v="5743"/>
    <x v="0"/>
    <n v="10503"/>
    <n v="4"/>
    <x v="0"/>
    <n v="11"/>
    <n v="3"/>
    <n v="3"/>
    <n v="0"/>
    <n v="14"/>
    <n v="3"/>
    <n v="3"/>
    <n v="10"/>
    <x v="0"/>
    <n v="7"/>
    <n v="0"/>
    <n v="2"/>
  </r>
  <r>
    <n v="48"/>
    <x v="1"/>
    <s v="Travel_Frequently"/>
    <n v="365"/>
    <x v="1"/>
    <n v="4"/>
    <n v="5"/>
    <s v="Medical"/>
    <n v="1644"/>
    <n v="3"/>
    <s v="Male"/>
    <n v="89"/>
    <n v="2"/>
    <n v="4"/>
    <x v="5"/>
    <x v="0"/>
    <s v="Married"/>
    <n v="15202"/>
    <x v="2"/>
    <n v="5602"/>
    <n v="2"/>
    <x v="1"/>
    <n v="25"/>
    <n v="4"/>
    <n v="2"/>
    <n v="1"/>
    <n v="23"/>
    <n v="3"/>
    <n v="3"/>
    <n v="2"/>
    <x v="1"/>
    <n v="2"/>
    <n v="2"/>
    <n v="2"/>
  </r>
  <r>
    <n v="35"/>
    <x v="0"/>
    <s v="Travel_Rarely"/>
    <n v="763"/>
    <x v="0"/>
    <n v="15"/>
    <n v="2"/>
    <s v="Medical"/>
    <n v="1645"/>
    <n v="1"/>
    <s v="Male"/>
    <n v="59"/>
    <n v="1"/>
    <n v="2"/>
    <x v="0"/>
    <x v="0"/>
    <s v="Divorced"/>
    <n v="5440"/>
    <x v="0"/>
    <n v="22098"/>
    <n v="6"/>
    <x v="0"/>
    <n v="14"/>
    <n v="3"/>
    <n v="4"/>
    <n v="2"/>
    <n v="7"/>
    <n v="2"/>
    <n v="2"/>
    <n v="2"/>
    <x v="1"/>
    <n v="2"/>
    <n v="2"/>
    <n v="2"/>
  </r>
  <r>
    <n v="24"/>
    <x v="1"/>
    <s v="Travel_Frequently"/>
    <n v="567"/>
    <x v="1"/>
    <n v="2"/>
    <n v="1"/>
    <s v="Technical Degree"/>
    <n v="1646"/>
    <n v="1"/>
    <s v="Female"/>
    <n v="32"/>
    <n v="3"/>
    <n v="1"/>
    <x v="1"/>
    <x v="0"/>
    <s v="Single"/>
    <n v="3760"/>
    <x v="0"/>
    <n v="17218"/>
    <n v="1"/>
    <x v="0"/>
    <n v="13"/>
    <n v="3"/>
    <n v="3"/>
    <n v="0"/>
    <n v="6"/>
    <n v="2"/>
    <n v="3"/>
    <n v="6"/>
    <x v="0"/>
    <n v="3"/>
    <n v="1"/>
    <n v="3"/>
  </r>
  <r>
    <n v="27"/>
    <x v="1"/>
    <s v="Travel_Rarely"/>
    <n v="486"/>
    <x v="1"/>
    <n v="8"/>
    <n v="3"/>
    <s v="Medical"/>
    <n v="1647"/>
    <n v="2"/>
    <s v="Female"/>
    <n v="86"/>
    <n v="4"/>
    <n v="1"/>
    <x v="1"/>
    <x v="2"/>
    <s v="Married"/>
    <n v="3517"/>
    <x v="0"/>
    <n v="22490"/>
    <n v="7"/>
    <x v="1"/>
    <n v="17"/>
    <n v="3"/>
    <n v="1"/>
    <n v="0"/>
    <n v="5"/>
    <n v="0"/>
    <n v="3"/>
    <n v="3"/>
    <x v="2"/>
    <n v="2"/>
    <n v="0"/>
    <n v="2"/>
  </r>
  <r>
    <n v="27"/>
    <x v="1"/>
    <s v="Travel_Frequently"/>
    <n v="591"/>
    <x v="1"/>
    <n v="2"/>
    <n v="3"/>
    <s v="Medical"/>
    <n v="1648"/>
    <n v="4"/>
    <s v="Male"/>
    <n v="87"/>
    <n v="3"/>
    <n v="1"/>
    <x v="1"/>
    <x v="0"/>
    <s v="Single"/>
    <n v="2580"/>
    <x v="1"/>
    <n v="6297"/>
    <n v="2"/>
    <x v="1"/>
    <n v="13"/>
    <n v="3"/>
    <n v="3"/>
    <n v="0"/>
    <n v="6"/>
    <n v="0"/>
    <n v="2"/>
    <n v="4"/>
    <x v="2"/>
    <n v="2"/>
    <n v="1"/>
    <n v="2"/>
  </r>
  <r>
    <n v="40"/>
    <x v="0"/>
    <s v="Travel_Rarely"/>
    <n v="1329"/>
    <x v="1"/>
    <n v="7"/>
    <n v="3"/>
    <s v="Life Sciences"/>
    <n v="1649"/>
    <n v="1"/>
    <s v="Male"/>
    <n v="73"/>
    <n v="3"/>
    <n v="1"/>
    <x v="2"/>
    <x v="3"/>
    <s v="Single"/>
    <n v="2166"/>
    <x v="1"/>
    <n v="3339"/>
    <n v="3"/>
    <x v="0"/>
    <n v="14"/>
    <n v="3"/>
    <n v="2"/>
    <n v="0"/>
    <n v="10"/>
    <n v="3"/>
    <n v="1"/>
    <n v="4"/>
    <x v="2"/>
    <n v="2"/>
    <n v="0"/>
    <n v="3"/>
  </r>
  <r>
    <n v="29"/>
    <x v="1"/>
    <s v="Travel_Rarely"/>
    <n v="469"/>
    <x v="0"/>
    <n v="10"/>
    <n v="3"/>
    <s v="Medical"/>
    <n v="1650"/>
    <n v="3"/>
    <s v="Male"/>
    <n v="42"/>
    <n v="2"/>
    <n v="2"/>
    <x v="0"/>
    <x v="2"/>
    <s v="Single"/>
    <n v="5869"/>
    <x v="0"/>
    <n v="23413"/>
    <n v="9"/>
    <x v="1"/>
    <n v="11"/>
    <n v="3"/>
    <n v="3"/>
    <n v="0"/>
    <n v="8"/>
    <n v="2"/>
    <n v="3"/>
    <n v="5"/>
    <x v="2"/>
    <n v="2"/>
    <n v="1"/>
    <n v="4"/>
  </r>
  <r>
    <n v="36"/>
    <x v="1"/>
    <s v="Travel_Rarely"/>
    <n v="711"/>
    <x v="1"/>
    <n v="5"/>
    <n v="4"/>
    <s v="Life Sciences"/>
    <n v="1651"/>
    <n v="2"/>
    <s v="Female"/>
    <n v="42"/>
    <n v="3"/>
    <n v="3"/>
    <x v="4"/>
    <x v="3"/>
    <s v="Married"/>
    <n v="8008"/>
    <x v="2"/>
    <n v="22792"/>
    <n v="4"/>
    <x v="1"/>
    <n v="12"/>
    <n v="3"/>
    <n v="3"/>
    <n v="2"/>
    <n v="9"/>
    <n v="6"/>
    <n v="3"/>
    <n v="3"/>
    <x v="2"/>
    <n v="2"/>
    <n v="0"/>
    <n v="2"/>
  </r>
  <r>
    <n v="25"/>
    <x v="1"/>
    <s v="Travel_Frequently"/>
    <n v="772"/>
    <x v="1"/>
    <n v="2"/>
    <n v="1"/>
    <s v="Life Sciences"/>
    <n v="1653"/>
    <n v="4"/>
    <s v="Male"/>
    <n v="77"/>
    <n v="4"/>
    <n v="2"/>
    <x v="3"/>
    <x v="2"/>
    <s v="Divorced"/>
    <n v="5206"/>
    <x v="0"/>
    <n v="4973"/>
    <n v="1"/>
    <x v="1"/>
    <n v="17"/>
    <n v="3"/>
    <n v="3"/>
    <n v="2"/>
    <n v="7"/>
    <n v="6"/>
    <n v="3"/>
    <n v="7"/>
    <x v="0"/>
    <n v="7"/>
    <n v="0"/>
    <n v="7"/>
  </r>
  <r>
    <n v="39"/>
    <x v="1"/>
    <s v="Travel_Rarely"/>
    <n v="492"/>
    <x v="1"/>
    <n v="12"/>
    <n v="3"/>
    <s v="Medical"/>
    <n v="1654"/>
    <n v="4"/>
    <s v="Male"/>
    <n v="66"/>
    <n v="3"/>
    <n v="2"/>
    <x v="3"/>
    <x v="1"/>
    <s v="Married"/>
    <n v="5295"/>
    <x v="0"/>
    <n v="7693"/>
    <n v="4"/>
    <x v="1"/>
    <n v="21"/>
    <n v="4"/>
    <n v="3"/>
    <n v="0"/>
    <n v="7"/>
    <n v="3"/>
    <n v="3"/>
    <n v="5"/>
    <x v="2"/>
    <n v="4"/>
    <n v="1"/>
    <n v="0"/>
  </r>
  <r>
    <n v="49"/>
    <x v="1"/>
    <s v="Travel_Rarely"/>
    <n v="301"/>
    <x v="1"/>
    <n v="22"/>
    <n v="4"/>
    <s v="Other"/>
    <n v="1655"/>
    <n v="1"/>
    <s v="Female"/>
    <n v="72"/>
    <n v="3"/>
    <n v="4"/>
    <x v="7"/>
    <x v="1"/>
    <s v="Married"/>
    <n v="16413"/>
    <x v="2"/>
    <n v="3498"/>
    <n v="3"/>
    <x v="1"/>
    <n v="16"/>
    <n v="3"/>
    <n v="2"/>
    <n v="2"/>
    <n v="27"/>
    <n v="2"/>
    <n v="3"/>
    <n v="4"/>
    <x v="2"/>
    <n v="2"/>
    <n v="1"/>
    <n v="2"/>
  </r>
  <r>
    <n v="50"/>
    <x v="1"/>
    <s v="Travel_Rarely"/>
    <n v="813"/>
    <x v="1"/>
    <n v="17"/>
    <n v="5"/>
    <s v="Life Sciences"/>
    <n v="1656"/>
    <n v="4"/>
    <s v="Female"/>
    <n v="50"/>
    <n v="2"/>
    <n v="3"/>
    <x v="7"/>
    <x v="3"/>
    <s v="Divorced"/>
    <n v="13269"/>
    <x v="2"/>
    <n v="21981"/>
    <n v="5"/>
    <x v="1"/>
    <n v="15"/>
    <n v="3"/>
    <n v="3"/>
    <n v="3"/>
    <n v="19"/>
    <n v="3"/>
    <n v="3"/>
    <n v="14"/>
    <x v="3"/>
    <n v="11"/>
    <n v="1"/>
    <n v="11"/>
  </r>
  <r>
    <n v="20"/>
    <x v="1"/>
    <s v="Travel_Rarely"/>
    <n v="1141"/>
    <x v="0"/>
    <n v="2"/>
    <n v="3"/>
    <s v="Medical"/>
    <n v="1657"/>
    <n v="3"/>
    <s v="Female"/>
    <n v="31"/>
    <n v="3"/>
    <n v="1"/>
    <x v="6"/>
    <x v="2"/>
    <s v="Single"/>
    <n v="2783"/>
    <x v="1"/>
    <n v="13251"/>
    <n v="1"/>
    <x v="1"/>
    <n v="19"/>
    <n v="3"/>
    <n v="1"/>
    <n v="0"/>
    <n v="2"/>
    <n v="3"/>
    <n v="3"/>
    <n v="2"/>
    <x v="1"/>
    <n v="2"/>
    <n v="2"/>
    <n v="2"/>
  </r>
  <r>
    <n v="34"/>
    <x v="1"/>
    <s v="Travel_Rarely"/>
    <n v="1130"/>
    <x v="1"/>
    <n v="3"/>
    <n v="3"/>
    <s v="Life Sciences"/>
    <n v="1658"/>
    <n v="4"/>
    <s v="Female"/>
    <n v="66"/>
    <n v="3"/>
    <n v="2"/>
    <x v="1"/>
    <x v="1"/>
    <s v="Divorced"/>
    <n v="5433"/>
    <x v="0"/>
    <n v="19332"/>
    <n v="1"/>
    <x v="1"/>
    <n v="12"/>
    <n v="3"/>
    <n v="3"/>
    <n v="1"/>
    <n v="11"/>
    <n v="2"/>
    <n v="3"/>
    <n v="11"/>
    <x v="3"/>
    <n v="8"/>
    <n v="7"/>
    <n v="9"/>
  </r>
  <r>
    <n v="36"/>
    <x v="1"/>
    <s v="Travel_Rarely"/>
    <n v="311"/>
    <x v="1"/>
    <n v="7"/>
    <n v="3"/>
    <s v="Life Sciences"/>
    <n v="1659"/>
    <n v="1"/>
    <s v="Male"/>
    <n v="77"/>
    <n v="3"/>
    <n v="1"/>
    <x v="2"/>
    <x v="1"/>
    <s v="Single"/>
    <n v="2013"/>
    <x v="1"/>
    <n v="10950"/>
    <n v="2"/>
    <x v="1"/>
    <n v="11"/>
    <n v="3"/>
    <n v="3"/>
    <n v="0"/>
    <n v="15"/>
    <n v="4"/>
    <n v="3"/>
    <n v="4"/>
    <x v="2"/>
    <n v="3"/>
    <n v="1"/>
    <n v="3"/>
  </r>
  <r>
    <n v="49"/>
    <x v="1"/>
    <s v="Travel_Rarely"/>
    <n v="465"/>
    <x v="1"/>
    <n v="6"/>
    <n v="1"/>
    <s v="Life Sciences"/>
    <n v="1661"/>
    <n v="3"/>
    <s v="Female"/>
    <n v="41"/>
    <n v="2"/>
    <n v="4"/>
    <x v="4"/>
    <x v="2"/>
    <s v="Married"/>
    <n v="13966"/>
    <x v="2"/>
    <n v="11652"/>
    <n v="2"/>
    <x v="0"/>
    <n v="19"/>
    <n v="3"/>
    <n v="2"/>
    <n v="1"/>
    <n v="30"/>
    <n v="3"/>
    <n v="3"/>
    <n v="15"/>
    <x v="3"/>
    <n v="11"/>
    <n v="2"/>
    <n v="12"/>
  </r>
  <r>
    <n v="36"/>
    <x v="1"/>
    <s v="Non-Travel"/>
    <n v="894"/>
    <x v="1"/>
    <n v="1"/>
    <n v="4"/>
    <s v="Medical"/>
    <n v="1662"/>
    <n v="4"/>
    <s v="Female"/>
    <n v="33"/>
    <n v="2"/>
    <n v="2"/>
    <x v="3"/>
    <x v="2"/>
    <s v="Married"/>
    <n v="4374"/>
    <x v="0"/>
    <n v="15411"/>
    <n v="0"/>
    <x v="1"/>
    <n v="15"/>
    <n v="3"/>
    <n v="3"/>
    <n v="0"/>
    <n v="4"/>
    <n v="6"/>
    <n v="3"/>
    <n v="3"/>
    <x v="2"/>
    <n v="2"/>
    <n v="1"/>
    <n v="2"/>
  </r>
  <r>
    <n v="36"/>
    <x v="1"/>
    <s v="Travel_Rarely"/>
    <n v="1040"/>
    <x v="1"/>
    <n v="3"/>
    <n v="2"/>
    <s v="Life Sciences"/>
    <n v="1664"/>
    <n v="4"/>
    <s v="Male"/>
    <n v="79"/>
    <n v="4"/>
    <n v="2"/>
    <x v="4"/>
    <x v="3"/>
    <s v="Divorced"/>
    <n v="6842"/>
    <x v="0"/>
    <n v="26308"/>
    <n v="6"/>
    <x v="1"/>
    <n v="20"/>
    <n v="4"/>
    <n v="1"/>
    <n v="1"/>
    <n v="13"/>
    <n v="3"/>
    <n v="3"/>
    <n v="5"/>
    <x v="2"/>
    <n v="4"/>
    <n v="0"/>
    <n v="4"/>
  </r>
  <r>
    <n v="54"/>
    <x v="1"/>
    <s v="Travel_Rarely"/>
    <n v="584"/>
    <x v="1"/>
    <n v="22"/>
    <n v="5"/>
    <s v="Medical"/>
    <n v="1665"/>
    <n v="2"/>
    <s v="Female"/>
    <n v="91"/>
    <n v="3"/>
    <n v="4"/>
    <x v="5"/>
    <x v="2"/>
    <s v="Married"/>
    <n v="17426"/>
    <x v="2"/>
    <n v="18685"/>
    <n v="3"/>
    <x v="1"/>
    <n v="25"/>
    <n v="4"/>
    <n v="3"/>
    <n v="1"/>
    <n v="36"/>
    <n v="6"/>
    <n v="3"/>
    <n v="10"/>
    <x v="0"/>
    <n v="8"/>
    <n v="4"/>
    <n v="7"/>
  </r>
  <r>
    <n v="43"/>
    <x v="1"/>
    <s v="Travel_Rarely"/>
    <n v="1291"/>
    <x v="1"/>
    <n v="15"/>
    <n v="2"/>
    <s v="Life Sciences"/>
    <n v="1666"/>
    <n v="3"/>
    <s v="Male"/>
    <n v="65"/>
    <n v="2"/>
    <n v="4"/>
    <x v="7"/>
    <x v="2"/>
    <s v="Married"/>
    <n v="17603"/>
    <x v="2"/>
    <n v="3525"/>
    <n v="1"/>
    <x v="1"/>
    <n v="24"/>
    <n v="4"/>
    <n v="1"/>
    <n v="1"/>
    <n v="14"/>
    <n v="3"/>
    <n v="3"/>
    <n v="14"/>
    <x v="3"/>
    <n v="10"/>
    <n v="6"/>
    <n v="11"/>
  </r>
  <r>
    <n v="35"/>
    <x v="0"/>
    <s v="Travel_Frequently"/>
    <n v="880"/>
    <x v="0"/>
    <n v="12"/>
    <n v="4"/>
    <s v="Other"/>
    <n v="1667"/>
    <n v="4"/>
    <s v="Male"/>
    <n v="36"/>
    <n v="3"/>
    <n v="2"/>
    <x v="0"/>
    <x v="0"/>
    <s v="Single"/>
    <n v="4581"/>
    <x v="0"/>
    <n v="10414"/>
    <n v="3"/>
    <x v="0"/>
    <n v="24"/>
    <n v="4"/>
    <n v="1"/>
    <n v="0"/>
    <n v="13"/>
    <n v="2"/>
    <n v="4"/>
    <n v="11"/>
    <x v="3"/>
    <n v="9"/>
    <n v="6"/>
    <n v="7"/>
  </r>
  <r>
    <n v="38"/>
    <x v="1"/>
    <s v="Travel_Frequently"/>
    <n v="1189"/>
    <x v="1"/>
    <n v="1"/>
    <n v="3"/>
    <s v="Life Sciences"/>
    <n v="1668"/>
    <n v="4"/>
    <s v="Male"/>
    <n v="90"/>
    <n v="3"/>
    <n v="2"/>
    <x v="1"/>
    <x v="0"/>
    <s v="Married"/>
    <n v="4735"/>
    <x v="0"/>
    <n v="9867"/>
    <n v="7"/>
    <x v="1"/>
    <n v="15"/>
    <n v="3"/>
    <n v="4"/>
    <n v="2"/>
    <n v="19"/>
    <n v="4"/>
    <n v="4"/>
    <n v="13"/>
    <x v="3"/>
    <n v="11"/>
    <n v="2"/>
    <n v="9"/>
  </r>
  <r>
    <n v="29"/>
    <x v="1"/>
    <s v="Travel_Rarely"/>
    <n v="991"/>
    <x v="0"/>
    <n v="5"/>
    <n v="3"/>
    <s v="Medical"/>
    <n v="1669"/>
    <n v="1"/>
    <s v="Male"/>
    <n v="43"/>
    <n v="2"/>
    <n v="2"/>
    <x v="0"/>
    <x v="1"/>
    <s v="Divorced"/>
    <n v="4187"/>
    <x v="0"/>
    <n v="3356"/>
    <n v="1"/>
    <x v="0"/>
    <n v="13"/>
    <n v="3"/>
    <n v="2"/>
    <n v="1"/>
    <n v="10"/>
    <n v="3"/>
    <n v="2"/>
    <n v="10"/>
    <x v="0"/>
    <n v="0"/>
    <n v="0"/>
    <n v="9"/>
  </r>
  <r>
    <n v="33"/>
    <x v="1"/>
    <s v="Travel_Rarely"/>
    <n v="392"/>
    <x v="0"/>
    <n v="2"/>
    <n v="4"/>
    <s v="Medical"/>
    <n v="1670"/>
    <n v="4"/>
    <s v="Male"/>
    <n v="93"/>
    <n v="3"/>
    <n v="2"/>
    <x v="0"/>
    <x v="0"/>
    <s v="Divorced"/>
    <n v="5505"/>
    <x v="0"/>
    <n v="3921"/>
    <n v="1"/>
    <x v="1"/>
    <n v="14"/>
    <n v="3"/>
    <n v="3"/>
    <n v="2"/>
    <n v="6"/>
    <n v="5"/>
    <n v="3"/>
    <n v="6"/>
    <x v="0"/>
    <n v="2"/>
    <n v="0"/>
    <n v="4"/>
  </r>
  <r>
    <n v="32"/>
    <x v="1"/>
    <s v="Travel_Rarely"/>
    <n v="977"/>
    <x v="1"/>
    <n v="2"/>
    <n v="3"/>
    <s v="Medical"/>
    <n v="1671"/>
    <n v="4"/>
    <s v="Male"/>
    <n v="45"/>
    <n v="3"/>
    <n v="2"/>
    <x v="1"/>
    <x v="1"/>
    <s v="Divorced"/>
    <n v="5470"/>
    <x v="0"/>
    <n v="25518"/>
    <n v="0"/>
    <x v="1"/>
    <n v="13"/>
    <n v="3"/>
    <n v="3"/>
    <n v="2"/>
    <n v="10"/>
    <n v="4"/>
    <n v="2"/>
    <n v="9"/>
    <x v="0"/>
    <n v="5"/>
    <n v="1"/>
    <n v="6"/>
  </r>
  <r>
    <n v="31"/>
    <x v="1"/>
    <s v="Travel_Rarely"/>
    <n v="1112"/>
    <x v="0"/>
    <n v="5"/>
    <n v="4"/>
    <s v="Life Sciences"/>
    <n v="1673"/>
    <n v="1"/>
    <s v="Female"/>
    <n v="67"/>
    <n v="3"/>
    <n v="2"/>
    <x v="0"/>
    <x v="0"/>
    <s v="Married"/>
    <n v="5476"/>
    <x v="0"/>
    <n v="22589"/>
    <n v="1"/>
    <x v="1"/>
    <n v="11"/>
    <n v="3"/>
    <n v="1"/>
    <n v="2"/>
    <n v="10"/>
    <n v="2"/>
    <n v="3"/>
    <n v="10"/>
    <x v="0"/>
    <n v="0"/>
    <n v="0"/>
    <n v="2"/>
  </r>
  <r>
    <n v="49"/>
    <x v="1"/>
    <s v="Travel_Rarely"/>
    <n v="464"/>
    <x v="1"/>
    <n v="16"/>
    <n v="3"/>
    <s v="Medical"/>
    <n v="1674"/>
    <n v="4"/>
    <s v="Female"/>
    <n v="74"/>
    <n v="3"/>
    <n v="1"/>
    <x v="2"/>
    <x v="3"/>
    <s v="Divorced"/>
    <n v="2587"/>
    <x v="1"/>
    <n v="24941"/>
    <n v="4"/>
    <x v="0"/>
    <n v="16"/>
    <n v="3"/>
    <n v="2"/>
    <n v="1"/>
    <n v="17"/>
    <n v="2"/>
    <n v="2"/>
    <n v="2"/>
    <x v="1"/>
    <n v="2"/>
    <n v="2"/>
    <n v="2"/>
  </r>
  <r>
    <n v="38"/>
    <x v="1"/>
    <s v="Travel_Frequently"/>
    <n v="148"/>
    <x v="1"/>
    <n v="2"/>
    <n v="3"/>
    <s v="Medical"/>
    <n v="1675"/>
    <n v="4"/>
    <s v="Female"/>
    <n v="42"/>
    <n v="2"/>
    <n v="1"/>
    <x v="2"/>
    <x v="1"/>
    <s v="Single"/>
    <n v="2440"/>
    <x v="1"/>
    <n v="23826"/>
    <n v="1"/>
    <x v="1"/>
    <n v="22"/>
    <n v="4"/>
    <n v="2"/>
    <n v="0"/>
    <n v="4"/>
    <n v="3"/>
    <n v="3"/>
    <n v="4"/>
    <x v="2"/>
    <n v="3"/>
    <n v="3"/>
    <n v="3"/>
  </r>
  <r>
    <n v="47"/>
    <x v="1"/>
    <s v="Travel_Rarely"/>
    <n v="1225"/>
    <x v="0"/>
    <n v="2"/>
    <n v="4"/>
    <s v="Life Sciences"/>
    <n v="1676"/>
    <n v="2"/>
    <s v="Female"/>
    <n v="47"/>
    <n v="4"/>
    <n v="4"/>
    <x v="5"/>
    <x v="1"/>
    <s v="Divorced"/>
    <n v="15972"/>
    <x v="2"/>
    <n v="21086"/>
    <n v="6"/>
    <x v="1"/>
    <n v="14"/>
    <n v="3"/>
    <n v="3"/>
    <n v="3"/>
    <n v="29"/>
    <n v="2"/>
    <n v="3"/>
    <n v="3"/>
    <x v="2"/>
    <n v="2"/>
    <n v="1"/>
    <n v="2"/>
  </r>
  <r>
    <n v="49"/>
    <x v="1"/>
    <s v="Travel_Rarely"/>
    <n v="809"/>
    <x v="1"/>
    <n v="1"/>
    <n v="3"/>
    <s v="Life Sciences"/>
    <n v="1677"/>
    <n v="3"/>
    <s v="Male"/>
    <n v="36"/>
    <n v="3"/>
    <n v="4"/>
    <x v="5"/>
    <x v="2"/>
    <s v="Single"/>
    <n v="15379"/>
    <x v="2"/>
    <n v="22384"/>
    <n v="4"/>
    <x v="1"/>
    <n v="14"/>
    <n v="3"/>
    <n v="1"/>
    <n v="0"/>
    <n v="23"/>
    <n v="2"/>
    <n v="3"/>
    <n v="8"/>
    <x v="0"/>
    <n v="7"/>
    <n v="0"/>
    <n v="0"/>
  </r>
  <r>
    <n v="41"/>
    <x v="1"/>
    <s v="Travel_Rarely"/>
    <n v="1206"/>
    <x v="0"/>
    <n v="23"/>
    <n v="2"/>
    <s v="Life Sciences"/>
    <n v="1678"/>
    <n v="4"/>
    <s v="Male"/>
    <n v="80"/>
    <n v="3"/>
    <n v="3"/>
    <x v="0"/>
    <x v="2"/>
    <s v="Single"/>
    <n v="7082"/>
    <x v="2"/>
    <n v="11591"/>
    <n v="3"/>
    <x v="0"/>
    <n v="16"/>
    <n v="3"/>
    <n v="4"/>
    <n v="0"/>
    <n v="21"/>
    <n v="2"/>
    <n v="3"/>
    <n v="2"/>
    <x v="1"/>
    <n v="0"/>
    <n v="0"/>
    <n v="2"/>
  </r>
  <r>
    <n v="20"/>
    <x v="1"/>
    <s v="Travel_Rarely"/>
    <n v="727"/>
    <x v="0"/>
    <n v="9"/>
    <n v="1"/>
    <s v="Life Sciences"/>
    <n v="1680"/>
    <n v="4"/>
    <s v="Male"/>
    <n v="54"/>
    <n v="3"/>
    <n v="1"/>
    <x v="6"/>
    <x v="3"/>
    <s v="Single"/>
    <n v="2728"/>
    <x v="1"/>
    <n v="21082"/>
    <n v="1"/>
    <x v="1"/>
    <n v="11"/>
    <n v="3"/>
    <n v="1"/>
    <n v="0"/>
    <n v="2"/>
    <n v="3"/>
    <n v="3"/>
    <n v="2"/>
    <x v="1"/>
    <n v="2"/>
    <n v="0"/>
    <n v="2"/>
  </r>
  <r>
    <n v="33"/>
    <x v="1"/>
    <s v="Non-Travel"/>
    <n v="530"/>
    <x v="0"/>
    <n v="16"/>
    <n v="3"/>
    <s v="Life Sciences"/>
    <n v="1681"/>
    <n v="3"/>
    <s v="Female"/>
    <n v="36"/>
    <n v="3"/>
    <n v="2"/>
    <x v="0"/>
    <x v="0"/>
    <s v="Divorced"/>
    <n v="5368"/>
    <x v="0"/>
    <n v="16130"/>
    <n v="1"/>
    <x v="0"/>
    <n v="25"/>
    <n v="4"/>
    <n v="3"/>
    <n v="1"/>
    <n v="7"/>
    <n v="2"/>
    <n v="3"/>
    <n v="6"/>
    <x v="0"/>
    <n v="5"/>
    <n v="1"/>
    <n v="2"/>
  </r>
  <r>
    <n v="36"/>
    <x v="1"/>
    <s v="Travel_Rarely"/>
    <n v="1351"/>
    <x v="1"/>
    <n v="26"/>
    <n v="4"/>
    <s v="Life Sciences"/>
    <n v="1682"/>
    <n v="1"/>
    <s v="Male"/>
    <n v="80"/>
    <n v="3"/>
    <n v="2"/>
    <x v="4"/>
    <x v="2"/>
    <s v="Married"/>
    <n v="5347"/>
    <x v="0"/>
    <n v="7419"/>
    <n v="6"/>
    <x v="1"/>
    <n v="14"/>
    <n v="3"/>
    <n v="2"/>
    <n v="2"/>
    <n v="10"/>
    <n v="2"/>
    <n v="2"/>
    <n v="3"/>
    <x v="2"/>
    <n v="2"/>
    <n v="0"/>
    <n v="2"/>
  </r>
  <r>
    <n v="44"/>
    <x v="1"/>
    <s v="Travel_Rarely"/>
    <n v="528"/>
    <x v="2"/>
    <n v="1"/>
    <n v="3"/>
    <s v="Life Sciences"/>
    <n v="1683"/>
    <n v="3"/>
    <s v="Female"/>
    <n v="44"/>
    <n v="3"/>
    <n v="1"/>
    <x v="8"/>
    <x v="0"/>
    <s v="Divorced"/>
    <n v="3195"/>
    <x v="0"/>
    <n v="4167"/>
    <n v="4"/>
    <x v="0"/>
    <n v="18"/>
    <n v="3"/>
    <n v="1"/>
    <n v="3"/>
    <n v="8"/>
    <n v="2"/>
    <n v="3"/>
    <n v="2"/>
    <x v="1"/>
    <n v="2"/>
    <n v="2"/>
    <n v="2"/>
  </r>
  <r>
    <n v="23"/>
    <x v="0"/>
    <s v="Travel_Rarely"/>
    <n v="1320"/>
    <x v="1"/>
    <n v="8"/>
    <n v="1"/>
    <s v="Medical"/>
    <n v="1684"/>
    <n v="4"/>
    <s v="Male"/>
    <n v="93"/>
    <n v="2"/>
    <n v="1"/>
    <x v="2"/>
    <x v="2"/>
    <s v="Single"/>
    <n v="3989"/>
    <x v="0"/>
    <n v="20586"/>
    <n v="1"/>
    <x v="0"/>
    <n v="11"/>
    <n v="3"/>
    <n v="1"/>
    <n v="0"/>
    <n v="5"/>
    <n v="2"/>
    <n v="3"/>
    <n v="5"/>
    <x v="2"/>
    <n v="4"/>
    <n v="1"/>
    <n v="2"/>
  </r>
  <r>
    <n v="38"/>
    <x v="1"/>
    <s v="Travel_Rarely"/>
    <n v="1495"/>
    <x v="1"/>
    <n v="4"/>
    <n v="2"/>
    <s v="Medical"/>
    <n v="1687"/>
    <n v="4"/>
    <s v="Female"/>
    <n v="87"/>
    <n v="3"/>
    <n v="1"/>
    <x v="2"/>
    <x v="2"/>
    <s v="Married"/>
    <n v="3306"/>
    <x v="0"/>
    <n v="26176"/>
    <n v="7"/>
    <x v="1"/>
    <n v="19"/>
    <n v="3"/>
    <n v="4"/>
    <n v="1"/>
    <n v="7"/>
    <n v="5"/>
    <n v="2"/>
    <n v="0"/>
    <x v="1"/>
    <n v="0"/>
    <n v="0"/>
    <n v="0"/>
  </r>
  <r>
    <n v="53"/>
    <x v="1"/>
    <s v="Travel_Rarely"/>
    <n v="1395"/>
    <x v="1"/>
    <n v="24"/>
    <n v="4"/>
    <s v="Medical"/>
    <n v="1689"/>
    <n v="2"/>
    <s v="Male"/>
    <n v="48"/>
    <n v="4"/>
    <n v="3"/>
    <x v="4"/>
    <x v="0"/>
    <s v="Married"/>
    <n v="7005"/>
    <x v="2"/>
    <n v="3458"/>
    <n v="3"/>
    <x v="1"/>
    <n v="15"/>
    <n v="3"/>
    <n v="3"/>
    <n v="0"/>
    <n v="11"/>
    <n v="2"/>
    <n v="3"/>
    <n v="4"/>
    <x v="2"/>
    <n v="3"/>
    <n v="1"/>
    <n v="2"/>
  </r>
  <r>
    <n v="48"/>
    <x v="0"/>
    <s v="Travel_Frequently"/>
    <n v="708"/>
    <x v="0"/>
    <n v="7"/>
    <n v="2"/>
    <s v="Medical"/>
    <n v="1691"/>
    <n v="4"/>
    <s v="Female"/>
    <n v="95"/>
    <n v="3"/>
    <n v="1"/>
    <x v="6"/>
    <x v="2"/>
    <s v="Married"/>
    <n v="2655"/>
    <x v="1"/>
    <n v="11740"/>
    <n v="2"/>
    <x v="0"/>
    <n v="11"/>
    <n v="3"/>
    <n v="3"/>
    <n v="2"/>
    <n v="19"/>
    <n v="3"/>
    <n v="3"/>
    <n v="9"/>
    <x v="0"/>
    <n v="7"/>
    <n v="7"/>
    <n v="7"/>
  </r>
  <r>
    <n v="32"/>
    <x v="0"/>
    <s v="Travel_Rarely"/>
    <n v="1259"/>
    <x v="1"/>
    <n v="2"/>
    <n v="4"/>
    <s v="Life Sciences"/>
    <n v="1692"/>
    <n v="4"/>
    <s v="Male"/>
    <n v="95"/>
    <n v="3"/>
    <n v="1"/>
    <x v="2"/>
    <x v="1"/>
    <s v="Single"/>
    <n v="1393"/>
    <x v="1"/>
    <n v="24852"/>
    <n v="1"/>
    <x v="1"/>
    <n v="12"/>
    <n v="3"/>
    <n v="1"/>
    <n v="0"/>
    <n v="1"/>
    <n v="2"/>
    <n v="3"/>
    <n v="1"/>
    <x v="1"/>
    <n v="0"/>
    <n v="0"/>
    <n v="0"/>
  </r>
  <r>
    <n v="26"/>
    <x v="1"/>
    <s v="Non-Travel"/>
    <n v="786"/>
    <x v="1"/>
    <n v="7"/>
    <n v="3"/>
    <s v="Medical"/>
    <n v="1693"/>
    <n v="4"/>
    <s v="Male"/>
    <n v="76"/>
    <n v="3"/>
    <n v="1"/>
    <x v="2"/>
    <x v="0"/>
    <s v="Single"/>
    <n v="2570"/>
    <x v="1"/>
    <n v="11925"/>
    <n v="1"/>
    <x v="1"/>
    <n v="20"/>
    <n v="4"/>
    <n v="3"/>
    <n v="0"/>
    <n v="7"/>
    <n v="5"/>
    <n v="3"/>
    <n v="7"/>
    <x v="0"/>
    <n v="7"/>
    <n v="5"/>
    <n v="7"/>
  </r>
  <r>
    <n v="55"/>
    <x v="1"/>
    <s v="Travel_Rarely"/>
    <n v="1441"/>
    <x v="1"/>
    <n v="22"/>
    <n v="3"/>
    <s v="Technical Degree"/>
    <n v="1694"/>
    <n v="1"/>
    <s v="Male"/>
    <n v="94"/>
    <n v="2"/>
    <n v="1"/>
    <x v="1"/>
    <x v="1"/>
    <s v="Divorced"/>
    <n v="3537"/>
    <x v="0"/>
    <n v="23737"/>
    <n v="5"/>
    <x v="1"/>
    <n v="12"/>
    <n v="3"/>
    <n v="4"/>
    <n v="1"/>
    <n v="8"/>
    <n v="1"/>
    <n v="3"/>
    <n v="4"/>
    <x v="2"/>
    <n v="2"/>
    <n v="1"/>
    <n v="2"/>
  </r>
  <r>
    <n v="34"/>
    <x v="1"/>
    <s v="Travel_Rarely"/>
    <n v="1157"/>
    <x v="1"/>
    <n v="5"/>
    <n v="2"/>
    <s v="Medical"/>
    <n v="1696"/>
    <n v="2"/>
    <s v="Male"/>
    <n v="57"/>
    <n v="2"/>
    <n v="2"/>
    <x v="2"/>
    <x v="0"/>
    <s v="Married"/>
    <n v="3986"/>
    <x v="0"/>
    <n v="11912"/>
    <n v="1"/>
    <x v="1"/>
    <n v="14"/>
    <n v="3"/>
    <n v="3"/>
    <n v="1"/>
    <n v="15"/>
    <n v="3"/>
    <n v="4"/>
    <n v="15"/>
    <x v="3"/>
    <n v="10"/>
    <n v="4"/>
    <n v="13"/>
  </r>
  <r>
    <n v="60"/>
    <x v="1"/>
    <s v="Travel_Rarely"/>
    <n v="370"/>
    <x v="1"/>
    <n v="1"/>
    <n v="4"/>
    <s v="Medical"/>
    <n v="1697"/>
    <n v="3"/>
    <s v="Male"/>
    <n v="92"/>
    <n v="1"/>
    <n v="3"/>
    <x v="4"/>
    <x v="0"/>
    <s v="Divorced"/>
    <n v="10883"/>
    <x v="2"/>
    <n v="20467"/>
    <n v="3"/>
    <x v="1"/>
    <n v="20"/>
    <n v="4"/>
    <n v="3"/>
    <n v="1"/>
    <n v="19"/>
    <n v="2"/>
    <n v="4"/>
    <n v="1"/>
    <x v="1"/>
    <n v="0"/>
    <n v="0"/>
    <n v="0"/>
  </r>
  <r>
    <n v="33"/>
    <x v="1"/>
    <s v="Travel_Rarely"/>
    <n v="267"/>
    <x v="1"/>
    <n v="21"/>
    <n v="3"/>
    <s v="Medical"/>
    <n v="1698"/>
    <n v="2"/>
    <s v="Male"/>
    <n v="79"/>
    <n v="4"/>
    <n v="1"/>
    <x v="2"/>
    <x v="1"/>
    <s v="Married"/>
    <n v="2028"/>
    <x v="1"/>
    <n v="13637"/>
    <n v="1"/>
    <x v="1"/>
    <n v="18"/>
    <n v="3"/>
    <n v="4"/>
    <n v="3"/>
    <n v="14"/>
    <n v="6"/>
    <n v="3"/>
    <n v="14"/>
    <x v="3"/>
    <n v="11"/>
    <n v="2"/>
    <n v="13"/>
  </r>
  <r>
    <n v="37"/>
    <x v="1"/>
    <s v="Travel_Frequently"/>
    <n v="1278"/>
    <x v="0"/>
    <n v="1"/>
    <n v="4"/>
    <s v="Medical"/>
    <n v="1700"/>
    <n v="3"/>
    <s v="Male"/>
    <n v="31"/>
    <n v="1"/>
    <n v="2"/>
    <x v="0"/>
    <x v="0"/>
    <s v="Divorced"/>
    <n v="9525"/>
    <x v="2"/>
    <n v="7677"/>
    <n v="1"/>
    <x v="1"/>
    <n v="14"/>
    <n v="3"/>
    <n v="3"/>
    <n v="2"/>
    <n v="6"/>
    <n v="2"/>
    <n v="2"/>
    <n v="6"/>
    <x v="0"/>
    <n v="3"/>
    <n v="1"/>
    <n v="3"/>
  </r>
  <r>
    <n v="34"/>
    <x v="1"/>
    <s v="Travel_Rarely"/>
    <n v="678"/>
    <x v="1"/>
    <n v="19"/>
    <n v="3"/>
    <s v="Life Sciences"/>
    <n v="1701"/>
    <n v="2"/>
    <s v="Female"/>
    <n v="35"/>
    <n v="2"/>
    <n v="1"/>
    <x v="1"/>
    <x v="0"/>
    <s v="Married"/>
    <n v="2929"/>
    <x v="1"/>
    <n v="20338"/>
    <n v="1"/>
    <x v="1"/>
    <n v="12"/>
    <n v="3"/>
    <n v="2"/>
    <n v="0"/>
    <n v="10"/>
    <n v="3"/>
    <n v="3"/>
    <n v="10"/>
    <x v="0"/>
    <n v="9"/>
    <n v="8"/>
    <n v="7"/>
  </r>
  <r>
    <n v="23"/>
    <x v="0"/>
    <s v="Travel_Rarely"/>
    <n v="427"/>
    <x v="0"/>
    <n v="7"/>
    <n v="3"/>
    <s v="Life Sciences"/>
    <n v="1702"/>
    <n v="3"/>
    <s v="Male"/>
    <n v="99"/>
    <n v="3"/>
    <n v="1"/>
    <x v="6"/>
    <x v="0"/>
    <s v="Divorced"/>
    <n v="2275"/>
    <x v="1"/>
    <n v="25103"/>
    <n v="1"/>
    <x v="0"/>
    <n v="21"/>
    <n v="4"/>
    <n v="2"/>
    <n v="1"/>
    <n v="3"/>
    <n v="2"/>
    <n v="3"/>
    <n v="3"/>
    <x v="2"/>
    <n v="2"/>
    <n v="0"/>
    <n v="2"/>
  </r>
  <r>
    <n v="44"/>
    <x v="1"/>
    <s v="Travel_Rarely"/>
    <n v="921"/>
    <x v="1"/>
    <n v="2"/>
    <n v="3"/>
    <s v="Life Sciences"/>
    <n v="1703"/>
    <n v="3"/>
    <s v="Female"/>
    <n v="96"/>
    <n v="4"/>
    <n v="3"/>
    <x v="4"/>
    <x v="0"/>
    <s v="Married"/>
    <n v="7879"/>
    <x v="2"/>
    <n v="14810"/>
    <n v="1"/>
    <x v="0"/>
    <n v="19"/>
    <n v="3"/>
    <n v="2"/>
    <n v="1"/>
    <n v="9"/>
    <n v="2"/>
    <n v="3"/>
    <n v="8"/>
    <x v="0"/>
    <n v="7"/>
    <n v="6"/>
    <n v="7"/>
  </r>
  <r>
    <n v="35"/>
    <x v="1"/>
    <s v="Travel_Frequently"/>
    <n v="146"/>
    <x v="1"/>
    <n v="2"/>
    <n v="4"/>
    <s v="Medical"/>
    <n v="1704"/>
    <n v="1"/>
    <s v="Male"/>
    <n v="79"/>
    <n v="2"/>
    <n v="1"/>
    <x v="1"/>
    <x v="0"/>
    <s v="Single"/>
    <n v="4930"/>
    <x v="0"/>
    <n v="13970"/>
    <n v="0"/>
    <x v="0"/>
    <n v="14"/>
    <n v="3"/>
    <n v="3"/>
    <n v="0"/>
    <n v="6"/>
    <n v="2"/>
    <n v="4"/>
    <n v="5"/>
    <x v="2"/>
    <n v="4"/>
    <n v="1"/>
    <n v="4"/>
  </r>
  <r>
    <n v="43"/>
    <x v="1"/>
    <s v="Travel_Rarely"/>
    <n v="1179"/>
    <x v="0"/>
    <n v="2"/>
    <n v="3"/>
    <s v="Medical"/>
    <n v="1706"/>
    <n v="4"/>
    <s v="Male"/>
    <n v="73"/>
    <n v="3"/>
    <n v="2"/>
    <x v="0"/>
    <x v="0"/>
    <s v="Married"/>
    <n v="7847"/>
    <x v="2"/>
    <n v="6069"/>
    <n v="1"/>
    <x v="0"/>
    <n v="17"/>
    <n v="3"/>
    <n v="1"/>
    <n v="1"/>
    <n v="10"/>
    <n v="3"/>
    <n v="3"/>
    <n v="10"/>
    <x v="0"/>
    <n v="9"/>
    <n v="8"/>
    <n v="8"/>
  </r>
  <r>
    <n v="24"/>
    <x v="1"/>
    <s v="Travel_Rarely"/>
    <n v="581"/>
    <x v="1"/>
    <n v="9"/>
    <n v="3"/>
    <s v="Medical"/>
    <n v="1707"/>
    <n v="3"/>
    <s v="Male"/>
    <n v="62"/>
    <n v="4"/>
    <n v="1"/>
    <x v="1"/>
    <x v="2"/>
    <s v="Married"/>
    <n v="4401"/>
    <x v="0"/>
    <n v="17616"/>
    <n v="1"/>
    <x v="1"/>
    <n v="16"/>
    <n v="3"/>
    <n v="4"/>
    <n v="1"/>
    <n v="5"/>
    <n v="1"/>
    <n v="3"/>
    <n v="5"/>
    <x v="2"/>
    <n v="3"/>
    <n v="0"/>
    <n v="4"/>
  </r>
  <r>
    <n v="41"/>
    <x v="1"/>
    <s v="Travel_Rarely"/>
    <n v="918"/>
    <x v="0"/>
    <n v="6"/>
    <n v="3"/>
    <s v="Marketing"/>
    <n v="1708"/>
    <n v="4"/>
    <s v="Male"/>
    <n v="35"/>
    <n v="3"/>
    <n v="3"/>
    <x v="0"/>
    <x v="2"/>
    <s v="Single"/>
    <n v="9241"/>
    <x v="2"/>
    <n v="15869"/>
    <n v="1"/>
    <x v="1"/>
    <n v="12"/>
    <n v="3"/>
    <n v="2"/>
    <n v="0"/>
    <n v="10"/>
    <n v="3"/>
    <n v="3"/>
    <n v="10"/>
    <x v="0"/>
    <n v="8"/>
    <n v="8"/>
    <n v="7"/>
  </r>
  <r>
    <n v="29"/>
    <x v="1"/>
    <s v="Travel_Rarely"/>
    <n v="1082"/>
    <x v="1"/>
    <n v="9"/>
    <n v="4"/>
    <s v="Medical"/>
    <n v="1709"/>
    <n v="4"/>
    <s v="Female"/>
    <n v="43"/>
    <n v="3"/>
    <n v="1"/>
    <x v="2"/>
    <x v="2"/>
    <s v="Married"/>
    <n v="2974"/>
    <x v="1"/>
    <n v="25412"/>
    <n v="9"/>
    <x v="1"/>
    <n v="17"/>
    <n v="3"/>
    <n v="3"/>
    <n v="1"/>
    <n v="9"/>
    <n v="2"/>
    <n v="3"/>
    <n v="5"/>
    <x v="2"/>
    <n v="3"/>
    <n v="1"/>
    <n v="2"/>
  </r>
  <r>
    <n v="36"/>
    <x v="1"/>
    <s v="Travel_Rarely"/>
    <n v="530"/>
    <x v="0"/>
    <n v="2"/>
    <n v="4"/>
    <s v="Life Sciences"/>
    <n v="1710"/>
    <n v="3"/>
    <s v="Female"/>
    <n v="51"/>
    <n v="3"/>
    <n v="2"/>
    <x v="6"/>
    <x v="0"/>
    <s v="Single"/>
    <n v="4502"/>
    <x v="0"/>
    <n v="7439"/>
    <n v="3"/>
    <x v="1"/>
    <n v="15"/>
    <n v="3"/>
    <n v="3"/>
    <n v="0"/>
    <n v="17"/>
    <n v="2"/>
    <n v="2"/>
    <n v="13"/>
    <x v="3"/>
    <n v="7"/>
    <n v="6"/>
    <n v="7"/>
  </r>
  <r>
    <n v="45"/>
    <x v="1"/>
    <s v="Non-Travel"/>
    <n v="1238"/>
    <x v="1"/>
    <n v="1"/>
    <n v="1"/>
    <s v="Life Sciences"/>
    <n v="1712"/>
    <n v="3"/>
    <s v="Male"/>
    <n v="74"/>
    <n v="2"/>
    <n v="3"/>
    <x v="4"/>
    <x v="2"/>
    <s v="Married"/>
    <n v="10748"/>
    <x v="2"/>
    <n v="3395"/>
    <n v="3"/>
    <x v="1"/>
    <n v="23"/>
    <n v="4"/>
    <n v="4"/>
    <n v="1"/>
    <n v="25"/>
    <n v="3"/>
    <n v="2"/>
    <n v="23"/>
    <x v="3"/>
    <n v="15"/>
    <n v="14"/>
    <n v="4"/>
  </r>
  <r>
    <n v="24"/>
    <x v="0"/>
    <s v="Travel_Rarely"/>
    <n v="240"/>
    <x v="2"/>
    <n v="22"/>
    <n v="1"/>
    <s v="Human Resources"/>
    <n v="1714"/>
    <n v="4"/>
    <s v="Male"/>
    <n v="58"/>
    <n v="1"/>
    <n v="1"/>
    <x v="8"/>
    <x v="2"/>
    <s v="Married"/>
    <n v="1555"/>
    <x v="1"/>
    <n v="11585"/>
    <n v="1"/>
    <x v="1"/>
    <n v="11"/>
    <n v="3"/>
    <n v="3"/>
    <n v="1"/>
    <n v="1"/>
    <n v="2"/>
    <n v="3"/>
    <n v="1"/>
    <x v="1"/>
    <n v="0"/>
    <n v="0"/>
    <n v="0"/>
  </r>
  <r>
    <n v="47"/>
    <x v="0"/>
    <s v="Travel_Frequently"/>
    <n v="1093"/>
    <x v="0"/>
    <n v="9"/>
    <n v="3"/>
    <s v="Life Sciences"/>
    <n v="1716"/>
    <n v="3"/>
    <s v="Male"/>
    <n v="82"/>
    <n v="1"/>
    <n v="4"/>
    <x v="0"/>
    <x v="2"/>
    <s v="Married"/>
    <n v="12936"/>
    <x v="2"/>
    <n v="24164"/>
    <n v="7"/>
    <x v="1"/>
    <n v="11"/>
    <n v="3"/>
    <n v="3"/>
    <n v="0"/>
    <n v="25"/>
    <n v="3"/>
    <n v="1"/>
    <n v="23"/>
    <x v="3"/>
    <n v="5"/>
    <n v="14"/>
    <n v="10"/>
  </r>
  <r>
    <n v="26"/>
    <x v="1"/>
    <s v="Travel_Rarely"/>
    <n v="390"/>
    <x v="1"/>
    <n v="17"/>
    <n v="4"/>
    <s v="Medical"/>
    <n v="1718"/>
    <n v="4"/>
    <s v="Male"/>
    <n v="62"/>
    <n v="1"/>
    <n v="1"/>
    <x v="2"/>
    <x v="2"/>
    <s v="Married"/>
    <n v="2305"/>
    <x v="1"/>
    <n v="6217"/>
    <n v="1"/>
    <x v="1"/>
    <n v="15"/>
    <n v="3"/>
    <n v="3"/>
    <n v="3"/>
    <n v="3"/>
    <n v="3"/>
    <n v="4"/>
    <n v="3"/>
    <x v="2"/>
    <n v="2"/>
    <n v="0"/>
    <n v="2"/>
  </r>
  <r>
    <n v="45"/>
    <x v="1"/>
    <s v="Travel_Rarely"/>
    <n v="1005"/>
    <x v="1"/>
    <n v="28"/>
    <n v="2"/>
    <s v="Technical Degree"/>
    <n v="1719"/>
    <n v="4"/>
    <s v="Female"/>
    <n v="48"/>
    <n v="2"/>
    <n v="4"/>
    <x v="7"/>
    <x v="1"/>
    <s v="Single"/>
    <n v="16704"/>
    <x v="2"/>
    <n v="17119"/>
    <n v="1"/>
    <x v="1"/>
    <n v="11"/>
    <n v="3"/>
    <n v="3"/>
    <n v="0"/>
    <n v="21"/>
    <n v="2"/>
    <n v="3"/>
    <n v="21"/>
    <x v="3"/>
    <n v="6"/>
    <n v="8"/>
    <n v="6"/>
  </r>
  <r>
    <n v="32"/>
    <x v="1"/>
    <s v="Travel_Frequently"/>
    <n v="585"/>
    <x v="1"/>
    <n v="10"/>
    <n v="3"/>
    <s v="Life Sciences"/>
    <n v="1720"/>
    <n v="1"/>
    <s v="Male"/>
    <n v="56"/>
    <n v="3"/>
    <n v="1"/>
    <x v="1"/>
    <x v="2"/>
    <s v="Married"/>
    <n v="3433"/>
    <x v="0"/>
    <n v="17360"/>
    <n v="6"/>
    <x v="1"/>
    <n v="13"/>
    <n v="3"/>
    <n v="1"/>
    <n v="1"/>
    <n v="10"/>
    <n v="3"/>
    <n v="2"/>
    <n v="5"/>
    <x v="2"/>
    <n v="2"/>
    <n v="1"/>
    <n v="3"/>
  </r>
  <r>
    <n v="31"/>
    <x v="1"/>
    <s v="Travel_Rarely"/>
    <n v="741"/>
    <x v="1"/>
    <n v="2"/>
    <n v="4"/>
    <s v="Life Sciences"/>
    <n v="1721"/>
    <n v="2"/>
    <s v="Male"/>
    <n v="69"/>
    <n v="3"/>
    <n v="1"/>
    <x v="2"/>
    <x v="2"/>
    <s v="Married"/>
    <n v="3477"/>
    <x v="0"/>
    <n v="18103"/>
    <n v="1"/>
    <x v="1"/>
    <n v="14"/>
    <n v="3"/>
    <n v="4"/>
    <n v="1"/>
    <n v="6"/>
    <n v="2"/>
    <n v="4"/>
    <n v="5"/>
    <x v="2"/>
    <n v="2"/>
    <n v="0"/>
    <n v="3"/>
  </r>
  <r>
    <n v="41"/>
    <x v="1"/>
    <s v="Non-Travel"/>
    <n v="552"/>
    <x v="2"/>
    <n v="4"/>
    <n v="3"/>
    <s v="Human Resources"/>
    <n v="1722"/>
    <n v="3"/>
    <s v="Male"/>
    <n v="60"/>
    <n v="1"/>
    <n v="2"/>
    <x v="8"/>
    <x v="1"/>
    <s v="Married"/>
    <n v="6430"/>
    <x v="0"/>
    <n v="20794"/>
    <n v="6"/>
    <x v="1"/>
    <n v="19"/>
    <n v="3"/>
    <n v="2"/>
    <n v="1"/>
    <n v="10"/>
    <n v="4"/>
    <n v="3"/>
    <n v="3"/>
    <x v="2"/>
    <n v="2"/>
    <n v="1"/>
    <n v="2"/>
  </r>
  <r>
    <n v="40"/>
    <x v="1"/>
    <s v="Travel_Rarely"/>
    <n v="369"/>
    <x v="1"/>
    <n v="8"/>
    <n v="2"/>
    <s v="Life Sciences"/>
    <n v="1724"/>
    <n v="2"/>
    <s v="Female"/>
    <n v="92"/>
    <n v="3"/>
    <n v="2"/>
    <x v="3"/>
    <x v="3"/>
    <s v="Married"/>
    <n v="6516"/>
    <x v="0"/>
    <n v="5041"/>
    <n v="2"/>
    <x v="0"/>
    <n v="16"/>
    <n v="3"/>
    <n v="2"/>
    <n v="1"/>
    <n v="18"/>
    <n v="3"/>
    <n v="3"/>
    <n v="1"/>
    <x v="1"/>
    <n v="0"/>
    <n v="0"/>
    <n v="0"/>
  </r>
  <r>
    <n v="24"/>
    <x v="1"/>
    <s v="Travel_Rarely"/>
    <n v="506"/>
    <x v="1"/>
    <n v="29"/>
    <n v="1"/>
    <s v="Medical"/>
    <n v="1725"/>
    <n v="2"/>
    <s v="Male"/>
    <n v="91"/>
    <n v="3"/>
    <n v="1"/>
    <x v="2"/>
    <x v="3"/>
    <s v="Divorced"/>
    <n v="3907"/>
    <x v="0"/>
    <n v="3622"/>
    <n v="1"/>
    <x v="1"/>
    <n v="13"/>
    <n v="3"/>
    <n v="2"/>
    <n v="3"/>
    <n v="6"/>
    <n v="2"/>
    <n v="4"/>
    <n v="6"/>
    <x v="0"/>
    <n v="2"/>
    <n v="1"/>
    <n v="2"/>
  </r>
  <r>
    <n v="46"/>
    <x v="1"/>
    <s v="Travel_Rarely"/>
    <n v="717"/>
    <x v="1"/>
    <n v="13"/>
    <n v="4"/>
    <s v="Life Sciences"/>
    <n v="1727"/>
    <n v="3"/>
    <s v="Male"/>
    <n v="34"/>
    <n v="3"/>
    <n v="2"/>
    <x v="4"/>
    <x v="1"/>
    <s v="Single"/>
    <n v="5562"/>
    <x v="0"/>
    <n v="9697"/>
    <n v="6"/>
    <x v="1"/>
    <n v="14"/>
    <n v="3"/>
    <n v="4"/>
    <n v="0"/>
    <n v="19"/>
    <n v="3"/>
    <n v="3"/>
    <n v="10"/>
    <x v="0"/>
    <n v="7"/>
    <n v="0"/>
    <n v="9"/>
  </r>
  <r>
    <n v="35"/>
    <x v="1"/>
    <s v="Travel_Rarely"/>
    <n v="1370"/>
    <x v="1"/>
    <n v="27"/>
    <n v="4"/>
    <s v="Life Sciences"/>
    <n v="1728"/>
    <n v="4"/>
    <s v="Male"/>
    <n v="49"/>
    <n v="3"/>
    <n v="2"/>
    <x v="3"/>
    <x v="2"/>
    <s v="Married"/>
    <n v="6883"/>
    <x v="0"/>
    <n v="5151"/>
    <n v="2"/>
    <x v="1"/>
    <n v="16"/>
    <n v="3"/>
    <n v="2"/>
    <n v="1"/>
    <n v="17"/>
    <n v="3"/>
    <n v="3"/>
    <n v="7"/>
    <x v="0"/>
    <n v="7"/>
    <n v="0"/>
    <n v="7"/>
  </r>
  <r>
    <n v="30"/>
    <x v="1"/>
    <s v="Travel_Rarely"/>
    <n v="793"/>
    <x v="1"/>
    <n v="16"/>
    <n v="1"/>
    <s v="Life Sciences"/>
    <n v="1729"/>
    <n v="2"/>
    <s v="Male"/>
    <n v="33"/>
    <n v="3"/>
    <n v="1"/>
    <x v="1"/>
    <x v="0"/>
    <s v="Married"/>
    <n v="2862"/>
    <x v="1"/>
    <n v="3811"/>
    <n v="1"/>
    <x v="1"/>
    <n v="12"/>
    <n v="3"/>
    <n v="2"/>
    <n v="1"/>
    <n v="10"/>
    <n v="2"/>
    <n v="2"/>
    <n v="10"/>
    <x v="0"/>
    <n v="0"/>
    <n v="0"/>
    <n v="8"/>
  </r>
  <r>
    <n v="47"/>
    <x v="1"/>
    <s v="Non-Travel"/>
    <n v="543"/>
    <x v="0"/>
    <n v="2"/>
    <n v="4"/>
    <s v="Marketing"/>
    <n v="1731"/>
    <n v="3"/>
    <s v="Male"/>
    <n v="87"/>
    <n v="3"/>
    <n v="2"/>
    <x v="0"/>
    <x v="1"/>
    <s v="Married"/>
    <n v="4978"/>
    <x v="0"/>
    <n v="3536"/>
    <n v="7"/>
    <x v="1"/>
    <n v="11"/>
    <n v="3"/>
    <n v="4"/>
    <n v="1"/>
    <n v="4"/>
    <n v="3"/>
    <n v="1"/>
    <n v="1"/>
    <x v="1"/>
    <n v="0"/>
    <n v="0"/>
    <n v="0"/>
  </r>
  <r>
    <n v="46"/>
    <x v="1"/>
    <s v="Travel_Rarely"/>
    <n v="1277"/>
    <x v="0"/>
    <n v="2"/>
    <n v="3"/>
    <s v="Life Sciences"/>
    <n v="1732"/>
    <n v="3"/>
    <s v="Male"/>
    <n v="74"/>
    <n v="3"/>
    <n v="3"/>
    <x v="0"/>
    <x v="0"/>
    <s v="Divorced"/>
    <n v="10368"/>
    <x v="2"/>
    <n v="5596"/>
    <n v="4"/>
    <x v="0"/>
    <n v="12"/>
    <n v="3"/>
    <n v="2"/>
    <n v="1"/>
    <n v="13"/>
    <n v="5"/>
    <n v="2"/>
    <n v="10"/>
    <x v="0"/>
    <n v="6"/>
    <n v="0"/>
    <n v="3"/>
  </r>
  <r>
    <n v="36"/>
    <x v="0"/>
    <s v="Travel_Rarely"/>
    <n v="1456"/>
    <x v="0"/>
    <n v="13"/>
    <n v="5"/>
    <s v="Marketing"/>
    <n v="1733"/>
    <n v="2"/>
    <s v="Male"/>
    <n v="96"/>
    <n v="2"/>
    <n v="2"/>
    <x v="0"/>
    <x v="3"/>
    <s v="Divorced"/>
    <n v="6134"/>
    <x v="0"/>
    <n v="8658"/>
    <n v="5"/>
    <x v="0"/>
    <n v="13"/>
    <n v="3"/>
    <n v="2"/>
    <n v="3"/>
    <n v="16"/>
    <n v="3"/>
    <n v="3"/>
    <n v="2"/>
    <x v="1"/>
    <n v="2"/>
    <n v="2"/>
    <n v="2"/>
  </r>
  <r>
    <n v="32"/>
    <x v="0"/>
    <s v="Travel_Rarely"/>
    <n v="964"/>
    <x v="0"/>
    <n v="1"/>
    <n v="2"/>
    <s v="Life Sciences"/>
    <n v="1734"/>
    <n v="1"/>
    <s v="Male"/>
    <n v="34"/>
    <n v="1"/>
    <n v="2"/>
    <x v="0"/>
    <x v="1"/>
    <s v="Single"/>
    <n v="6735"/>
    <x v="0"/>
    <n v="12147"/>
    <n v="6"/>
    <x v="1"/>
    <n v="15"/>
    <n v="3"/>
    <n v="2"/>
    <n v="0"/>
    <n v="10"/>
    <n v="2"/>
    <n v="3"/>
    <n v="0"/>
    <x v="1"/>
    <n v="0"/>
    <n v="0"/>
    <n v="0"/>
  </r>
  <r>
    <n v="23"/>
    <x v="1"/>
    <s v="Travel_Rarely"/>
    <n v="160"/>
    <x v="1"/>
    <n v="4"/>
    <n v="1"/>
    <s v="Medical"/>
    <n v="1735"/>
    <n v="3"/>
    <s v="Female"/>
    <n v="51"/>
    <n v="3"/>
    <n v="1"/>
    <x v="2"/>
    <x v="1"/>
    <s v="Single"/>
    <n v="3295"/>
    <x v="0"/>
    <n v="12862"/>
    <n v="1"/>
    <x v="1"/>
    <n v="13"/>
    <n v="3"/>
    <n v="3"/>
    <n v="0"/>
    <n v="3"/>
    <n v="3"/>
    <n v="1"/>
    <n v="3"/>
    <x v="2"/>
    <n v="2"/>
    <n v="1"/>
    <n v="2"/>
  </r>
  <r>
    <n v="31"/>
    <x v="1"/>
    <s v="Travel_Frequently"/>
    <n v="163"/>
    <x v="1"/>
    <n v="24"/>
    <n v="1"/>
    <s v="Technical Degree"/>
    <n v="1736"/>
    <n v="4"/>
    <s v="Female"/>
    <n v="30"/>
    <n v="3"/>
    <n v="2"/>
    <x v="3"/>
    <x v="0"/>
    <s v="Single"/>
    <n v="5238"/>
    <x v="0"/>
    <n v="6670"/>
    <n v="2"/>
    <x v="1"/>
    <n v="20"/>
    <n v="4"/>
    <n v="4"/>
    <n v="0"/>
    <n v="9"/>
    <n v="3"/>
    <n v="2"/>
    <n v="5"/>
    <x v="2"/>
    <n v="4"/>
    <n v="1"/>
    <n v="4"/>
  </r>
  <r>
    <n v="39"/>
    <x v="1"/>
    <s v="Non-Travel"/>
    <n v="792"/>
    <x v="1"/>
    <n v="1"/>
    <n v="3"/>
    <s v="Life Sciences"/>
    <n v="1737"/>
    <n v="4"/>
    <s v="Male"/>
    <n v="77"/>
    <n v="3"/>
    <n v="2"/>
    <x v="2"/>
    <x v="0"/>
    <s v="Married"/>
    <n v="6472"/>
    <x v="0"/>
    <n v="8989"/>
    <n v="1"/>
    <x v="0"/>
    <n v="15"/>
    <n v="3"/>
    <n v="4"/>
    <n v="1"/>
    <n v="9"/>
    <n v="2"/>
    <n v="3"/>
    <n v="9"/>
    <x v="0"/>
    <n v="8"/>
    <n v="5"/>
    <n v="8"/>
  </r>
  <r>
    <n v="32"/>
    <x v="1"/>
    <s v="Travel_Rarely"/>
    <n v="371"/>
    <x v="0"/>
    <n v="19"/>
    <n v="3"/>
    <s v="Life Sciences"/>
    <n v="1739"/>
    <n v="4"/>
    <s v="Male"/>
    <n v="80"/>
    <n v="1"/>
    <n v="3"/>
    <x v="0"/>
    <x v="2"/>
    <s v="Married"/>
    <n v="9610"/>
    <x v="2"/>
    <n v="3840"/>
    <n v="3"/>
    <x v="1"/>
    <n v="13"/>
    <n v="3"/>
    <n v="3"/>
    <n v="1"/>
    <n v="10"/>
    <n v="2"/>
    <n v="1"/>
    <n v="4"/>
    <x v="2"/>
    <n v="3"/>
    <n v="0"/>
    <n v="2"/>
  </r>
  <r>
    <n v="40"/>
    <x v="1"/>
    <s v="Travel_Rarely"/>
    <n v="611"/>
    <x v="0"/>
    <n v="7"/>
    <n v="4"/>
    <s v="Medical"/>
    <n v="1740"/>
    <n v="2"/>
    <s v="Male"/>
    <n v="88"/>
    <n v="3"/>
    <n v="5"/>
    <x v="5"/>
    <x v="1"/>
    <s v="Single"/>
    <n v="19833"/>
    <x v="2"/>
    <n v="4349"/>
    <n v="1"/>
    <x v="1"/>
    <n v="14"/>
    <n v="3"/>
    <n v="2"/>
    <n v="0"/>
    <n v="21"/>
    <n v="3"/>
    <n v="2"/>
    <n v="21"/>
    <x v="3"/>
    <n v="8"/>
    <n v="12"/>
    <n v="8"/>
  </r>
  <r>
    <n v="45"/>
    <x v="1"/>
    <s v="Travel_Rarely"/>
    <n v="176"/>
    <x v="2"/>
    <n v="4"/>
    <n v="3"/>
    <s v="Life Sciences"/>
    <n v="1744"/>
    <n v="3"/>
    <s v="Female"/>
    <n v="56"/>
    <n v="1"/>
    <n v="3"/>
    <x v="8"/>
    <x v="2"/>
    <s v="Married"/>
    <n v="9756"/>
    <x v="2"/>
    <n v="6595"/>
    <n v="4"/>
    <x v="1"/>
    <n v="21"/>
    <n v="4"/>
    <n v="3"/>
    <n v="2"/>
    <n v="9"/>
    <n v="2"/>
    <n v="4"/>
    <n v="5"/>
    <x v="2"/>
    <n v="0"/>
    <n v="0"/>
    <n v="3"/>
  </r>
  <r>
    <n v="30"/>
    <x v="1"/>
    <s v="Travel_Frequently"/>
    <n v="1312"/>
    <x v="1"/>
    <n v="2"/>
    <n v="4"/>
    <s v="Technical Degree"/>
    <n v="1745"/>
    <n v="4"/>
    <s v="Female"/>
    <n v="78"/>
    <n v="2"/>
    <n v="1"/>
    <x v="1"/>
    <x v="3"/>
    <s v="Single"/>
    <n v="4968"/>
    <x v="0"/>
    <n v="26427"/>
    <n v="0"/>
    <x v="1"/>
    <n v="16"/>
    <n v="3"/>
    <n v="4"/>
    <n v="0"/>
    <n v="10"/>
    <n v="2"/>
    <n v="3"/>
    <n v="9"/>
    <x v="0"/>
    <n v="7"/>
    <n v="0"/>
    <n v="7"/>
  </r>
  <r>
    <n v="24"/>
    <x v="1"/>
    <s v="Travel_Frequently"/>
    <n v="897"/>
    <x v="2"/>
    <n v="10"/>
    <n v="3"/>
    <s v="Medical"/>
    <n v="1746"/>
    <n v="1"/>
    <s v="Male"/>
    <n v="59"/>
    <n v="3"/>
    <n v="1"/>
    <x v="8"/>
    <x v="0"/>
    <s v="Married"/>
    <n v="2145"/>
    <x v="1"/>
    <n v="2097"/>
    <n v="0"/>
    <x v="1"/>
    <n v="14"/>
    <n v="3"/>
    <n v="4"/>
    <n v="1"/>
    <n v="3"/>
    <n v="2"/>
    <n v="3"/>
    <n v="2"/>
    <x v="1"/>
    <n v="2"/>
    <n v="2"/>
    <n v="1"/>
  </r>
  <r>
    <n v="30"/>
    <x v="0"/>
    <s v="Travel_Frequently"/>
    <n v="600"/>
    <x v="2"/>
    <n v="8"/>
    <n v="3"/>
    <s v="Human Resources"/>
    <n v="1747"/>
    <n v="3"/>
    <s v="Female"/>
    <n v="66"/>
    <n v="2"/>
    <n v="1"/>
    <x v="8"/>
    <x v="0"/>
    <s v="Divorced"/>
    <n v="2180"/>
    <x v="1"/>
    <n v="9732"/>
    <n v="6"/>
    <x v="1"/>
    <n v="11"/>
    <n v="3"/>
    <n v="3"/>
    <n v="1"/>
    <n v="6"/>
    <n v="0"/>
    <n v="2"/>
    <n v="4"/>
    <x v="2"/>
    <n v="2"/>
    <n v="1"/>
    <n v="2"/>
  </r>
  <r>
    <n v="31"/>
    <x v="1"/>
    <s v="Travel_Rarely"/>
    <n v="1003"/>
    <x v="0"/>
    <n v="5"/>
    <n v="3"/>
    <s v="Technical Degree"/>
    <n v="1749"/>
    <n v="1"/>
    <s v="Male"/>
    <n v="51"/>
    <n v="3"/>
    <n v="2"/>
    <x v="0"/>
    <x v="2"/>
    <s v="Married"/>
    <n v="8346"/>
    <x v="2"/>
    <n v="20943"/>
    <n v="1"/>
    <x v="1"/>
    <n v="19"/>
    <n v="3"/>
    <n v="3"/>
    <n v="1"/>
    <n v="6"/>
    <n v="3"/>
    <n v="3"/>
    <n v="5"/>
    <x v="2"/>
    <n v="2"/>
    <n v="0"/>
    <n v="2"/>
  </r>
  <r>
    <n v="27"/>
    <x v="1"/>
    <s v="Travel_Rarely"/>
    <n v="1054"/>
    <x v="1"/>
    <n v="8"/>
    <n v="3"/>
    <s v="Medical"/>
    <n v="1751"/>
    <n v="3"/>
    <s v="Female"/>
    <n v="67"/>
    <n v="3"/>
    <n v="1"/>
    <x v="1"/>
    <x v="0"/>
    <s v="Single"/>
    <n v="3445"/>
    <x v="0"/>
    <n v="6152"/>
    <n v="1"/>
    <x v="1"/>
    <n v="11"/>
    <n v="3"/>
    <n v="3"/>
    <n v="0"/>
    <n v="6"/>
    <n v="5"/>
    <n v="2"/>
    <n v="6"/>
    <x v="0"/>
    <n v="2"/>
    <n v="1"/>
    <n v="4"/>
  </r>
  <r>
    <n v="29"/>
    <x v="0"/>
    <s v="Travel_Rarely"/>
    <n v="428"/>
    <x v="0"/>
    <n v="9"/>
    <n v="3"/>
    <s v="Marketing"/>
    <n v="1752"/>
    <n v="2"/>
    <s v="Female"/>
    <n v="52"/>
    <n v="1"/>
    <n v="1"/>
    <x v="6"/>
    <x v="1"/>
    <s v="Single"/>
    <n v="2760"/>
    <x v="1"/>
    <n v="14630"/>
    <n v="1"/>
    <x v="1"/>
    <n v="13"/>
    <n v="3"/>
    <n v="3"/>
    <n v="0"/>
    <n v="2"/>
    <n v="3"/>
    <n v="3"/>
    <n v="2"/>
    <x v="1"/>
    <n v="2"/>
    <n v="2"/>
    <n v="2"/>
  </r>
  <r>
    <n v="29"/>
    <x v="1"/>
    <s v="Travel_Frequently"/>
    <n v="461"/>
    <x v="1"/>
    <n v="1"/>
    <n v="3"/>
    <s v="Life Sciences"/>
    <n v="1753"/>
    <n v="4"/>
    <s v="Male"/>
    <n v="70"/>
    <n v="4"/>
    <n v="2"/>
    <x v="4"/>
    <x v="2"/>
    <s v="Single"/>
    <n v="6294"/>
    <x v="0"/>
    <n v="23060"/>
    <n v="8"/>
    <x v="0"/>
    <n v="12"/>
    <n v="3"/>
    <n v="4"/>
    <n v="0"/>
    <n v="10"/>
    <n v="5"/>
    <n v="4"/>
    <n v="3"/>
    <x v="2"/>
    <n v="2"/>
    <n v="0"/>
    <n v="2"/>
  </r>
  <r>
    <n v="30"/>
    <x v="1"/>
    <s v="Travel_Rarely"/>
    <n v="979"/>
    <x v="0"/>
    <n v="15"/>
    <n v="2"/>
    <s v="Marketing"/>
    <n v="1754"/>
    <n v="3"/>
    <s v="Male"/>
    <n v="94"/>
    <n v="2"/>
    <n v="3"/>
    <x v="0"/>
    <x v="3"/>
    <s v="Divorced"/>
    <n v="7140"/>
    <x v="2"/>
    <n v="3088"/>
    <n v="2"/>
    <x v="1"/>
    <n v="11"/>
    <n v="3"/>
    <n v="1"/>
    <n v="1"/>
    <n v="12"/>
    <n v="2"/>
    <n v="3"/>
    <n v="7"/>
    <x v="0"/>
    <n v="7"/>
    <n v="1"/>
    <n v="7"/>
  </r>
  <r>
    <n v="34"/>
    <x v="1"/>
    <s v="Travel_Rarely"/>
    <n v="181"/>
    <x v="1"/>
    <n v="2"/>
    <n v="4"/>
    <s v="Medical"/>
    <n v="1755"/>
    <n v="4"/>
    <s v="Male"/>
    <n v="97"/>
    <n v="4"/>
    <n v="1"/>
    <x v="1"/>
    <x v="0"/>
    <s v="Married"/>
    <n v="2932"/>
    <x v="1"/>
    <n v="5586"/>
    <n v="0"/>
    <x v="0"/>
    <n v="14"/>
    <n v="3"/>
    <n v="1"/>
    <n v="3"/>
    <n v="6"/>
    <n v="3"/>
    <n v="3"/>
    <n v="5"/>
    <x v="2"/>
    <n v="0"/>
    <n v="1"/>
    <n v="2"/>
  </r>
  <r>
    <n v="33"/>
    <x v="1"/>
    <s v="Non-Travel"/>
    <n v="1283"/>
    <x v="0"/>
    <n v="2"/>
    <n v="3"/>
    <s v="Marketing"/>
    <n v="1756"/>
    <n v="4"/>
    <s v="Female"/>
    <n v="62"/>
    <n v="3"/>
    <n v="2"/>
    <x v="0"/>
    <x v="1"/>
    <s v="Single"/>
    <n v="5147"/>
    <x v="0"/>
    <n v="10697"/>
    <n v="8"/>
    <x v="1"/>
    <n v="15"/>
    <n v="3"/>
    <n v="4"/>
    <n v="0"/>
    <n v="13"/>
    <n v="2"/>
    <n v="2"/>
    <n v="11"/>
    <x v="3"/>
    <n v="7"/>
    <n v="1"/>
    <n v="7"/>
  </r>
  <r>
    <n v="49"/>
    <x v="1"/>
    <s v="Travel_Rarely"/>
    <n v="1313"/>
    <x v="0"/>
    <n v="11"/>
    <n v="4"/>
    <s v="Marketing"/>
    <n v="1757"/>
    <n v="4"/>
    <s v="Female"/>
    <n v="80"/>
    <n v="3"/>
    <n v="2"/>
    <x v="0"/>
    <x v="0"/>
    <s v="Single"/>
    <n v="4507"/>
    <x v="0"/>
    <n v="8191"/>
    <n v="3"/>
    <x v="1"/>
    <n v="12"/>
    <n v="3"/>
    <n v="3"/>
    <n v="0"/>
    <n v="8"/>
    <n v="1"/>
    <n v="4"/>
    <n v="5"/>
    <x v="2"/>
    <n v="1"/>
    <n v="0"/>
    <n v="4"/>
  </r>
  <r>
    <n v="33"/>
    <x v="0"/>
    <s v="Travel_Rarely"/>
    <n v="211"/>
    <x v="0"/>
    <n v="16"/>
    <n v="3"/>
    <s v="Life Sciences"/>
    <n v="1758"/>
    <n v="1"/>
    <s v="Female"/>
    <n v="74"/>
    <n v="3"/>
    <n v="3"/>
    <x v="0"/>
    <x v="3"/>
    <s v="Single"/>
    <n v="8564"/>
    <x v="2"/>
    <n v="10092"/>
    <n v="2"/>
    <x v="0"/>
    <n v="20"/>
    <n v="4"/>
    <n v="3"/>
    <n v="0"/>
    <n v="11"/>
    <n v="2"/>
    <n v="2"/>
    <n v="0"/>
    <x v="1"/>
    <n v="0"/>
    <n v="0"/>
    <n v="0"/>
  </r>
  <r>
    <n v="38"/>
    <x v="1"/>
    <s v="Travel_Frequently"/>
    <n v="594"/>
    <x v="1"/>
    <n v="2"/>
    <n v="2"/>
    <s v="Medical"/>
    <n v="1760"/>
    <n v="3"/>
    <s v="Female"/>
    <n v="75"/>
    <n v="2"/>
    <n v="1"/>
    <x v="2"/>
    <x v="1"/>
    <s v="Married"/>
    <n v="2468"/>
    <x v="1"/>
    <n v="15963"/>
    <n v="4"/>
    <x v="1"/>
    <n v="14"/>
    <n v="3"/>
    <n v="2"/>
    <n v="1"/>
    <n v="9"/>
    <n v="4"/>
    <n v="2"/>
    <n v="6"/>
    <x v="0"/>
    <n v="1"/>
    <n v="0"/>
    <n v="5"/>
  </r>
  <r>
    <n v="31"/>
    <x v="0"/>
    <s v="Travel_Rarely"/>
    <n v="1079"/>
    <x v="0"/>
    <n v="16"/>
    <n v="4"/>
    <s v="Marketing"/>
    <n v="1761"/>
    <n v="1"/>
    <s v="Male"/>
    <n v="70"/>
    <n v="3"/>
    <n v="3"/>
    <x v="0"/>
    <x v="2"/>
    <s v="Married"/>
    <n v="8161"/>
    <x v="2"/>
    <n v="19002"/>
    <n v="2"/>
    <x v="1"/>
    <n v="13"/>
    <n v="3"/>
    <n v="1"/>
    <n v="3"/>
    <n v="10"/>
    <n v="2"/>
    <n v="3"/>
    <n v="1"/>
    <x v="1"/>
    <n v="0"/>
    <n v="0"/>
    <n v="0"/>
  </r>
  <r>
    <n v="29"/>
    <x v="1"/>
    <s v="Travel_Rarely"/>
    <n v="590"/>
    <x v="1"/>
    <n v="4"/>
    <n v="3"/>
    <s v="Technical Degree"/>
    <n v="1762"/>
    <n v="4"/>
    <s v="Female"/>
    <n v="91"/>
    <n v="2"/>
    <n v="1"/>
    <x v="1"/>
    <x v="3"/>
    <s v="Divorced"/>
    <n v="2109"/>
    <x v="1"/>
    <n v="10007"/>
    <n v="1"/>
    <x v="1"/>
    <n v="13"/>
    <n v="3"/>
    <n v="3"/>
    <n v="1"/>
    <n v="1"/>
    <n v="2"/>
    <n v="3"/>
    <n v="1"/>
    <x v="1"/>
    <n v="0"/>
    <n v="0"/>
    <n v="0"/>
  </r>
  <r>
    <n v="30"/>
    <x v="1"/>
    <s v="Travel_Rarely"/>
    <n v="305"/>
    <x v="1"/>
    <n v="16"/>
    <n v="3"/>
    <s v="Life Sciences"/>
    <n v="1763"/>
    <n v="3"/>
    <s v="Male"/>
    <n v="58"/>
    <n v="4"/>
    <n v="2"/>
    <x v="4"/>
    <x v="2"/>
    <s v="Married"/>
    <n v="5294"/>
    <x v="0"/>
    <n v="9128"/>
    <n v="3"/>
    <x v="1"/>
    <n v="16"/>
    <n v="3"/>
    <n v="3"/>
    <n v="1"/>
    <n v="10"/>
    <n v="3"/>
    <n v="3"/>
    <n v="7"/>
    <x v="0"/>
    <n v="0"/>
    <n v="1"/>
    <n v="7"/>
  </r>
  <r>
    <n v="32"/>
    <x v="1"/>
    <s v="Non-Travel"/>
    <n v="953"/>
    <x v="1"/>
    <n v="5"/>
    <n v="4"/>
    <s v="Technical Degree"/>
    <n v="1764"/>
    <n v="2"/>
    <s v="Male"/>
    <n v="65"/>
    <n v="3"/>
    <n v="1"/>
    <x v="1"/>
    <x v="1"/>
    <s v="Single"/>
    <n v="2718"/>
    <x v="1"/>
    <n v="17674"/>
    <n v="2"/>
    <x v="1"/>
    <n v="14"/>
    <n v="3"/>
    <n v="2"/>
    <n v="0"/>
    <n v="12"/>
    <n v="3"/>
    <n v="3"/>
    <n v="7"/>
    <x v="0"/>
    <n v="7"/>
    <n v="0"/>
    <n v="7"/>
  </r>
  <r>
    <n v="38"/>
    <x v="1"/>
    <s v="Travel_Rarely"/>
    <n v="833"/>
    <x v="1"/>
    <n v="18"/>
    <n v="3"/>
    <s v="Medical"/>
    <n v="1766"/>
    <n v="2"/>
    <s v="Male"/>
    <n v="60"/>
    <n v="1"/>
    <n v="2"/>
    <x v="4"/>
    <x v="0"/>
    <s v="Married"/>
    <n v="5811"/>
    <x v="0"/>
    <n v="24539"/>
    <n v="3"/>
    <x v="0"/>
    <n v="16"/>
    <n v="3"/>
    <n v="3"/>
    <n v="1"/>
    <n v="15"/>
    <n v="2"/>
    <n v="3"/>
    <n v="1"/>
    <x v="1"/>
    <n v="0"/>
    <n v="1"/>
    <n v="0"/>
  </r>
  <r>
    <n v="43"/>
    <x v="0"/>
    <s v="Travel_Frequently"/>
    <n v="807"/>
    <x v="1"/>
    <n v="17"/>
    <n v="3"/>
    <s v="Technical Degree"/>
    <n v="1767"/>
    <n v="3"/>
    <s v="Male"/>
    <n v="38"/>
    <n v="2"/>
    <n v="1"/>
    <x v="1"/>
    <x v="2"/>
    <s v="Married"/>
    <n v="2437"/>
    <x v="1"/>
    <n v="15587"/>
    <n v="9"/>
    <x v="0"/>
    <n v="16"/>
    <n v="3"/>
    <n v="4"/>
    <n v="1"/>
    <n v="6"/>
    <n v="4"/>
    <n v="3"/>
    <n v="1"/>
    <x v="1"/>
    <n v="0"/>
    <n v="0"/>
    <n v="0"/>
  </r>
  <r>
    <n v="42"/>
    <x v="1"/>
    <s v="Travel_Rarely"/>
    <n v="855"/>
    <x v="1"/>
    <n v="12"/>
    <n v="3"/>
    <s v="Medical"/>
    <n v="1768"/>
    <n v="2"/>
    <s v="Male"/>
    <n v="57"/>
    <n v="3"/>
    <n v="1"/>
    <x v="2"/>
    <x v="1"/>
    <s v="Divorced"/>
    <n v="2766"/>
    <x v="1"/>
    <n v="8952"/>
    <n v="8"/>
    <x v="1"/>
    <n v="22"/>
    <n v="4"/>
    <n v="2"/>
    <n v="3"/>
    <n v="7"/>
    <n v="6"/>
    <n v="2"/>
    <n v="5"/>
    <x v="2"/>
    <n v="3"/>
    <n v="0"/>
    <n v="4"/>
  </r>
  <r>
    <n v="55"/>
    <x v="1"/>
    <s v="Travel_Rarely"/>
    <n v="478"/>
    <x v="1"/>
    <n v="2"/>
    <n v="3"/>
    <s v="Medical"/>
    <n v="1770"/>
    <n v="3"/>
    <s v="Male"/>
    <n v="60"/>
    <n v="2"/>
    <n v="5"/>
    <x v="7"/>
    <x v="3"/>
    <s v="Married"/>
    <n v="19038"/>
    <x v="2"/>
    <n v="19805"/>
    <n v="8"/>
    <x v="1"/>
    <n v="12"/>
    <n v="3"/>
    <n v="2"/>
    <n v="3"/>
    <n v="34"/>
    <n v="2"/>
    <n v="3"/>
    <n v="1"/>
    <x v="1"/>
    <n v="0"/>
    <n v="0"/>
    <n v="0"/>
  </r>
  <r>
    <n v="33"/>
    <x v="1"/>
    <s v="Non-Travel"/>
    <n v="775"/>
    <x v="1"/>
    <n v="4"/>
    <n v="3"/>
    <s v="Technical Degree"/>
    <n v="1771"/>
    <n v="4"/>
    <s v="Male"/>
    <n v="90"/>
    <n v="3"/>
    <n v="2"/>
    <x v="1"/>
    <x v="1"/>
    <s v="Divorced"/>
    <n v="3055"/>
    <x v="0"/>
    <n v="6194"/>
    <n v="5"/>
    <x v="1"/>
    <n v="15"/>
    <n v="3"/>
    <n v="4"/>
    <n v="2"/>
    <n v="11"/>
    <n v="2"/>
    <n v="2"/>
    <n v="9"/>
    <x v="0"/>
    <n v="8"/>
    <n v="1"/>
    <n v="7"/>
  </r>
  <r>
    <n v="41"/>
    <x v="1"/>
    <s v="Travel_Rarely"/>
    <n v="548"/>
    <x v="1"/>
    <n v="9"/>
    <n v="4"/>
    <s v="Life Sciences"/>
    <n v="1772"/>
    <n v="3"/>
    <s v="Male"/>
    <n v="94"/>
    <n v="3"/>
    <n v="1"/>
    <x v="2"/>
    <x v="3"/>
    <s v="Divorced"/>
    <n v="2289"/>
    <x v="1"/>
    <n v="20520"/>
    <n v="1"/>
    <x v="1"/>
    <n v="20"/>
    <n v="4"/>
    <n v="2"/>
    <n v="2"/>
    <n v="5"/>
    <n v="2"/>
    <n v="3"/>
    <n v="5"/>
    <x v="2"/>
    <n v="3"/>
    <n v="0"/>
    <n v="4"/>
  </r>
  <r>
    <n v="34"/>
    <x v="1"/>
    <s v="Non-Travel"/>
    <n v="1375"/>
    <x v="0"/>
    <n v="10"/>
    <n v="3"/>
    <s v="Life Sciences"/>
    <n v="1774"/>
    <n v="4"/>
    <s v="Male"/>
    <n v="87"/>
    <n v="3"/>
    <n v="2"/>
    <x v="0"/>
    <x v="2"/>
    <s v="Divorced"/>
    <n v="4001"/>
    <x v="0"/>
    <n v="12313"/>
    <n v="1"/>
    <x v="0"/>
    <n v="14"/>
    <n v="3"/>
    <n v="3"/>
    <n v="1"/>
    <n v="15"/>
    <n v="3"/>
    <n v="3"/>
    <n v="15"/>
    <x v="3"/>
    <n v="14"/>
    <n v="0"/>
    <n v="7"/>
  </r>
  <r>
    <n v="53"/>
    <x v="1"/>
    <s v="Non-Travel"/>
    <n v="661"/>
    <x v="1"/>
    <n v="1"/>
    <n v="4"/>
    <s v="Medical"/>
    <n v="1775"/>
    <n v="1"/>
    <s v="Female"/>
    <n v="60"/>
    <n v="2"/>
    <n v="4"/>
    <x v="3"/>
    <x v="2"/>
    <s v="Married"/>
    <n v="12965"/>
    <x v="2"/>
    <n v="22308"/>
    <n v="4"/>
    <x v="0"/>
    <n v="20"/>
    <n v="4"/>
    <n v="4"/>
    <n v="3"/>
    <n v="27"/>
    <n v="2"/>
    <n v="2"/>
    <n v="3"/>
    <x v="2"/>
    <n v="2"/>
    <n v="0"/>
    <n v="2"/>
  </r>
  <r>
    <n v="43"/>
    <x v="1"/>
    <s v="Travel_Rarely"/>
    <n v="244"/>
    <x v="2"/>
    <n v="2"/>
    <n v="3"/>
    <s v="Life Sciences"/>
    <n v="1778"/>
    <n v="2"/>
    <s v="Male"/>
    <n v="97"/>
    <n v="3"/>
    <n v="1"/>
    <x v="8"/>
    <x v="0"/>
    <s v="Single"/>
    <n v="3539"/>
    <x v="0"/>
    <n v="5033"/>
    <n v="0"/>
    <x v="1"/>
    <n v="13"/>
    <n v="3"/>
    <n v="2"/>
    <n v="0"/>
    <n v="10"/>
    <n v="5"/>
    <n v="3"/>
    <n v="9"/>
    <x v="0"/>
    <n v="7"/>
    <n v="1"/>
    <n v="8"/>
  </r>
  <r>
    <n v="34"/>
    <x v="1"/>
    <s v="Travel_Rarely"/>
    <n v="511"/>
    <x v="0"/>
    <n v="3"/>
    <n v="2"/>
    <s v="Life Sciences"/>
    <n v="1779"/>
    <n v="4"/>
    <s v="Female"/>
    <n v="32"/>
    <n v="1"/>
    <n v="2"/>
    <x v="0"/>
    <x v="0"/>
    <s v="Single"/>
    <n v="6029"/>
    <x v="0"/>
    <n v="25353"/>
    <n v="5"/>
    <x v="1"/>
    <n v="12"/>
    <n v="3"/>
    <n v="1"/>
    <n v="0"/>
    <n v="6"/>
    <n v="3"/>
    <n v="3"/>
    <n v="2"/>
    <x v="1"/>
    <n v="2"/>
    <n v="2"/>
    <n v="2"/>
  </r>
  <r>
    <n v="21"/>
    <x v="0"/>
    <s v="Travel_Rarely"/>
    <n v="337"/>
    <x v="0"/>
    <n v="7"/>
    <n v="1"/>
    <s v="Marketing"/>
    <n v="1780"/>
    <n v="2"/>
    <s v="Male"/>
    <n v="31"/>
    <n v="3"/>
    <n v="1"/>
    <x v="6"/>
    <x v="1"/>
    <s v="Single"/>
    <n v="2679"/>
    <x v="1"/>
    <n v="4567"/>
    <n v="1"/>
    <x v="1"/>
    <n v="13"/>
    <n v="3"/>
    <n v="2"/>
    <n v="0"/>
    <n v="1"/>
    <n v="3"/>
    <n v="3"/>
    <n v="1"/>
    <x v="1"/>
    <n v="0"/>
    <n v="1"/>
    <n v="0"/>
  </r>
  <r>
    <n v="38"/>
    <x v="1"/>
    <s v="Travel_Rarely"/>
    <n v="1153"/>
    <x v="1"/>
    <n v="6"/>
    <n v="2"/>
    <s v="Other"/>
    <n v="1782"/>
    <n v="4"/>
    <s v="Female"/>
    <n v="40"/>
    <n v="2"/>
    <n v="1"/>
    <x v="2"/>
    <x v="2"/>
    <s v="Married"/>
    <n v="3702"/>
    <x v="0"/>
    <n v="16376"/>
    <n v="1"/>
    <x v="1"/>
    <n v="11"/>
    <n v="3"/>
    <n v="2"/>
    <n v="1"/>
    <n v="5"/>
    <n v="3"/>
    <n v="3"/>
    <n v="5"/>
    <x v="2"/>
    <n v="4"/>
    <n v="0"/>
    <n v="4"/>
  </r>
  <r>
    <n v="22"/>
    <x v="0"/>
    <s v="Travel_Rarely"/>
    <n v="1294"/>
    <x v="1"/>
    <n v="8"/>
    <n v="1"/>
    <s v="Medical"/>
    <n v="1783"/>
    <n v="3"/>
    <s v="Female"/>
    <n v="79"/>
    <n v="3"/>
    <n v="1"/>
    <x v="2"/>
    <x v="3"/>
    <s v="Married"/>
    <n v="2398"/>
    <x v="1"/>
    <n v="15999"/>
    <n v="1"/>
    <x v="0"/>
    <n v="17"/>
    <n v="3"/>
    <n v="3"/>
    <n v="0"/>
    <n v="1"/>
    <n v="6"/>
    <n v="3"/>
    <n v="1"/>
    <x v="1"/>
    <n v="0"/>
    <n v="0"/>
    <n v="0"/>
  </r>
  <r>
    <n v="31"/>
    <x v="1"/>
    <s v="Travel_Rarely"/>
    <n v="196"/>
    <x v="0"/>
    <n v="29"/>
    <n v="4"/>
    <s v="Marketing"/>
    <n v="1784"/>
    <n v="1"/>
    <s v="Female"/>
    <n v="91"/>
    <n v="2"/>
    <n v="2"/>
    <x v="0"/>
    <x v="0"/>
    <s v="Married"/>
    <n v="5468"/>
    <x v="0"/>
    <n v="13402"/>
    <n v="1"/>
    <x v="1"/>
    <n v="14"/>
    <n v="3"/>
    <n v="1"/>
    <n v="2"/>
    <n v="13"/>
    <n v="3"/>
    <n v="3"/>
    <n v="12"/>
    <x v="3"/>
    <n v="7"/>
    <n v="5"/>
    <n v="7"/>
  </r>
  <r>
    <n v="51"/>
    <x v="1"/>
    <s v="Travel_Rarely"/>
    <n v="942"/>
    <x v="1"/>
    <n v="3"/>
    <n v="3"/>
    <s v="Technical Degree"/>
    <n v="1786"/>
    <n v="1"/>
    <s v="Female"/>
    <n v="53"/>
    <n v="3"/>
    <n v="3"/>
    <x v="5"/>
    <x v="2"/>
    <s v="Married"/>
    <n v="13116"/>
    <x v="2"/>
    <n v="22984"/>
    <n v="2"/>
    <x v="1"/>
    <n v="11"/>
    <n v="3"/>
    <n v="4"/>
    <n v="0"/>
    <n v="15"/>
    <n v="2"/>
    <n v="3"/>
    <n v="2"/>
    <x v="1"/>
    <n v="2"/>
    <n v="2"/>
    <n v="2"/>
  </r>
  <r>
    <n v="37"/>
    <x v="1"/>
    <s v="Travel_Rarely"/>
    <n v="589"/>
    <x v="0"/>
    <n v="9"/>
    <n v="2"/>
    <s v="Marketing"/>
    <n v="1787"/>
    <n v="2"/>
    <s v="Male"/>
    <n v="46"/>
    <n v="2"/>
    <n v="2"/>
    <x v="0"/>
    <x v="1"/>
    <s v="Married"/>
    <n v="4189"/>
    <x v="0"/>
    <n v="8800"/>
    <n v="1"/>
    <x v="1"/>
    <n v="14"/>
    <n v="3"/>
    <n v="1"/>
    <n v="2"/>
    <n v="5"/>
    <n v="2"/>
    <n v="3"/>
    <n v="5"/>
    <x v="2"/>
    <n v="2"/>
    <n v="0"/>
    <n v="3"/>
  </r>
  <r>
    <n v="46"/>
    <x v="1"/>
    <s v="Travel_Rarely"/>
    <n v="734"/>
    <x v="1"/>
    <n v="2"/>
    <n v="4"/>
    <s v="Medical"/>
    <n v="1789"/>
    <n v="3"/>
    <s v="Male"/>
    <n v="46"/>
    <n v="3"/>
    <n v="5"/>
    <x v="7"/>
    <x v="0"/>
    <s v="Divorced"/>
    <n v="19328"/>
    <x v="2"/>
    <n v="14218"/>
    <n v="7"/>
    <x v="0"/>
    <n v="17"/>
    <n v="3"/>
    <n v="3"/>
    <n v="1"/>
    <n v="24"/>
    <n v="3"/>
    <n v="3"/>
    <n v="2"/>
    <x v="1"/>
    <n v="1"/>
    <n v="2"/>
    <n v="2"/>
  </r>
  <r>
    <n v="36"/>
    <x v="1"/>
    <s v="Travel_Rarely"/>
    <n v="1383"/>
    <x v="1"/>
    <n v="10"/>
    <n v="3"/>
    <s v="Life Sciences"/>
    <n v="1790"/>
    <n v="4"/>
    <s v="Male"/>
    <n v="90"/>
    <n v="3"/>
    <n v="3"/>
    <x v="4"/>
    <x v="3"/>
    <s v="Married"/>
    <n v="8321"/>
    <x v="2"/>
    <n v="25949"/>
    <n v="7"/>
    <x v="0"/>
    <n v="13"/>
    <n v="3"/>
    <n v="4"/>
    <n v="1"/>
    <n v="15"/>
    <n v="1"/>
    <n v="3"/>
    <n v="12"/>
    <x v="3"/>
    <n v="8"/>
    <n v="5"/>
    <n v="7"/>
  </r>
  <r>
    <n v="44"/>
    <x v="0"/>
    <s v="Travel_Frequently"/>
    <n v="429"/>
    <x v="1"/>
    <n v="1"/>
    <n v="2"/>
    <s v="Medical"/>
    <n v="1792"/>
    <n v="3"/>
    <s v="Male"/>
    <n v="99"/>
    <n v="3"/>
    <n v="1"/>
    <x v="1"/>
    <x v="1"/>
    <s v="Divorced"/>
    <n v="2342"/>
    <x v="1"/>
    <n v="11092"/>
    <n v="1"/>
    <x v="0"/>
    <n v="12"/>
    <n v="3"/>
    <n v="3"/>
    <n v="3"/>
    <n v="6"/>
    <n v="2"/>
    <n v="2"/>
    <n v="5"/>
    <x v="2"/>
    <n v="3"/>
    <n v="2"/>
    <n v="3"/>
  </r>
  <r>
    <n v="37"/>
    <x v="1"/>
    <s v="Travel_Rarely"/>
    <n v="1239"/>
    <x v="2"/>
    <n v="8"/>
    <n v="2"/>
    <s v="Other"/>
    <n v="1794"/>
    <n v="3"/>
    <s v="Male"/>
    <n v="89"/>
    <n v="3"/>
    <n v="2"/>
    <x v="8"/>
    <x v="1"/>
    <s v="Divorced"/>
    <n v="4071"/>
    <x v="0"/>
    <n v="12832"/>
    <n v="2"/>
    <x v="1"/>
    <n v="13"/>
    <n v="3"/>
    <n v="3"/>
    <n v="0"/>
    <n v="19"/>
    <n v="4"/>
    <n v="2"/>
    <n v="10"/>
    <x v="0"/>
    <n v="0"/>
    <n v="4"/>
    <n v="7"/>
  </r>
  <r>
    <n v="35"/>
    <x v="0"/>
    <s v="Travel_Rarely"/>
    <n v="303"/>
    <x v="0"/>
    <n v="27"/>
    <n v="3"/>
    <s v="Life Sciences"/>
    <n v="1797"/>
    <n v="3"/>
    <s v="Male"/>
    <n v="84"/>
    <n v="3"/>
    <n v="2"/>
    <x v="0"/>
    <x v="0"/>
    <s v="Single"/>
    <n v="5813"/>
    <x v="0"/>
    <n v="13492"/>
    <n v="1"/>
    <x v="0"/>
    <n v="18"/>
    <n v="3"/>
    <n v="4"/>
    <n v="0"/>
    <n v="10"/>
    <n v="2"/>
    <n v="3"/>
    <n v="10"/>
    <x v="0"/>
    <n v="7"/>
    <n v="7"/>
    <n v="7"/>
  </r>
  <r>
    <n v="33"/>
    <x v="1"/>
    <s v="Travel_Rarely"/>
    <n v="867"/>
    <x v="1"/>
    <n v="8"/>
    <n v="4"/>
    <s v="Life Sciences"/>
    <n v="1798"/>
    <n v="4"/>
    <s v="Male"/>
    <n v="90"/>
    <n v="4"/>
    <n v="1"/>
    <x v="1"/>
    <x v="3"/>
    <s v="Married"/>
    <n v="3143"/>
    <x v="0"/>
    <n v="6076"/>
    <n v="6"/>
    <x v="1"/>
    <n v="19"/>
    <n v="3"/>
    <n v="2"/>
    <n v="1"/>
    <n v="14"/>
    <n v="1"/>
    <n v="3"/>
    <n v="10"/>
    <x v="0"/>
    <n v="8"/>
    <n v="7"/>
    <n v="6"/>
  </r>
  <r>
    <n v="28"/>
    <x v="1"/>
    <s v="Travel_Rarely"/>
    <n v="1181"/>
    <x v="1"/>
    <n v="1"/>
    <n v="3"/>
    <s v="Life Sciences"/>
    <n v="1799"/>
    <n v="3"/>
    <s v="Male"/>
    <n v="82"/>
    <n v="3"/>
    <n v="1"/>
    <x v="1"/>
    <x v="0"/>
    <s v="Married"/>
    <n v="2044"/>
    <x v="1"/>
    <n v="5531"/>
    <n v="1"/>
    <x v="1"/>
    <n v="11"/>
    <n v="3"/>
    <n v="3"/>
    <n v="1"/>
    <n v="5"/>
    <n v="6"/>
    <n v="4"/>
    <n v="5"/>
    <x v="2"/>
    <n v="3"/>
    <n v="0"/>
    <n v="3"/>
  </r>
  <r>
    <n v="39"/>
    <x v="1"/>
    <s v="Travel_Rarely"/>
    <n v="1253"/>
    <x v="1"/>
    <n v="10"/>
    <n v="1"/>
    <s v="Medical"/>
    <n v="1800"/>
    <n v="3"/>
    <s v="Male"/>
    <n v="65"/>
    <n v="3"/>
    <n v="3"/>
    <x v="7"/>
    <x v="2"/>
    <s v="Single"/>
    <n v="13464"/>
    <x v="2"/>
    <n v="7914"/>
    <n v="7"/>
    <x v="1"/>
    <n v="21"/>
    <n v="4"/>
    <n v="3"/>
    <n v="0"/>
    <n v="9"/>
    <n v="3"/>
    <n v="3"/>
    <n v="4"/>
    <x v="2"/>
    <n v="3"/>
    <n v="2"/>
    <n v="2"/>
  </r>
  <r>
    <n v="46"/>
    <x v="1"/>
    <s v="Non-Travel"/>
    <n v="849"/>
    <x v="0"/>
    <n v="26"/>
    <n v="2"/>
    <s v="Life Sciences"/>
    <n v="1801"/>
    <n v="2"/>
    <s v="Male"/>
    <n v="98"/>
    <n v="2"/>
    <n v="2"/>
    <x v="0"/>
    <x v="1"/>
    <s v="Single"/>
    <n v="7991"/>
    <x v="2"/>
    <n v="25166"/>
    <n v="8"/>
    <x v="1"/>
    <n v="15"/>
    <n v="3"/>
    <n v="3"/>
    <n v="0"/>
    <n v="6"/>
    <n v="3"/>
    <n v="3"/>
    <n v="2"/>
    <x v="1"/>
    <n v="2"/>
    <n v="2"/>
    <n v="2"/>
  </r>
  <r>
    <n v="40"/>
    <x v="1"/>
    <s v="Travel_Rarely"/>
    <n v="616"/>
    <x v="1"/>
    <n v="2"/>
    <n v="2"/>
    <s v="Life Sciences"/>
    <n v="1802"/>
    <n v="3"/>
    <s v="Female"/>
    <n v="99"/>
    <n v="3"/>
    <n v="1"/>
    <x v="2"/>
    <x v="3"/>
    <s v="Married"/>
    <n v="3377"/>
    <x v="0"/>
    <n v="25605"/>
    <n v="4"/>
    <x v="1"/>
    <n v="17"/>
    <n v="3"/>
    <n v="4"/>
    <n v="1"/>
    <n v="7"/>
    <n v="5"/>
    <n v="2"/>
    <n v="4"/>
    <x v="2"/>
    <n v="3"/>
    <n v="0"/>
    <n v="2"/>
  </r>
  <r>
    <n v="42"/>
    <x v="1"/>
    <s v="Travel_Rarely"/>
    <n v="1128"/>
    <x v="1"/>
    <n v="13"/>
    <n v="3"/>
    <s v="Medical"/>
    <n v="1803"/>
    <n v="2"/>
    <s v="Male"/>
    <n v="95"/>
    <n v="4"/>
    <n v="2"/>
    <x v="4"/>
    <x v="3"/>
    <s v="Married"/>
    <n v="5538"/>
    <x v="0"/>
    <n v="5696"/>
    <n v="5"/>
    <x v="1"/>
    <n v="18"/>
    <n v="3"/>
    <n v="3"/>
    <n v="2"/>
    <n v="10"/>
    <n v="2"/>
    <n v="2"/>
    <n v="0"/>
    <x v="1"/>
    <n v="0"/>
    <n v="0"/>
    <n v="0"/>
  </r>
  <r>
    <n v="35"/>
    <x v="1"/>
    <s v="Non-Travel"/>
    <n v="1180"/>
    <x v="1"/>
    <n v="2"/>
    <n v="2"/>
    <s v="Medical"/>
    <n v="1804"/>
    <n v="2"/>
    <s v="Male"/>
    <n v="90"/>
    <n v="3"/>
    <n v="2"/>
    <x v="3"/>
    <x v="0"/>
    <s v="Divorced"/>
    <n v="5762"/>
    <x v="0"/>
    <n v="24442"/>
    <n v="2"/>
    <x v="1"/>
    <n v="14"/>
    <n v="3"/>
    <n v="3"/>
    <n v="1"/>
    <n v="15"/>
    <n v="6"/>
    <n v="3"/>
    <n v="7"/>
    <x v="0"/>
    <n v="7"/>
    <n v="1"/>
    <n v="7"/>
  </r>
  <r>
    <n v="38"/>
    <x v="1"/>
    <s v="Non-Travel"/>
    <n v="1336"/>
    <x v="2"/>
    <n v="2"/>
    <n v="3"/>
    <s v="Human Resources"/>
    <n v="1805"/>
    <n v="1"/>
    <s v="Male"/>
    <n v="100"/>
    <n v="3"/>
    <n v="1"/>
    <x v="8"/>
    <x v="1"/>
    <s v="Divorced"/>
    <n v="2592"/>
    <x v="1"/>
    <n v="7129"/>
    <n v="5"/>
    <x v="1"/>
    <n v="13"/>
    <n v="3"/>
    <n v="4"/>
    <n v="3"/>
    <n v="13"/>
    <n v="3"/>
    <n v="3"/>
    <n v="11"/>
    <x v="3"/>
    <n v="10"/>
    <n v="3"/>
    <n v="8"/>
  </r>
  <r>
    <n v="34"/>
    <x v="0"/>
    <s v="Travel_Frequently"/>
    <n v="234"/>
    <x v="1"/>
    <n v="9"/>
    <n v="4"/>
    <s v="Life Sciences"/>
    <n v="1807"/>
    <n v="4"/>
    <s v="Male"/>
    <n v="93"/>
    <n v="3"/>
    <n v="2"/>
    <x v="2"/>
    <x v="3"/>
    <s v="Married"/>
    <n v="5346"/>
    <x v="0"/>
    <n v="6208"/>
    <n v="4"/>
    <x v="1"/>
    <n v="17"/>
    <n v="3"/>
    <n v="3"/>
    <n v="1"/>
    <n v="11"/>
    <n v="3"/>
    <n v="2"/>
    <n v="7"/>
    <x v="0"/>
    <n v="1"/>
    <n v="0"/>
    <n v="7"/>
  </r>
  <r>
    <n v="37"/>
    <x v="0"/>
    <s v="Travel_Rarely"/>
    <n v="370"/>
    <x v="1"/>
    <n v="10"/>
    <n v="4"/>
    <s v="Medical"/>
    <n v="1809"/>
    <n v="4"/>
    <s v="Male"/>
    <n v="58"/>
    <n v="3"/>
    <n v="2"/>
    <x v="3"/>
    <x v="3"/>
    <s v="Single"/>
    <n v="4213"/>
    <x v="0"/>
    <n v="4992"/>
    <n v="1"/>
    <x v="1"/>
    <n v="15"/>
    <n v="3"/>
    <n v="2"/>
    <n v="0"/>
    <n v="10"/>
    <n v="4"/>
    <n v="1"/>
    <n v="10"/>
    <x v="0"/>
    <n v="3"/>
    <n v="0"/>
    <n v="8"/>
  </r>
  <r>
    <n v="39"/>
    <x v="1"/>
    <s v="Travel_Frequently"/>
    <n v="766"/>
    <x v="0"/>
    <n v="20"/>
    <n v="3"/>
    <s v="Life Sciences"/>
    <n v="1812"/>
    <n v="3"/>
    <s v="Male"/>
    <n v="83"/>
    <n v="3"/>
    <n v="2"/>
    <x v="0"/>
    <x v="0"/>
    <s v="Divorced"/>
    <n v="4127"/>
    <x v="0"/>
    <n v="19188"/>
    <n v="2"/>
    <x v="1"/>
    <n v="18"/>
    <n v="3"/>
    <n v="4"/>
    <n v="1"/>
    <n v="7"/>
    <n v="6"/>
    <n v="3"/>
    <n v="2"/>
    <x v="1"/>
    <n v="1"/>
    <n v="2"/>
    <n v="2"/>
  </r>
  <r>
    <n v="43"/>
    <x v="1"/>
    <s v="Non-Travel"/>
    <n v="343"/>
    <x v="1"/>
    <n v="9"/>
    <n v="3"/>
    <s v="Life Sciences"/>
    <n v="1813"/>
    <n v="1"/>
    <s v="Male"/>
    <n v="52"/>
    <n v="3"/>
    <n v="1"/>
    <x v="1"/>
    <x v="2"/>
    <s v="Single"/>
    <n v="2438"/>
    <x v="1"/>
    <n v="24978"/>
    <n v="4"/>
    <x v="1"/>
    <n v="13"/>
    <n v="3"/>
    <n v="3"/>
    <n v="0"/>
    <n v="7"/>
    <n v="2"/>
    <n v="2"/>
    <n v="3"/>
    <x v="2"/>
    <n v="2"/>
    <n v="1"/>
    <n v="2"/>
  </r>
  <r>
    <n v="41"/>
    <x v="1"/>
    <s v="Travel_Rarely"/>
    <n v="447"/>
    <x v="1"/>
    <n v="5"/>
    <n v="3"/>
    <s v="Life Sciences"/>
    <n v="1814"/>
    <n v="2"/>
    <s v="Male"/>
    <n v="85"/>
    <n v="4"/>
    <n v="2"/>
    <x v="4"/>
    <x v="1"/>
    <s v="Single"/>
    <n v="6870"/>
    <x v="0"/>
    <n v="15530"/>
    <n v="3"/>
    <x v="1"/>
    <n v="12"/>
    <n v="3"/>
    <n v="1"/>
    <n v="0"/>
    <n v="11"/>
    <n v="3"/>
    <n v="1"/>
    <n v="3"/>
    <x v="2"/>
    <n v="2"/>
    <n v="1"/>
    <n v="2"/>
  </r>
  <r>
    <n v="41"/>
    <x v="1"/>
    <s v="Travel_Rarely"/>
    <n v="796"/>
    <x v="0"/>
    <n v="4"/>
    <n v="1"/>
    <s v="Marketing"/>
    <n v="1815"/>
    <n v="3"/>
    <s v="Female"/>
    <n v="81"/>
    <n v="3"/>
    <n v="3"/>
    <x v="0"/>
    <x v="2"/>
    <s v="Divorced"/>
    <n v="10447"/>
    <x v="2"/>
    <n v="26458"/>
    <n v="0"/>
    <x v="0"/>
    <n v="13"/>
    <n v="3"/>
    <n v="4"/>
    <n v="1"/>
    <n v="23"/>
    <n v="3"/>
    <n v="4"/>
    <n v="22"/>
    <x v="3"/>
    <n v="14"/>
    <n v="13"/>
    <n v="5"/>
  </r>
  <r>
    <n v="30"/>
    <x v="1"/>
    <s v="Travel_Rarely"/>
    <n v="1092"/>
    <x v="1"/>
    <n v="10"/>
    <n v="3"/>
    <s v="Medical"/>
    <n v="1816"/>
    <n v="1"/>
    <s v="Female"/>
    <n v="64"/>
    <n v="3"/>
    <n v="3"/>
    <x v="3"/>
    <x v="2"/>
    <s v="Single"/>
    <n v="9667"/>
    <x v="2"/>
    <n v="2739"/>
    <n v="9"/>
    <x v="1"/>
    <n v="14"/>
    <n v="3"/>
    <n v="2"/>
    <n v="0"/>
    <n v="9"/>
    <n v="3"/>
    <n v="3"/>
    <n v="7"/>
    <x v="0"/>
    <n v="7"/>
    <n v="0"/>
    <n v="2"/>
  </r>
  <r>
    <n v="26"/>
    <x v="0"/>
    <s v="Travel_Rarely"/>
    <n v="920"/>
    <x v="2"/>
    <n v="20"/>
    <n v="2"/>
    <s v="Medical"/>
    <n v="1818"/>
    <n v="4"/>
    <s v="Female"/>
    <n v="69"/>
    <n v="3"/>
    <n v="1"/>
    <x v="8"/>
    <x v="1"/>
    <s v="Married"/>
    <n v="2148"/>
    <x v="1"/>
    <n v="6889"/>
    <n v="0"/>
    <x v="0"/>
    <n v="11"/>
    <n v="3"/>
    <n v="3"/>
    <n v="0"/>
    <n v="6"/>
    <n v="3"/>
    <n v="3"/>
    <n v="5"/>
    <x v="2"/>
    <n v="1"/>
    <n v="1"/>
    <n v="4"/>
  </r>
  <r>
    <n v="46"/>
    <x v="0"/>
    <s v="Travel_Rarely"/>
    <n v="261"/>
    <x v="1"/>
    <n v="21"/>
    <n v="2"/>
    <s v="Medical"/>
    <n v="1821"/>
    <n v="4"/>
    <s v="Female"/>
    <n v="66"/>
    <n v="3"/>
    <n v="2"/>
    <x v="4"/>
    <x v="1"/>
    <s v="Married"/>
    <n v="8926"/>
    <x v="2"/>
    <n v="10842"/>
    <n v="4"/>
    <x v="1"/>
    <n v="22"/>
    <n v="4"/>
    <n v="4"/>
    <n v="1"/>
    <n v="13"/>
    <n v="2"/>
    <n v="4"/>
    <n v="9"/>
    <x v="0"/>
    <n v="7"/>
    <n v="3"/>
    <n v="7"/>
  </r>
  <r>
    <n v="40"/>
    <x v="1"/>
    <s v="Travel_Rarely"/>
    <n v="1194"/>
    <x v="1"/>
    <n v="1"/>
    <n v="3"/>
    <s v="Life Sciences"/>
    <n v="1822"/>
    <n v="3"/>
    <s v="Female"/>
    <n v="52"/>
    <n v="3"/>
    <n v="2"/>
    <x v="4"/>
    <x v="0"/>
    <s v="Divorced"/>
    <n v="6513"/>
    <x v="0"/>
    <n v="9060"/>
    <n v="4"/>
    <x v="1"/>
    <n v="17"/>
    <n v="3"/>
    <n v="4"/>
    <n v="1"/>
    <n v="12"/>
    <n v="3"/>
    <n v="3"/>
    <n v="5"/>
    <x v="2"/>
    <n v="3"/>
    <n v="0"/>
    <n v="3"/>
  </r>
  <r>
    <n v="34"/>
    <x v="1"/>
    <s v="Travel_Rarely"/>
    <n v="810"/>
    <x v="0"/>
    <n v="8"/>
    <n v="2"/>
    <s v="Technical Degree"/>
    <n v="1823"/>
    <n v="2"/>
    <s v="Male"/>
    <n v="92"/>
    <n v="4"/>
    <n v="2"/>
    <x v="0"/>
    <x v="2"/>
    <s v="Married"/>
    <n v="6799"/>
    <x v="0"/>
    <n v="22128"/>
    <n v="1"/>
    <x v="1"/>
    <n v="21"/>
    <n v="4"/>
    <n v="3"/>
    <n v="2"/>
    <n v="10"/>
    <n v="5"/>
    <n v="3"/>
    <n v="10"/>
    <x v="0"/>
    <n v="8"/>
    <n v="4"/>
    <n v="8"/>
  </r>
  <r>
    <n v="58"/>
    <x v="1"/>
    <s v="Non-Travel"/>
    <n v="350"/>
    <x v="0"/>
    <n v="2"/>
    <n v="3"/>
    <s v="Medical"/>
    <n v="1824"/>
    <n v="2"/>
    <s v="Male"/>
    <n v="52"/>
    <n v="3"/>
    <n v="4"/>
    <x v="5"/>
    <x v="1"/>
    <s v="Divorced"/>
    <n v="16291"/>
    <x v="2"/>
    <n v="22577"/>
    <n v="4"/>
    <x v="1"/>
    <n v="22"/>
    <n v="4"/>
    <n v="4"/>
    <n v="1"/>
    <n v="37"/>
    <n v="0"/>
    <n v="2"/>
    <n v="16"/>
    <x v="3"/>
    <n v="9"/>
    <n v="14"/>
    <n v="14"/>
  </r>
  <r>
    <n v="35"/>
    <x v="1"/>
    <s v="Travel_Rarely"/>
    <n v="185"/>
    <x v="1"/>
    <n v="23"/>
    <n v="4"/>
    <s v="Medical"/>
    <n v="1826"/>
    <n v="2"/>
    <s v="Male"/>
    <n v="91"/>
    <n v="1"/>
    <n v="1"/>
    <x v="2"/>
    <x v="2"/>
    <s v="Married"/>
    <n v="2705"/>
    <x v="1"/>
    <n v="9696"/>
    <n v="0"/>
    <x v="1"/>
    <n v="16"/>
    <n v="3"/>
    <n v="2"/>
    <n v="1"/>
    <n v="6"/>
    <n v="2"/>
    <n v="4"/>
    <n v="5"/>
    <x v="2"/>
    <n v="4"/>
    <n v="0"/>
    <n v="3"/>
  </r>
  <r>
    <n v="47"/>
    <x v="1"/>
    <s v="Travel_Rarely"/>
    <n v="1001"/>
    <x v="1"/>
    <n v="4"/>
    <n v="3"/>
    <s v="Life Sciences"/>
    <n v="1827"/>
    <n v="3"/>
    <s v="Female"/>
    <n v="92"/>
    <n v="2"/>
    <n v="3"/>
    <x v="3"/>
    <x v="1"/>
    <s v="Divorced"/>
    <n v="10333"/>
    <x v="2"/>
    <n v="19271"/>
    <n v="8"/>
    <x v="0"/>
    <n v="12"/>
    <n v="3"/>
    <n v="3"/>
    <n v="1"/>
    <n v="28"/>
    <n v="4"/>
    <n v="3"/>
    <n v="22"/>
    <x v="3"/>
    <n v="11"/>
    <n v="14"/>
    <n v="10"/>
  </r>
  <r>
    <n v="40"/>
    <x v="1"/>
    <s v="Travel_Rarely"/>
    <n v="750"/>
    <x v="1"/>
    <n v="12"/>
    <n v="3"/>
    <s v="Life Sciences"/>
    <n v="1829"/>
    <n v="2"/>
    <s v="Female"/>
    <n v="47"/>
    <n v="3"/>
    <n v="2"/>
    <x v="4"/>
    <x v="3"/>
    <s v="Divorced"/>
    <n v="4448"/>
    <x v="0"/>
    <n v="10748"/>
    <n v="2"/>
    <x v="1"/>
    <n v="12"/>
    <n v="3"/>
    <n v="2"/>
    <n v="1"/>
    <n v="15"/>
    <n v="3"/>
    <n v="3"/>
    <n v="7"/>
    <x v="0"/>
    <n v="4"/>
    <n v="7"/>
    <n v="7"/>
  </r>
  <r>
    <n v="54"/>
    <x v="1"/>
    <s v="Travel_Rarely"/>
    <n v="431"/>
    <x v="1"/>
    <n v="7"/>
    <n v="4"/>
    <s v="Medical"/>
    <n v="1830"/>
    <n v="4"/>
    <s v="Female"/>
    <n v="68"/>
    <n v="3"/>
    <n v="2"/>
    <x v="1"/>
    <x v="0"/>
    <s v="Married"/>
    <n v="6854"/>
    <x v="0"/>
    <n v="15696"/>
    <n v="4"/>
    <x v="1"/>
    <n v="15"/>
    <n v="3"/>
    <n v="2"/>
    <n v="1"/>
    <n v="14"/>
    <n v="2"/>
    <n v="2"/>
    <n v="7"/>
    <x v="0"/>
    <n v="1"/>
    <n v="1"/>
    <n v="7"/>
  </r>
  <r>
    <n v="31"/>
    <x v="1"/>
    <s v="Travel_Frequently"/>
    <n v="1125"/>
    <x v="0"/>
    <n v="7"/>
    <n v="4"/>
    <s v="Marketing"/>
    <n v="1833"/>
    <n v="1"/>
    <s v="Female"/>
    <n v="68"/>
    <n v="3"/>
    <n v="3"/>
    <x v="0"/>
    <x v="3"/>
    <s v="Married"/>
    <n v="9637"/>
    <x v="2"/>
    <n v="8277"/>
    <n v="2"/>
    <x v="1"/>
    <n v="14"/>
    <n v="3"/>
    <n v="4"/>
    <n v="2"/>
    <n v="9"/>
    <n v="3"/>
    <n v="3"/>
    <n v="3"/>
    <x v="2"/>
    <n v="2"/>
    <n v="2"/>
    <n v="2"/>
  </r>
  <r>
    <n v="28"/>
    <x v="1"/>
    <s v="Travel_Rarely"/>
    <n v="1217"/>
    <x v="1"/>
    <n v="1"/>
    <n v="3"/>
    <s v="Medical"/>
    <n v="1834"/>
    <n v="3"/>
    <s v="Female"/>
    <n v="67"/>
    <n v="3"/>
    <n v="1"/>
    <x v="1"/>
    <x v="3"/>
    <s v="Married"/>
    <n v="3591"/>
    <x v="0"/>
    <n v="12719"/>
    <n v="1"/>
    <x v="1"/>
    <n v="25"/>
    <n v="4"/>
    <n v="3"/>
    <n v="1"/>
    <n v="3"/>
    <n v="3"/>
    <n v="3"/>
    <n v="3"/>
    <x v="2"/>
    <n v="2"/>
    <n v="1"/>
    <n v="2"/>
  </r>
  <r>
    <n v="38"/>
    <x v="1"/>
    <s v="Travel_Rarely"/>
    <n v="723"/>
    <x v="0"/>
    <n v="2"/>
    <n v="4"/>
    <s v="Marketing"/>
    <n v="1835"/>
    <n v="2"/>
    <s v="Female"/>
    <n v="77"/>
    <n v="1"/>
    <n v="2"/>
    <x v="6"/>
    <x v="0"/>
    <s v="Married"/>
    <n v="5405"/>
    <x v="0"/>
    <n v="4244"/>
    <n v="2"/>
    <x v="0"/>
    <n v="20"/>
    <n v="4"/>
    <n v="1"/>
    <n v="2"/>
    <n v="20"/>
    <n v="4"/>
    <n v="2"/>
    <n v="4"/>
    <x v="2"/>
    <n v="2"/>
    <n v="0"/>
    <n v="3"/>
  </r>
  <r>
    <n v="26"/>
    <x v="1"/>
    <s v="Travel_Rarely"/>
    <n v="572"/>
    <x v="0"/>
    <n v="10"/>
    <n v="3"/>
    <s v="Medical"/>
    <n v="1836"/>
    <n v="3"/>
    <s v="Male"/>
    <n v="46"/>
    <n v="3"/>
    <n v="2"/>
    <x v="0"/>
    <x v="0"/>
    <s v="Single"/>
    <n v="4684"/>
    <x v="0"/>
    <n v="9125"/>
    <n v="1"/>
    <x v="1"/>
    <n v="13"/>
    <n v="3"/>
    <n v="1"/>
    <n v="0"/>
    <n v="5"/>
    <n v="4"/>
    <n v="3"/>
    <n v="5"/>
    <x v="2"/>
    <n v="3"/>
    <n v="1"/>
    <n v="2"/>
  </r>
  <r>
    <n v="58"/>
    <x v="1"/>
    <s v="Travel_Frequently"/>
    <n v="1216"/>
    <x v="1"/>
    <n v="15"/>
    <n v="4"/>
    <s v="Life Sciences"/>
    <n v="1837"/>
    <n v="1"/>
    <s v="Male"/>
    <n v="87"/>
    <n v="3"/>
    <n v="4"/>
    <x v="7"/>
    <x v="2"/>
    <s v="Married"/>
    <n v="15787"/>
    <x v="2"/>
    <n v="21624"/>
    <n v="2"/>
    <x v="0"/>
    <n v="14"/>
    <n v="3"/>
    <n v="2"/>
    <n v="0"/>
    <n v="23"/>
    <n v="3"/>
    <n v="3"/>
    <n v="2"/>
    <x v="1"/>
    <n v="2"/>
    <n v="2"/>
    <n v="2"/>
  </r>
  <r>
    <n v="18"/>
    <x v="1"/>
    <s v="Non-Travel"/>
    <n v="1431"/>
    <x v="1"/>
    <n v="14"/>
    <n v="3"/>
    <s v="Medical"/>
    <n v="1839"/>
    <n v="2"/>
    <s v="Female"/>
    <n v="33"/>
    <n v="3"/>
    <n v="1"/>
    <x v="1"/>
    <x v="2"/>
    <s v="Single"/>
    <n v="1514"/>
    <x v="1"/>
    <n v="8018"/>
    <n v="1"/>
    <x v="1"/>
    <n v="16"/>
    <n v="3"/>
    <n v="3"/>
    <n v="0"/>
    <n v="0"/>
    <n v="4"/>
    <n v="1"/>
    <n v="0"/>
    <x v="1"/>
    <n v="0"/>
    <n v="0"/>
    <n v="0"/>
  </r>
  <r>
    <n v="31"/>
    <x v="0"/>
    <s v="Travel_Rarely"/>
    <n v="359"/>
    <x v="2"/>
    <n v="18"/>
    <n v="5"/>
    <s v="Human Resources"/>
    <n v="1842"/>
    <n v="4"/>
    <s v="Male"/>
    <n v="89"/>
    <n v="4"/>
    <n v="1"/>
    <x v="8"/>
    <x v="3"/>
    <s v="Married"/>
    <n v="2956"/>
    <x v="1"/>
    <n v="21495"/>
    <n v="0"/>
    <x v="1"/>
    <n v="17"/>
    <n v="3"/>
    <n v="3"/>
    <n v="0"/>
    <n v="2"/>
    <n v="4"/>
    <n v="3"/>
    <n v="1"/>
    <x v="1"/>
    <n v="0"/>
    <n v="0"/>
    <n v="0"/>
  </r>
  <r>
    <n v="29"/>
    <x v="0"/>
    <s v="Travel_Rarely"/>
    <n v="350"/>
    <x v="2"/>
    <n v="13"/>
    <n v="3"/>
    <s v="Human Resources"/>
    <n v="1844"/>
    <n v="1"/>
    <s v="Male"/>
    <n v="56"/>
    <n v="2"/>
    <n v="1"/>
    <x v="8"/>
    <x v="3"/>
    <s v="Divorced"/>
    <n v="2335"/>
    <x v="1"/>
    <n v="3157"/>
    <n v="4"/>
    <x v="0"/>
    <n v="15"/>
    <n v="3"/>
    <n v="4"/>
    <n v="3"/>
    <n v="4"/>
    <n v="3"/>
    <n v="3"/>
    <n v="2"/>
    <x v="1"/>
    <n v="2"/>
    <n v="2"/>
    <n v="0"/>
  </r>
  <r>
    <n v="45"/>
    <x v="1"/>
    <s v="Non-Travel"/>
    <n v="589"/>
    <x v="0"/>
    <n v="2"/>
    <n v="4"/>
    <s v="Life Sciences"/>
    <n v="1845"/>
    <n v="3"/>
    <s v="Female"/>
    <n v="67"/>
    <n v="3"/>
    <n v="2"/>
    <x v="0"/>
    <x v="2"/>
    <s v="Married"/>
    <n v="5154"/>
    <x v="0"/>
    <n v="19665"/>
    <n v="4"/>
    <x v="1"/>
    <n v="22"/>
    <n v="4"/>
    <n v="2"/>
    <n v="2"/>
    <n v="10"/>
    <n v="3"/>
    <n v="4"/>
    <n v="8"/>
    <x v="0"/>
    <n v="7"/>
    <n v="5"/>
    <n v="7"/>
  </r>
  <r>
    <n v="36"/>
    <x v="1"/>
    <s v="Travel_Rarely"/>
    <n v="430"/>
    <x v="1"/>
    <n v="2"/>
    <n v="4"/>
    <s v="Other"/>
    <n v="1847"/>
    <n v="4"/>
    <s v="Female"/>
    <n v="73"/>
    <n v="3"/>
    <n v="2"/>
    <x v="1"/>
    <x v="1"/>
    <s v="Married"/>
    <n v="6962"/>
    <x v="0"/>
    <n v="19573"/>
    <n v="4"/>
    <x v="0"/>
    <n v="22"/>
    <n v="4"/>
    <n v="4"/>
    <n v="1"/>
    <n v="15"/>
    <n v="2"/>
    <n v="3"/>
    <n v="1"/>
    <x v="1"/>
    <n v="0"/>
    <n v="0"/>
    <n v="0"/>
  </r>
  <r>
    <n v="43"/>
    <x v="1"/>
    <s v="Travel_Frequently"/>
    <n v="1422"/>
    <x v="0"/>
    <n v="2"/>
    <n v="4"/>
    <s v="Life Sciences"/>
    <n v="1849"/>
    <n v="1"/>
    <s v="Male"/>
    <n v="92"/>
    <n v="3"/>
    <n v="2"/>
    <x v="0"/>
    <x v="0"/>
    <s v="Married"/>
    <n v="5675"/>
    <x v="0"/>
    <n v="19246"/>
    <n v="1"/>
    <x v="1"/>
    <n v="20"/>
    <n v="4"/>
    <n v="3"/>
    <n v="1"/>
    <n v="7"/>
    <n v="5"/>
    <n v="3"/>
    <n v="7"/>
    <x v="0"/>
    <n v="7"/>
    <n v="7"/>
    <n v="7"/>
  </r>
  <r>
    <n v="27"/>
    <x v="1"/>
    <s v="Travel_Frequently"/>
    <n v="1297"/>
    <x v="1"/>
    <n v="5"/>
    <n v="2"/>
    <s v="Life Sciences"/>
    <n v="1850"/>
    <n v="4"/>
    <s v="Female"/>
    <n v="53"/>
    <n v="3"/>
    <n v="1"/>
    <x v="2"/>
    <x v="0"/>
    <s v="Single"/>
    <n v="2379"/>
    <x v="1"/>
    <n v="19826"/>
    <n v="0"/>
    <x v="0"/>
    <n v="14"/>
    <n v="3"/>
    <n v="3"/>
    <n v="0"/>
    <n v="6"/>
    <n v="3"/>
    <n v="2"/>
    <n v="5"/>
    <x v="2"/>
    <n v="4"/>
    <n v="0"/>
    <n v="2"/>
  </r>
  <r>
    <n v="29"/>
    <x v="1"/>
    <s v="Travel_Frequently"/>
    <n v="574"/>
    <x v="1"/>
    <n v="20"/>
    <n v="1"/>
    <s v="Medical"/>
    <n v="1852"/>
    <n v="4"/>
    <s v="Male"/>
    <n v="40"/>
    <n v="3"/>
    <n v="1"/>
    <x v="2"/>
    <x v="0"/>
    <s v="Married"/>
    <n v="3812"/>
    <x v="0"/>
    <n v="7003"/>
    <n v="1"/>
    <x v="1"/>
    <n v="13"/>
    <n v="3"/>
    <n v="2"/>
    <n v="0"/>
    <n v="11"/>
    <n v="3"/>
    <n v="4"/>
    <n v="11"/>
    <x v="3"/>
    <n v="8"/>
    <n v="3"/>
    <n v="10"/>
  </r>
  <r>
    <n v="32"/>
    <x v="1"/>
    <s v="Travel_Frequently"/>
    <n v="1318"/>
    <x v="0"/>
    <n v="10"/>
    <n v="4"/>
    <s v="Marketing"/>
    <n v="1853"/>
    <n v="4"/>
    <s v="Male"/>
    <n v="79"/>
    <n v="3"/>
    <n v="2"/>
    <x v="0"/>
    <x v="0"/>
    <s v="Single"/>
    <n v="4648"/>
    <x v="0"/>
    <n v="26075"/>
    <n v="8"/>
    <x v="1"/>
    <n v="13"/>
    <n v="3"/>
    <n v="3"/>
    <n v="0"/>
    <n v="4"/>
    <n v="2"/>
    <n v="4"/>
    <n v="0"/>
    <x v="1"/>
    <n v="0"/>
    <n v="0"/>
    <n v="0"/>
  </r>
  <r>
    <n v="42"/>
    <x v="1"/>
    <s v="Non-Travel"/>
    <n v="355"/>
    <x v="1"/>
    <n v="10"/>
    <n v="4"/>
    <s v="Technical Degree"/>
    <n v="1854"/>
    <n v="3"/>
    <s v="Male"/>
    <n v="38"/>
    <n v="3"/>
    <n v="1"/>
    <x v="1"/>
    <x v="2"/>
    <s v="Married"/>
    <n v="2936"/>
    <x v="1"/>
    <n v="6161"/>
    <n v="3"/>
    <x v="1"/>
    <n v="22"/>
    <n v="4"/>
    <n v="2"/>
    <n v="2"/>
    <n v="10"/>
    <n v="1"/>
    <n v="2"/>
    <n v="6"/>
    <x v="0"/>
    <n v="3"/>
    <n v="3"/>
    <n v="3"/>
  </r>
  <r>
    <n v="47"/>
    <x v="1"/>
    <s v="Travel_Rarely"/>
    <n v="207"/>
    <x v="1"/>
    <n v="9"/>
    <n v="4"/>
    <s v="Life Sciences"/>
    <n v="1856"/>
    <n v="2"/>
    <s v="Female"/>
    <n v="64"/>
    <n v="3"/>
    <n v="1"/>
    <x v="2"/>
    <x v="2"/>
    <s v="Single"/>
    <n v="2105"/>
    <x v="1"/>
    <n v="5411"/>
    <n v="4"/>
    <x v="1"/>
    <n v="12"/>
    <n v="3"/>
    <n v="3"/>
    <n v="0"/>
    <n v="7"/>
    <n v="2"/>
    <n v="3"/>
    <n v="2"/>
    <x v="1"/>
    <n v="2"/>
    <n v="2"/>
    <n v="0"/>
  </r>
  <r>
    <n v="46"/>
    <x v="1"/>
    <s v="Travel_Rarely"/>
    <n v="706"/>
    <x v="1"/>
    <n v="2"/>
    <n v="2"/>
    <s v="Life Sciences"/>
    <n v="1857"/>
    <n v="4"/>
    <s v="Male"/>
    <n v="82"/>
    <n v="3"/>
    <n v="3"/>
    <x v="3"/>
    <x v="0"/>
    <s v="Divorced"/>
    <n v="8578"/>
    <x v="2"/>
    <n v="19989"/>
    <n v="3"/>
    <x v="1"/>
    <n v="14"/>
    <n v="3"/>
    <n v="3"/>
    <n v="1"/>
    <n v="12"/>
    <n v="4"/>
    <n v="2"/>
    <n v="9"/>
    <x v="0"/>
    <n v="8"/>
    <n v="4"/>
    <n v="7"/>
  </r>
  <r>
    <n v="28"/>
    <x v="1"/>
    <s v="Non-Travel"/>
    <n v="280"/>
    <x v="2"/>
    <n v="1"/>
    <n v="2"/>
    <s v="Life Sciences"/>
    <n v="1858"/>
    <n v="3"/>
    <s v="Male"/>
    <n v="43"/>
    <n v="3"/>
    <n v="1"/>
    <x v="8"/>
    <x v="0"/>
    <s v="Divorced"/>
    <n v="2706"/>
    <x v="1"/>
    <n v="10494"/>
    <n v="1"/>
    <x v="1"/>
    <n v="15"/>
    <n v="3"/>
    <n v="2"/>
    <n v="1"/>
    <n v="3"/>
    <n v="2"/>
    <n v="3"/>
    <n v="3"/>
    <x v="2"/>
    <n v="2"/>
    <n v="2"/>
    <n v="2"/>
  </r>
  <r>
    <n v="29"/>
    <x v="1"/>
    <s v="Travel_Rarely"/>
    <n v="726"/>
    <x v="1"/>
    <n v="29"/>
    <n v="1"/>
    <s v="Life Sciences"/>
    <n v="1859"/>
    <n v="4"/>
    <s v="Male"/>
    <n v="93"/>
    <n v="1"/>
    <n v="2"/>
    <x v="4"/>
    <x v="2"/>
    <s v="Divorced"/>
    <n v="6384"/>
    <x v="0"/>
    <n v="21143"/>
    <n v="8"/>
    <x v="1"/>
    <n v="17"/>
    <n v="3"/>
    <n v="4"/>
    <n v="2"/>
    <n v="11"/>
    <n v="3"/>
    <n v="3"/>
    <n v="7"/>
    <x v="0"/>
    <n v="0"/>
    <n v="1"/>
    <n v="6"/>
  </r>
  <r>
    <n v="42"/>
    <x v="1"/>
    <s v="Travel_Rarely"/>
    <n v="1142"/>
    <x v="1"/>
    <n v="8"/>
    <n v="3"/>
    <s v="Life Sciences"/>
    <n v="1860"/>
    <n v="4"/>
    <s v="Male"/>
    <n v="81"/>
    <n v="3"/>
    <n v="1"/>
    <x v="2"/>
    <x v="2"/>
    <s v="Single"/>
    <n v="3968"/>
    <x v="0"/>
    <n v="13624"/>
    <n v="4"/>
    <x v="1"/>
    <n v="13"/>
    <n v="3"/>
    <n v="4"/>
    <n v="0"/>
    <n v="8"/>
    <n v="3"/>
    <n v="3"/>
    <n v="0"/>
    <x v="1"/>
    <n v="0"/>
    <n v="0"/>
    <n v="0"/>
  </r>
  <r>
    <n v="32"/>
    <x v="0"/>
    <s v="Travel_Rarely"/>
    <n v="414"/>
    <x v="0"/>
    <n v="2"/>
    <n v="4"/>
    <s v="Marketing"/>
    <n v="1862"/>
    <n v="3"/>
    <s v="Male"/>
    <n v="82"/>
    <n v="2"/>
    <n v="2"/>
    <x v="0"/>
    <x v="1"/>
    <s v="Single"/>
    <n v="9907"/>
    <x v="2"/>
    <n v="26186"/>
    <n v="7"/>
    <x v="0"/>
    <n v="12"/>
    <n v="3"/>
    <n v="3"/>
    <n v="0"/>
    <n v="7"/>
    <n v="3"/>
    <n v="2"/>
    <n v="2"/>
    <x v="1"/>
    <n v="2"/>
    <n v="2"/>
    <n v="2"/>
  </r>
  <r>
    <n v="46"/>
    <x v="1"/>
    <s v="Travel_Rarely"/>
    <n v="1319"/>
    <x v="0"/>
    <n v="3"/>
    <n v="3"/>
    <s v="Technical Degree"/>
    <n v="1863"/>
    <n v="1"/>
    <s v="Female"/>
    <n v="45"/>
    <n v="4"/>
    <n v="4"/>
    <x v="0"/>
    <x v="3"/>
    <s v="Divorced"/>
    <n v="13225"/>
    <x v="2"/>
    <n v="7739"/>
    <n v="2"/>
    <x v="1"/>
    <n v="12"/>
    <n v="3"/>
    <n v="4"/>
    <n v="1"/>
    <n v="25"/>
    <n v="5"/>
    <n v="3"/>
    <n v="19"/>
    <x v="3"/>
    <n v="17"/>
    <n v="2"/>
    <n v="8"/>
  </r>
  <r>
    <n v="27"/>
    <x v="1"/>
    <s v="Travel_Rarely"/>
    <n v="728"/>
    <x v="0"/>
    <n v="23"/>
    <n v="1"/>
    <s v="Medical"/>
    <n v="1864"/>
    <n v="2"/>
    <s v="Female"/>
    <n v="36"/>
    <n v="2"/>
    <n v="2"/>
    <x v="6"/>
    <x v="2"/>
    <s v="Married"/>
    <n v="3540"/>
    <x v="0"/>
    <n v="7018"/>
    <n v="1"/>
    <x v="1"/>
    <n v="21"/>
    <n v="4"/>
    <n v="4"/>
    <n v="1"/>
    <n v="9"/>
    <n v="5"/>
    <n v="3"/>
    <n v="9"/>
    <x v="0"/>
    <n v="8"/>
    <n v="5"/>
    <n v="8"/>
  </r>
  <r>
    <n v="29"/>
    <x v="1"/>
    <s v="Travel_Rarely"/>
    <n v="352"/>
    <x v="2"/>
    <n v="6"/>
    <n v="1"/>
    <s v="Medical"/>
    <n v="1865"/>
    <n v="4"/>
    <s v="Male"/>
    <n v="87"/>
    <n v="2"/>
    <n v="1"/>
    <x v="8"/>
    <x v="1"/>
    <s v="Married"/>
    <n v="2804"/>
    <x v="1"/>
    <n v="15434"/>
    <n v="1"/>
    <x v="1"/>
    <n v="11"/>
    <n v="3"/>
    <n v="4"/>
    <n v="0"/>
    <n v="1"/>
    <n v="3"/>
    <n v="3"/>
    <n v="1"/>
    <x v="1"/>
    <n v="0"/>
    <n v="0"/>
    <n v="0"/>
  </r>
  <r>
    <n v="43"/>
    <x v="1"/>
    <s v="Travel_Rarely"/>
    <n v="823"/>
    <x v="1"/>
    <n v="6"/>
    <n v="3"/>
    <s v="Medical"/>
    <n v="1866"/>
    <n v="1"/>
    <s v="Female"/>
    <n v="81"/>
    <n v="2"/>
    <n v="5"/>
    <x v="5"/>
    <x v="2"/>
    <s v="Married"/>
    <n v="19392"/>
    <x v="2"/>
    <n v="22539"/>
    <n v="7"/>
    <x v="1"/>
    <n v="13"/>
    <n v="3"/>
    <n v="4"/>
    <n v="0"/>
    <n v="21"/>
    <n v="2"/>
    <n v="3"/>
    <n v="16"/>
    <x v="3"/>
    <n v="12"/>
    <n v="6"/>
    <n v="14"/>
  </r>
  <r>
    <n v="48"/>
    <x v="1"/>
    <s v="Travel_Rarely"/>
    <n v="1224"/>
    <x v="1"/>
    <n v="10"/>
    <n v="3"/>
    <s v="Life Sciences"/>
    <n v="1867"/>
    <n v="4"/>
    <s v="Male"/>
    <n v="91"/>
    <n v="2"/>
    <n v="5"/>
    <x v="7"/>
    <x v="1"/>
    <s v="Married"/>
    <n v="19665"/>
    <x v="2"/>
    <n v="13583"/>
    <n v="4"/>
    <x v="1"/>
    <n v="12"/>
    <n v="3"/>
    <n v="4"/>
    <n v="0"/>
    <n v="29"/>
    <n v="3"/>
    <n v="3"/>
    <n v="22"/>
    <x v="3"/>
    <n v="10"/>
    <n v="12"/>
    <n v="9"/>
  </r>
  <r>
    <n v="29"/>
    <x v="0"/>
    <s v="Travel_Frequently"/>
    <n v="459"/>
    <x v="1"/>
    <n v="24"/>
    <n v="2"/>
    <s v="Life Sciences"/>
    <n v="1868"/>
    <n v="4"/>
    <s v="Male"/>
    <n v="73"/>
    <n v="2"/>
    <n v="1"/>
    <x v="1"/>
    <x v="0"/>
    <s v="Single"/>
    <n v="2439"/>
    <x v="1"/>
    <n v="14753"/>
    <n v="1"/>
    <x v="0"/>
    <n v="24"/>
    <n v="4"/>
    <n v="2"/>
    <n v="0"/>
    <n v="1"/>
    <n v="3"/>
    <n v="2"/>
    <n v="1"/>
    <x v="1"/>
    <n v="0"/>
    <n v="1"/>
    <n v="0"/>
  </r>
  <r>
    <n v="46"/>
    <x v="0"/>
    <s v="Travel_Rarely"/>
    <n v="1254"/>
    <x v="0"/>
    <n v="10"/>
    <n v="3"/>
    <s v="Life Sciences"/>
    <n v="1869"/>
    <n v="3"/>
    <s v="Female"/>
    <n v="64"/>
    <n v="3"/>
    <n v="3"/>
    <x v="0"/>
    <x v="1"/>
    <s v="Married"/>
    <n v="7314"/>
    <x v="2"/>
    <n v="14011"/>
    <n v="5"/>
    <x v="1"/>
    <n v="21"/>
    <n v="4"/>
    <n v="3"/>
    <n v="3"/>
    <n v="14"/>
    <n v="2"/>
    <n v="3"/>
    <n v="8"/>
    <x v="0"/>
    <n v="7"/>
    <n v="0"/>
    <n v="7"/>
  </r>
  <r>
    <n v="27"/>
    <x v="1"/>
    <s v="Travel_Frequently"/>
    <n v="1131"/>
    <x v="1"/>
    <n v="15"/>
    <n v="3"/>
    <s v="Life Sciences"/>
    <n v="1870"/>
    <n v="4"/>
    <s v="Female"/>
    <n v="77"/>
    <n v="2"/>
    <n v="1"/>
    <x v="1"/>
    <x v="3"/>
    <s v="Married"/>
    <n v="4774"/>
    <x v="0"/>
    <n v="23844"/>
    <n v="0"/>
    <x v="1"/>
    <n v="19"/>
    <n v="3"/>
    <n v="4"/>
    <n v="1"/>
    <n v="8"/>
    <n v="2"/>
    <n v="2"/>
    <n v="7"/>
    <x v="0"/>
    <n v="6"/>
    <n v="7"/>
    <n v="3"/>
  </r>
  <r>
    <n v="39"/>
    <x v="1"/>
    <s v="Travel_Rarely"/>
    <n v="835"/>
    <x v="1"/>
    <n v="19"/>
    <n v="4"/>
    <s v="Other"/>
    <n v="1871"/>
    <n v="4"/>
    <s v="Male"/>
    <n v="41"/>
    <n v="3"/>
    <n v="2"/>
    <x v="1"/>
    <x v="0"/>
    <s v="Divorced"/>
    <n v="3902"/>
    <x v="0"/>
    <n v="5141"/>
    <n v="8"/>
    <x v="1"/>
    <n v="14"/>
    <n v="3"/>
    <n v="2"/>
    <n v="3"/>
    <n v="7"/>
    <n v="2"/>
    <n v="3"/>
    <n v="2"/>
    <x v="1"/>
    <n v="2"/>
    <n v="2"/>
    <n v="2"/>
  </r>
  <r>
    <n v="55"/>
    <x v="1"/>
    <s v="Travel_Rarely"/>
    <n v="836"/>
    <x v="1"/>
    <n v="2"/>
    <n v="4"/>
    <s v="Technical Degree"/>
    <n v="1873"/>
    <n v="2"/>
    <s v="Male"/>
    <n v="98"/>
    <n v="2"/>
    <n v="1"/>
    <x v="1"/>
    <x v="0"/>
    <s v="Married"/>
    <n v="2662"/>
    <x v="1"/>
    <n v="7975"/>
    <n v="8"/>
    <x v="1"/>
    <n v="20"/>
    <n v="4"/>
    <n v="2"/>
    <n v="1"/>
    <n v="19"/>
    <n v="2"/>
    <n v="4"/>
    <n v="5"/>
    <x v="2"/>
    <n v="2"/>
    <n v="0"/>
    <n v="4"/>
  </r>
  <r>
    <n v="28"/>
    <x v="1"/>
    <s v="Travel_Rarely"/>
    <n v="1172"/>
    <x v="0"/>
    <n v="3"/>
    <n v="3"/>
    <s v="Medical"/>
    <n v="1875"/>
    <n v="2"/>
    <s v="Female"/>
    <n v="78"/>
    <n v="3"/>
    <n v="1"/>
    <x v="6"/>
    <x v="1"/>
    <s v="Married"/>
    <n v="2856"/>
    <x v="1"/>
    <n v="3692"/>
    <n v="1"/>
    <x v="1"/>
    <n v="19"/>
    <n v="3"/>
    <n v="4"/>
    <n v="1"/>
    <n v="1"/>
    <n v="3"/>
    <n v="3"/>
    <n v="1"/>
    <x v="1"/>
    <n v="0"/>
    <n v="0"/>
    <n v="0"/>
  </r>
  <r>
    <n v="30"/>
    <x v="0"/>
    <s v="Travel_Rarely"/>
    <n v="945"/>
    <x v="0"/>
    <n v="9"/>
    <n v="3"/>
    <s v="Medical"/>
    <n v="1876"/>
    <n v="2"/>
    <s v="Male"/>
    <n v="89"/>
    <n v="3"/>
    <n v="1"/>
    <x v="6"/>
    <x v="0"/>
    <s v="Single"/>
    <n v="1081"/>
    <x v="1"/>
    <n v="16019"/>
    <n v="1"/>
    <x v="1"/>
    <n v="13"/>
    <n v="3"/>
    <n v="3"/>
    <n v="0"/>
    <n v="1"/>
    <n v="3"/>
    <n v="2"/>
    <n v="1"/>
    <x v="1"/>
    <n v="0"/>
    <n v="0"/>
    <n v="0"/>
  </r>
  <r>
    <n v="22"/>
    <x v="0"/>
    <s v="Travel_Rarely"/>
    <n v="391"/>
    <x v="1"/>
    <n v="7"/>
    <n v="1"/>
    <s v="Life Sciences"/>
    <n v="1878"/>
    <n v="4"/>
    <s v="Male"/>
    <n v="75"/>
    <n v="3"/>
    <n v="1"/>
    <x v="1"/>
    <x v="1"/>
    <s v="Single"/>
    <n v="2472"/>
    <x v="1"/>
    <n v="26092"/>
    <n v="1"/>
    <x v="0"/>
    <n v="23"/>
    <n v="4"/>
    <n v="1"/>
    <n v="0"/>
    <n v="1"/>
    <n v="2"/>
    <n v="3"/>
    <n v="1"/>
    <x v="1"/>
    <n v="0"/>
    <n v="0"/>
    <n v="0"/>
  </r>
  <r>
    <n v="36"/>
    <x v="1"/>
    <s v="Travel_Rarely"/>
    <n v="1266"/>
    <x v="0"/>
    <n v="10"/>
    <n v="4"/>
    <s v="Technical Degree"/>
    <n v="1880"/>
    <n v="2"/>
    <s v="Female"/>
    <n v="63"/>
    <n v="2"/>
    <n v="2"/>
    <x v="0"/>
    <x v="2"/>
    <s v="Married"/>
    <n v="5673"/>
    <x v="0"/>
    <n v="6060"/>
    <n v="1"/>
    <x v="0"/>
    <n v="13"/>
    <n v="3"/>
    <n v="1"/>
    <n v="1"/>
    <n v="10"/>
    <n v="4"/>
    <n v="3"/>
    <n v="10"/>
    <x v="0"/>
    <n v="9"/>
    <n v="1"/>
    <n v="7"/>
  </r>
  <r>
    <n v="31"/>
    <x v="1"/>
    <s v="Travel_Rarely"/>
    <n v="311"/>
    <x v="1"/>
    <n v="20"/>
    <n v="3"/>
    <s v="Life Sciences"/>
    <n v="1881"/>
    <n v="2"/>
    <s v="Male"/>
    <n v="89"/>
    <n v="3"/>
    <n v="2"/>
    <x v="2"/>
    <x v="2"/>
    <s v="Divorced"/>
    <n v="4197"/>
    <x v="0"/>
    <n v="18624"/>
    <n v="1"/>
    <x v="1"/>
    <n v="11"/>
    <n v="3"/>
    <n v="1"/>
    <n v="1"/>
    <n v="10"/>
    <n v="2"/>
    <n v="3"/>
    <n v="10"/>
    <x v="0"/>
    <n v="8"/>
    <n v="0"/>
    <n v="2"/>
  </r>
  <r>
    <n v="34"/>
    <x v="1"/>
    <s v="Travel_Rarely"/>
    <n v="1480"/>
    <x v="0"/>
    <n v="4"/>
    <n v="3"/>
    <s v="Life Sciences"/>
    <n v="1882"/>
    <n v="3"/>
    <s v="Male"/>
    <n v="64"/>
    <n v="3"/>
    <n v="3"/>
    <x v="0"/>
    <x v="0"/>
    <s v="Married"/>
    <n v="9713"/>
    <x v="2"/>
    <n v="24444"/>
    <n v="2"/>
    <x v="0"/>
    <n v="13"/>
    <n v="3"/>
    <n v="4"/>
    <n v="3"/>
    <n v="9"/>
    <n v="3"/>
    <n v="3"/>
    <n v="5"/>
    <x v="2"/>
    <n v="3"/>
    <n v="1"/>
    <n v="0"/>
  </r>
  <r>
    <n v="29"/>
    <x v="1"/>
    <s v="Travel_Rarely"/>
    <n v="592"/>
    <x v="1"/>
    <n v="7"/>
    <n v="3"/>
    <s v="Life Sciences"/>
    <n v="1883"/>
    <n v="4"/>
    <s v="Male"/>
    <n v="59"/>
    <n v="3"/>
    <n v="1"/>
    <x v="2"/>
    <x v="3"/>
    <s v="Single"/>
    <n v="2062"/>
    <x v="1"/>
    <n v="19384"/>
    <n v="3"/>
    <x v="1"/>
    <n v="14"/>
    <n v="3"/>
    <n v="2"/>
    <n v="0"/>
    <n v="11"/>
    <n v="2"/>
    <n v="3"/>
    <n v="3"/>
    <x v="2"/>
    <n v="2"/>
    <n v="1"/>
    <n v="2"/>
  </r>
  <r>
    <n v="37"/>
    <x v="1"/>
    <s v="Travel_Rarely"/>
    <n v="783"/>
    <x v="1"/>
    <n v="7"/>
    <n v="4"/>
    <s v="Medical"/>
    <n v="1885"/>
    <n v="4"/>
    <s v="Male"/>
    <n v="78"/>
    <n v="3"/>
    <n v="2"/>
    <x v="1"/>
    <x v="3"/>
    <s v="Married"/>
    <n v="4284"/>
    <x v="0"/>
    <n v="13588"/>
    <n v="5"/>
    <x v="0"/>
    <n v="22"/>
    <n v="4"/>
    <n v="3"/>
    <n v="1"/>
    <n v="16"/>
    <n v="2"/>
    <n v="3"/>
    <n v="5"/>
    <x v="2"/>
    <n v="3"/>
    <n v="0"/>
    <n v="4"/>
  </r>
  <r>
    <n v="35"/>
    <x v="1"/>
    <s v="Travel_Rarely"/>
    <n v="219"/>
    <x v="1"/>
    <n v="16"/>
    <n v="2"/>
    <s v="Other"/>
    <n v="1886"/>
    <n v="4"/>
    <s v="Female"/>
    <n v="44"/>
    <n v="2"/>
    <n v="2"/>
    <x v="3"/>
    <x v="1"/>
    <s v="Married"/>
    <n v="4788"/>
    <x v="0"/>
    <n v="25388"/>
    <n v="0"/>
    <x v="0"/>
    <n v="11"/>
    <n v="3"/>
    <n v="4"/>
    <n v="0"/>
    <n v="4"/>
    <n v="2"/>
    <n v="3"/>
    <n v="3"/>
    <x v="2"/>
    <n v="2"/>
    <n v="0"/>
    <n v="2"/>
  </r>
  <r>
    <n v="45"/>
    <x v="1"/>
    <s v="Travel_Rarely"/>
    <n v="556"/>
    <x v="1"/>
    <n v="25"/>
    <n v="2"/>
    <s v="Life Sciences"/>
    <n v="1888"/>
    <n v="2"/>
    <s v="Female"/>
    <n v="93"/>
    <n v="2"/>
    <n v="2"/>
    <x v="3"/>
    <x v="0"/>
    <s v="Married"/>
    <n v="5906"/>
    <x v="0"/>
    <n v="23888"/>
    <n v="0"/>
    <x v="1"/>
    <n v="13"/>
    <n v="3"/>
    <n v="4"/>
    <n v="2"/>
    <n v="10"/>
    <n v="2"/>
    <n v="2"/>
    <n v="9"/>
    <x v="0"/>
    <n v="8"/>
    <n v="3"/>
    <n v="8"/>
  </r>
  <r>
    <n v="36"/>
    <x v="1"/>
    <s v="Travel_Frequently"/>
    <n v="1213"/>
    <x v="2"/>
    <n v="2"/>
    <n v="1"/>
    <s v="Human Resources"/>
    <n v="1890"/>
    <n v="2"/>
    <s v="Male"/>
    <n v="94"/>
    <n v="2"/>
    <n v="2"/>
    <x v="8"/>
    <x v="0"/>
    <s v="Single"/>
    <n v="3886"/>
    <x v="0"/>
    <n v="4223"/>
    <n v="1"/>
    <x v="1"/>
    <n v="21"/>
    <n v="4"/>
    <n v="4"/>
    <n v="0"/>
    <n v="10"/>
    <n v="2"/>
    <n v="2"/>
    <n v="10"/>
    <x v="0"/>
    <n v="1"/>
    <n v="0"/>
    <n v="8"/>
  </r>
  <r>
    <n v="40"/>
    <x v="1"/>
    <s v="Travel_Rarely"/>
    <n v="1137"/>
    <x v="1"/>
    <n v="1"/>
    <n v="4"/>
    <s v="Life Sciences"/>
    <n v="1892"/>
    <n v="1"/>
    <s v="Male"/>
    <n v="98"/>
    <n v="3"/>
    <n v="4"/>
    <x v="5"/>
    <x v="3"/>
    <s v="Divorced"/>
    <n v="16823"/>
    <x v="2"/>
    <n v="18991"/>
    <n v="2"/>
    <x v="1"/>
    <n v="11"/>
    <n v="3"/>
    <n v="1"/>
    <n v="1"/>
    <n v="22"/>
    <n v="3"/>
    <n v="3"/>
    <n v="19"/>
    <x v="3"/>
    <n v="7"/>
    <n v="11"/>
    <n v="16"/>
  </r>
  <r>
    <n v="26"/>
    <x v="1"/>
    <s v="Travel_Rarely"/>
    <n v="482"/>
    <x v="1"/>
    <n v="1"/>
    <n v="2"/>
    <s v="Life Sciences"/>
    <n v="1893"/>
    <n v="2"/>
    <s v="Female"/>
    <n v="90"/>
    <n v="2"/>
    <n v="1"/>
    <x v="1"/>
    <x v="2"/>
    <s v="Married"/>
    <n v="2933"/>
    <x v="1"/>
    <n v="14908"/>
    <n v="1"/>
    <x v="0"/>
    <n v="13"/>
    <n v="3"/>
    <n v="3"/>
    <n v="1"/>
    <n v="1"/>
    <n v="3"/>
    <n v="2"/>
    <n v="1"/>
    <x v="1"/>
    <n v="0"/>
    <n v="1"/>
    <n v="0"/>
  </r>
  <r>
    <n v="27"/>
    <x v="1"/>
    <s v="Travel_Rarely"/>
    <n v="511"/>
    <x v="0"/>
    <n v="2"/>
    <n v="2"/>
    <s v="Medical"/>
    <n v="1898"/>
    <n v="1"/>
    <s v="Female"/>
    <n v="89"/>
    <n v="4"/>
    <n v="2"/>
    <x v="0"/>
    <x v="2"/>
    <s v="Single"/>
    <n v="6500"/>
    <x v="0"/>
    <n v="26997"/>
    <n v="0"/>
    <x v="1"/>
    <n v="14"/>
    <n v="3"/>
    <n v="2"/>
    <n v="0"/>
    <n v="9"/>
    <n v="5"/>
    <n v="2"/>
    <n v="8"/>
    <x v="0"/>
    <n v="7"/>
    <n v="0"/>
    <n v="7"/>
  </r>
  <r>
    <n v="48"/>
    <x v="1"/>
    <s v="Travel_Frequently"/>
    <n v="117"/>
    <x v="1"/>
    <n v="22"/>
    <n v="3"/>
    <s v="Medical"/>
    <n v="1900"/>
    <n v="4"/>
    <s v="Female"/>
    <n v="58"/>
    <n v="3"/>
    <n v="4"/>
    <x v="5"/>
    <x v="0"/>
    <s v="Divorced"/>
    <n v="17174"/>
    <x v="2"/>
    <n v="2437"/>
    <n v="3"/>
    <x v="1"/>
    <n v="11"/>
    <n v="3"/>
    <n v="2"/>
    <n v="1"/>
    <n v="24"/>
    <n v="3"/>
    <n v="3"/>
    <n v="22"/>
    <x v="3"/>
    <n v="17"/>
    <n v="4"/>
    <n v="7"/>
  </r>
  <r>
    <n v="44"/>
    <x v="1"/>
    <s v="Travel_Rarely"/>
    <n v="170"/>
    <x v="1"/>
    <n v="1"/>
    <n v="4"/>
    <s v="Life Sciences"/>
    <n v="1903"/>
    <n v="2"/>
    <s v="Male"/>
    <n v="78"/>
    <n v="4"/>
    <n v="2"/>
    <x v="4"/>
    <x v="3"/>
    <s v="Married"/>
    <n v="5033"/>
    <x v="0"/>
    <n v="9364"/>
    <n v="2"/>
    <x v="1"/>
    <n v="15"/>
    <n v="3"/>
    <n v="4"/>
    <n v="1"/>
    <n v="10"/>
    <n v="5"/>
    <n v="3"/>
    <n v="2"/>
    <x v="1"/>
    <n v="0"/>
    <n v="2"/>
    <n v="2"/>
  </r>
  <r>
    <n v="34"/>
    <x v="0"/>
    <s v="Non-Travel"/>
    <n v="967"/>
    <x v="1"/>
    <n v="16"/>
    <n v="4"/>
    <s v="Technical Degree"/>
    <n v="1905"/>
    <n v="4"/>
    <s v="Male"/>
    <n v="85"/>
    <n v="1"/>
    <n v="1"/>
    <x v="1"/>
    <x v="3"/>
    <s v="Married"/>
    <n v="2307"/>
    <x v="1"/>
    <n v="14460"/>
    <n v="1"/>
    <x v="0"/>
    <n v="23"/>
    <n v="4"/>
    <n v="2"/>
    <n v="1"/>
    <n v="5"/>
    <n v="2"/>
    <n v="3"/>
    <n v="5"/>
    <x v="2"/>
    <n v="2"/>
    <n v="3"/>
    <n v="0"/>
  </r>
  <r>
    <n v="56"/>
    <x v="0"/>
    <s v="Travel_Rarely"/>
    <n v="1162"/>
    <x v="1"/>
    <n v="24"/>
    <n v="2"/>
    <s v="Life Sciences"/>
    <n v="1907"/>
    <n v="1"/>
    <s v="Male"/>
    <n v="97"/>
    <n v="3"/>
    <n v="1"/>
    <x v="2"/>
    <x v="0"/>
    <s v="Single"/>
    <n v="2587"/>
    <x v="1"/>
    <n v="10261"/>
    <n v="1"/>
    <x v="1"/>
    <n v="16"/>
    <n v="3"/>
    <n v="4"/>
    <n v="0"/>
    <n v="5"/>
    <n v="3"/>
    <n v="3"/>
    <n v="4"/>
    <x v="2"/>
    <n v="2"/>
    <n v="1"/>
    <n v="0"/>
  </r>
  <r>
    <n v="36"/>
    <x v="1"/>
    <s v="Travel_Rarely"/>
    <n v="335"/>
    <x v="0"/>
    <n v="17"/>
    <n v="2"/>
    <s v="Marketing"/>
    <n v="1908"/>
    <n v="3"/>
    <s v="Male"/>
    <n v="33"/>
    <n v="2"/>
    <n v="2"/>
    <x v="0"/>
    <x v="1"/>
    <s v="Married"/>
    <n v="5507"/>
    <x v="0"/>
    <n v="16822"/>
    <n v="2"/>
    <x v="1"/>
    <n v="16"/>
    <n v="3"/>
    <n v="3"/>
    <n v="2"/>
    <n v="12"/>
    <n v="1"/>
    <n v="1"/>
    <n v="4"/>
    <x v="2"/>
    <n v="2"/>
    <n v="1"/>
    <n v="3"/>
  </r>
  <r>
    <n v="41"/>
    <x v="1"/>
    <s v="Travel_Rarely"/>
    <n v="337"/>
    <x v="0"/>
    <n v="8"/>
    <n v="3"/>
    <s v="Marketing"/>
    <n v="1909"/>
    <n v="3"/>
    <s v="Female"/>
    <n v="54"/>
    <n v="3"/>
    <n v="2"/>
    <x v="0"/>
    <x v="1"/>
    <s v="Married"/>
    <n v="4393"/>
    <x v="0"/>
    <n v="26841"/>
    <n v="5"/>
    <x v="1"/>
    <n v="21"/>
    <n v="4"/>
    <n v="3"/>
    <n v="1"/>
    <n v="14"/>
    <n v="3"/>
    <n v="3"/>
    <n v="5"/>
    <x v="2"/>
    <n v="4"/>
    <n v="1"/>
    <n v="4"/>
  </r>
  <r>
    <n v="42"/>
    <x v="1"/>
    <s v="Travel_Rarely"/>
    <n v="1396"/>
    <x v="1"/>
    <n v="6"/>
    <n v="3"/>
    <s v="Medical"/>
    <n v="1911"/>
    <n v="3"/>
    <s v="Male"/>
    <n v="83"/>
    <n v="3"/>
    <n v="3"/>
    <x v="7"/>
    <x v="3"/>
    <s v="Married"/>
    <n v="13348"/>
    <x v="2"/>
    <n v="14842"/>
    <n v="9"/>
    <x v="1"/>
    <n v="13"/>
    <n v="3"/>
    <n v="2"/>
    <n v="1"/>
    <n v="18"/>
    <n v="3"/>
    <n v="4"/>
    <n v="13"/>
    <x v="3"/>
    <n v="7"/>
    <n v="5"/>
    <n v="7"/>
  </r>
  <r>
    <n v="31"/>
    <x v="1"/>
    <s v="Travel_Rarely"/>
    <n v="1079"/>
    <x v="0"/>
    <n v="10"/>
    <n v="2"/>
    <s v="Medical"/>
    <n v="1912"/>
    <n v="3"/>
    <s v="Female"/>
    <n v="86"/>
    <n v="3"/>
    <n v="2"/>
    <x v="0"/>
    <x v="0"/>
    <s v="Divorced"/>
    <n v="6583"/>
    <x v="0"/>
    <n v="20115"/>
    <n v="2"/>
    <x v="0"/>
    <n v="11"/>
    <n v="3"/>
    <n v="4"/>
    <n v="1"/>
    <n v="8"/>
    <n v="2"/>
    <n v="3"/>
    <n v="5"/>
    <x v="2"/>
    <n v="2"/>
    <n v="1"/>
    <n v="4"/>
  </r>
  <r>
    <n v="34"/>
    <x v="1"/>
    <s v="Travel_Rarely"/>
    <n v="735"/>
    <x v="0"/>
    <n v="3"/>
    <n v="1"/>
    <s v="Medical"/>
    <n v="1915"/>
    <n v="4"/>
    <s v="Female"/>
    <n v="75"/>
    <n v="2"/>
    <n v="2"/>
    <x v="0"/>
    <x v="0"/>
    <s v="Married"/>
    <n v="8103"/>
    <x v="2"/>
    <n v="16495"/>
    <n v="3"/>
    <x v="0"/>
    <n v="12"/>
    <n v="3"/>
    <n v="3"/>
    <n v="0"/>
    <n v="9"/>
    <n v="3"/>
    <n v="2"/>
    <n v="4"/>
    <x v="2"/>
    <n v="2"/>
    <n v="0"/>
    <n v="1"/>
  </r>
  <r>
    <n v="31"/>
    <x v="1"/>
    <s v="Travel_Rarely"/>
    <n v="471"/>
    <x v="1"/>
    <n v="4"/>
    <n v="3"/>
    <s v="Medical"/>
    <n v="1916"/>
    <n v="1"/>
    <s v="Female"/>
    <n v="62"/>
    <n v="4"/>
    <n v="1"/>
    <x v="2"/>
    <x v="2"/>
    <s v="Divorced"/>
    <n v="3978"/>
    <x v="0"/>
    <n v="16031"/>
    <n v="8"/>
    <x v="1"/>
    <n v="12"/>
    <n v="3"/>
    <n v="2"/>
    <n v="1"/>
    <n v="4"/>
    <n v="0"/>
    <n v="2"/>
    <n v="2"/>
    <x v="1"/>
    <n v="2"/>
    <n v="2"/>
    <n v="2"/>
  </r>
  <r>
    <n v="26"/>
    <x v="1"/>
    <s v="Travel_Frequently"/>
    <n v="1096"/>
    <x v="1"/>
    <n v="6"/>
    <n v="3"/>
    <s v="Other"/>
    <n v="1918"/>
    <n v="3"/>
    <s v="Male"/>
    <n v="61"/>
    <n v="4"/>
    <n v="1"/>
    <x v="2"/>
    <x v="0"/>
    <s v="Married"/>
    <n v="2544"/>
    <x v="1"/>
    <n v="7102"/>
    <n v="0"/>
    <x v="1"/>
    <n v="18"/>
    <n v="3"/>
    <n v="1"/>
    <n v="1"/>
    <n v="8"/>
    <n v="3"/>
    <n v="3"/>
    <n v="7"/>
    <x v="0"/>
    <n v="7"/>
    <n v="7"/>
    <n v="7"/>
  </r>
  <r>
    <n v="45"/>
    <x v="1"/>
    <s v="Travel_Frequently"/>
    <n v="1297"/>
    <x v="1"/>
    <n v="1"/>
    <n v="4"/>
    <s v="Medical"/>
    <n v="1922"/>
    <n v="2"/>
    <s v="Male"/>
    <n v="44"/>
    <n v="3"/>
    <n v="2"/>
    <x v="4"/>
    <x v="2"/>
    <s v="Single"/>
    <n v="5399"/>
    <x v="0"/>
    <n v="14511"/>
    <n v="4"/>
    <x v="1"/>
    <n v="12"/>
    <n v="3"/>
    <n v="3"/>
    <n v="0"/>
    <n v="12"/>
    <n v="3"/>
    <n v="3"/>
    <n v="4"/>
    <x v="2"/>
    <n v="2"/>
    <n v="0"/>
    <n v="3"/>
  </r>
  <r>
    <n v="33"/>
    <x v="1"/>
    <s v="Travel_Rarely"/>
    <n v="217"/>
    <x v="0"/>
    <n v="10"/>
    <n v="4"/>
    <s v="Marketing"/>
    <n v="1924"/>
    <n v="2"/>
    <s v="Male"/>
    <n v="43"/>
    <n v="3"/>
    <n v="2"/>
    <x v="0"/>
    <x v="2"/>
    <s v="Single"/>
    <n v="5487"/>
    <x v="0"/>
    <n v="10410"/>
    <n v="1"/>
    <x v="1"/>
    <n v="14"/>
    <n v="3"/>
    <n v="2"/>
    <n v="0"/>
    <n v="10"/>
    <n v="2"/>
    <n v="2"/>
    <n v="10"/>
    <x v="0"/>
    <n v="4"/>
    <n v="0"/>
    <n v="9"/>
  </r>
  <r>
    <n v="28"/>
    <x v="1"/>
    <s v="Travel_Frequently"/>
    <n v="783"/>
    <x v="0"/>
    <n v="1"/>
    <n v="2"/>
    <s v="Life Sciences"/>
    <n v="1927"/>
    <n v="3"/>
    <s v="Male"/>
    <n v="42"/>
    <n v="2"/>
    <n v="2"/>
    <x v="0"/>
    <x v="0"/>
    <s v="Married"/>
    <n v="6834"/>
    <x v="0"/>
    <n v="19255"/>
    <n v="1"/>
    <x v="0"/>
    <n v="12"/>
    <n v="3"/>
    <n v="3"/>
    <n v="1"/>
    <n v="7"/>
    <n v="2"/>
    <n v="3"/>
    <n v="7"/>
    <x v="0"/>
    <n v="7"/>
    <n v="0"/>
    <n v="7"/>
  </r>
  <r>
    <n v="29"/>
    <x v="0"/>
    <s v="Travel_Frequently"/>
    <n v="746"/>
    <x v="0"/>
    <n v="24"/>
    <n v="3"/>
    <s v="Technical Degree"/>
    <n v="1928"/>
    <n v="3"/>
    <s v="Male"/>
    <n v="45"/>
    <n v="4"/>
    <n v="1"/>
    <x v="6"/>
    <x v="3"/>
    <s v="Single"/>
    <n v="1091"/>
    <x v="1"/>
    <n v="10642"/>
    <n v="1"/>
    <x v="1"/>
    <n v="17"/>
    <n v="3"/>
    <n v="4"/>
    <n v="0"/>
    <n v="1"/>
    <n v="3"/>
    <n v="3"/>
    <n v="1"/>
    <x v="1"/>
    <n v="0"/>
    <n v="0"/>
    <n v="0"/>
  </r>
  <r>
    <n v="39"/>
    <x v="1"/>
    <s v="Non-Travel"/>
    <n v="1251"/>
    <x v="0"/>
    <n v="21"/>
    <n v="4"/>
    <s v="Life Sciences"/>
    <n v="1929"/>
    <n v="1"/>
    <s v="Female"/>
    <n v="32"/>
    <n v="1"/>
    <n v="2"/>
    <x v="0"/>
    <x v="2"/>
    <s v="Married"/>
    <n v="5736"/>
    <x v="0"/>
    <n v="3987"/>
    <n v="6"/>
    <x v="1"/>
    <n v="19"/>
    <n v="3"/>
    <n v="3"/>
    <n v="1"/>
    <n v="10"/>
    <n v="1"/>
    <n v="3"/>
    <n v="3"/>
    <x v="2"/>
    <n v="2"/>
    <n v="1"/>
    <n v="2"/>
  </r>
  <r>
    <n v="27"/>
    <x v="1"/>
    <s v="Travel_Rarely"/>
    <n v="1354"/>
    <x v="1"/>
    <n v="2"/>
    <n v="4"/>
    <s v="Technical Degree"/>
    <n v="1931"/>
    <n v="2"/>
    <s v="Male"/>
    <n v="41"/>
    <n v="3"/>
    <n v="1"/>
    <x v="1"/>
    <x v="1"/>
    <s v="Married"/>
    <n v="2226"/>
    <x v="1"/>
    <n v="6073"/>
    <n v="1"/>
    <x v="1"/>
    <n v="11"/>
    <n v="3"/>
    <n v="3"/>
    <n v="1"/>
    <n v="6"/>
    <n v="3"/>
    <n v="2"/>
    <n v="5"/>
    <x v="2"/>
    <n v="3"/>
    <n v="1"/>
    <n v="2"/>
  </r>
  <r>
    <n v="34"/>
    <x v="1"/>
    <s v="Travel_Frequently"/>
    <n v="735"/>
    <x v="1"/>
    <n v="22"/>
    <n v="4"/>
    <s v="Other"/>
    <n v="1932"/>
    <n v="3"/>
    <s v="Male"/>
    <n v="86"/>
    <n v="2"/>
    <n v="2"/>
    <x v="1"/>
    <x v="0"/>
    <s v="Married"/>
    <n v="5747"/>
    <x v="0"/>
    <n v="26496"/>
    <n v="1"/>
    <x v="0"/>
    <n v="15"/>
    <n v="3"/>
    <n v="2"/>
    <n v="0"/>
    <n v="16"/>
    <n v="3"/>
    <n v="3"/>
    <n v="15"/>
    <x v="3"/>
    <n v="10"/>
    <n v="6"/>
    <n v="11"/>
  </r>
  <r>
    <n v="28"/>
    <x v="0"/>
    <s v="Travel_Rarely"/>
    <n v="1475"/>
    <x v="0"/>
    <n v="13"/>
    <n v="2"/>
    <s v="Marketing"/>
    <n v="1933"/>
    <n v="4"/>
    <s v="Female"/>
    <n v="84"/>
    <n v="3"/>
    <n v="2"/>
    <x v="0"/>
    <x v="2"/>
    <s v="Single"/>
    <n v="9854"/>
    <x v="2"/>
    <n v="23352"/>
    <n v="3"/>
    <x v="0"/>
    <n v="11"/>
    <n v="3"/>
    <n v="4"/>
    <n v="0"/>
    <n v="6"/>
    <n v="0"/>
    <n v="3"/>
    <n v="2"/>
    <x v="1"/>
    <n v="0"/>
    <n v="2"/>
    <n v="2"/>
  </r>
  <r>
    <n v="47"/>
    <x v="1"/>
    <s v="Non-Travel"/>
    <n v="1169"/>
    <x v="1"/>
    <n v="14"/>
    <n v="4"/>
    <s v="Technical Degree"/>
    <n v="1934"/>
    <n v="3"/>
    <s v="Male"/>
    <n v="64"/>
    <n v="3"/>
    <n v="2"/>
    <x v="1"/>
    <x v="1"/>
    <s v="Married"/>
    <n v="5467"/>
    <x v="0"/>
    <n v="2125"/>
    <n v="8"/>
    <x v="1"/>
    <n v="18"/>
    <n v="3"/>
    <n v="3"/>
    <n v="1"/>
    <n v="16"/>
    <n v="4"/>
    <n v="4"/>
    <n v="8"/>
    <x v="0"/>
    <n v="7"/>
    <n v="1"/>
    <n v="7"/>
  </r>
  <r>
    <n v="56"/>
    <x v="1"/>
    <s v="Travel_Rarely"/>
    <n v="1443"/>
    <x v="0"/>
    <n v="11"/>
    <n v="5"/>
    <s v="Marketing"/>
    <n v="1935"/>
    <n v="4"/>
    <s v="Female"/>
    <n v="89"/>
    <n v="2"/>
    <n v="2"/>
    <x v="0"/>
    <x v="3"/>
    <s v="Married"/>
    <n v="5380"/>
    <x v="0"/>
    <n v="20328"/>
    <n v="4"/>
    <x v="1"/>
    <n v="16"/>
    <n v="3"/>
    <n v="3"/>
    <n v="1"/>
    <n v="6"/>
    <n v="3"/>
    <n v="3"/>
    <n v="0"/>
    <x v="1"/>
    <n v="0"/>
    <n v="0"/>
    <n v="0"/>
  </r>
  <r>
    <n v="39"/>
    <x v="1"/>
    <s v="Travel_Rarely"/>
    <n v="867"/>
    <x v="1"/>
    <n v="9"/>
    <n v="2"/>
    <s v="Medical"/>
    <n v="1936"/>
    <n v="1"/>
    <s v="Male"/>
    <n v="87"/>
    <n v="3"/>
    <n v="2"/>
    <x v="3"/>
    <x v="3"/>
    <s v="Married"/>
    <n v="5151"/>
    <x v="0"/>
    <n v="12315"/>
    <n v="1"/>
    <x v="1"/>
    <n v="25"/>
    <n v="4"/>
    <n v="4"/>
    <n v="1"/>
    <n v="10"/>
    <n v="3"/>
    <n v="3"/>
    <n v="10"/>
    <x v="0"/>
    <n v="0"/>
    <n v="7"/>
    <n v="9"/>
  </r>
  <r>
    <n v="38"/>
    <x v="1"/>
    <s v="Travel_Frequently"/>
    <n v="1394"/>
    <x v="1"/>
    <n v="8"/>
    <n v="3"/>
    <s v="Medical"/>
    <n v="1937"/>
    <n v="4"/>
    <s v="Female"/>
    <n v="58"/>
    <n v="2"/>
    <n v="2"/>
    <x v="1"/>
    <x v="1"/>
    <s v="Divorced"/>
    <n v="2133"/>
    <x v="1"/>
    <n v="18115"/>
    <n v="1"/>
    <x v="0"/>
    <n v="16"/>
    <n v="3"/>
    <n v="3"/>
    <n v="1"/>
    <n v="20"/>
    <n v="3"/>
    <n v="3"/>
    <n v="20"/>
    <x v="3"/>
    <n v="11"/>
    <n v="0"/>
    <n v="7"/>
  </r>
  <r>
    <n v="58"/>
    <x v="1"/>
    <s v="Travel_Rarely"/>
    <n v="605"/>
    <x v="0"/>
    <n v="21"/>
    <n v="3"/>
    <s v="Life Sciences"/>
    <n v="1938"/>
    <n v="4"/>
    <s v="Female"/>
    <n v="72"/>
    <n v="3"/>
    <n v="4"/>
    <x v="5"/>
    <x v="0"/>
    <s v="Married"/>
    <n v="17875"/>
    <x v="2"/>
    <n v="11761"/>
    <n v="4"/>
    <x v="0"/>
    <n v="13"/>
    <n v="3"/>
    <n v="3"/>
    <n v="1"/>
    <n v="29"/>
    <n v="2"/>
    <n v="2"/>
    <n v="1"/>
    <x v="1"/>
    <n v="0"/>
    <n v="0"/>
    <n v="0"/>
  </r>
  <r>
    <n v="32"/>
    <x v="0"/>
    <s v="Travel_Frequently"/>
    <n v="238"/>
    <x v="1"/>
    <n v="5"/>
    <n v="2"/>
    <s v="Life Sciences"/>
    <n v="1939"/>
    <n v="1"/>
    <s v="Female"/>
    <n v="47"/>
    <n v="4"/>
    <n v="1"/>
    <x v="1"/>
    <x v="2"/>
    <s v="Single"/>
    <n v="2432"/>
    <x v="1"/>
    <n v="15318"/>
    <n v="3"/>
    <x v="0"/>
    <n v="14"/>
    <n v="3"/>
    <n v="1"/>
    <n v="0"/>
    <n v="8"/>
    <n v="2"/>
    <n v="3"/>
    <n v="4"/>
    <x v="2"/>
    <n v="1"/>
    <n v="0"/>
    <n v="3"/>
  </r>
  <r>
    <n v="38"/>
    <x v="1"/>
    <s v="Travel_Rarely"/>
    <n v="1206"/>
    <x v="1"/>
    <n v="9"/>
    <n v="2"/>
    <s v="Life Sciences"/>
    <n v="1940"/>
    <n v="2"/>
    <s v="Male"/>
    <n v="71"/>
    <n v="3"/>
    <n v="1"/>
    <x v="1"/>
    <x v="0"/>
    <s v="Divorced"/>
    <n v="4771"/>
    <x v="0"/>
    <n v="14293"/>
    <n v="2"/>
    <x v="1"/>
    <n v="19"/>
    <n v="3"/>
    <n v="4"/>
    <n v="2"/>
    <n v="10"/>
    <n v="0"/>
    <n v="4"/>
    <n v="5"/>
    <x v="2"/>
    <n v="2"/>
    <n v="0"/>
    <n v="3"/>
  </r>
  <r>
    <n v="49"/>
    <x v="1"/>
    <s v="Travel_Frequently"/>
    <n v="1064"/>
    <x v="1"/>
    <n v="2"/>
    <n v="1"/>
    <s v="Life Sciences"/>
    <n v="1941"/>
    <n v="2"/>
    <s v="Male"/>
    <n v="42"/>
    <n v="3"/>
    <n v="5"/>
    <x v="7"/>
    <x v="0"/>
    <s v="Married"/>
    <n v="19161"/>
    <x v="2"/>
    <n v="13738"/>
    <n v="3"/>
    <x v="1"/>
    <n v="15"/>
    <n v="3"/>
    <n v="4"/>
    <n v="0"/>
    <n v="28"/>
    <n v="3"/>
    <n v="3"/>
    <n v="5"/>
    <x v="2"/>
    <n v="4"/>
    <n v="4"/>
    <n v="3"/>
  </r>
  <r>
    <n v="42"/>
    <x v="1"/>
    <s v="Travel_Rarely"/>
    <n v="419"/>
    <x v="0"/>
    <n v="12"/>
    <n v="4"/>
    <s v="Marketing"/>
    <n v="1943"/>
    <n v="2"/>
    <s v="Male"/>
    <n v="77"/>
    <n v="3"/>
    <n v="2"/>
    <x v="0"/>
    <x v="0"/>
    <s v="Divorced"/>
    <n v="5087"/>
    <x v="0"/>
    <n v="2900"/>
    <n v="3"/>
    <x v="0"/>
    <n v="12"/>
    <n v="3"/>
    <n v="3"/>
    <n v="2"/>
    <n v="14"/>
    <n v="4"/>
    <n v="3"/>
    <n v="0"/>
    <x v="1"/>
    <n v="0"/>
    <n v="0"/>
    <n v="0"/>
  </r>
  <r>
    <n v="27"/>
    <x v="0"/>
    <s v="Travel_Frequently"/>
    <n v="1337"/>
    <x v="2"/>
    <n v="22"/>
    <n v="3"/>
    <s v="Human Resources"/>
    <n v="1944"/>
    <n v="1"/>
    <s v="Female"/>
    <n v="58"/>
    <n v="2"/>
    <n v="1"/>
    <x v="8"/>
    <x v="1"/>
    <s v="Married"/>
    <n v="2863"/>
    <x v="1"/>
    <n v="19555"/>
    <n v="1"/>
    <x v="1"/>
    <n v="12"/>
    <n v="3"/>
    <n v="1"/>
    <n v="0"/>
    <n v="1"/>
    <n v="2"/>
    <n v="3"/>
    <n v="1"/>
    <x v="1"/>
    <n v="0"/>
    <n v="0"/>
    <n v="0"/>
  </r>
  <r>
    <n v="35"/>
    <x v="1"/>
    <s v="Travel_Rarely"/>
    <n v="682"/>
    <x v="0"/>
    <n v="18"/>
    <n v="4"/>
    <s v="Medical"/>
    <n v="1945"/>
    <n v="2"/>
    <s v="Male"/>
    <n v="71"/>
    <n v="3"/>
    <n v="2"/>
    <x v="0"/>
    <x v="3"/>
    <s v="Married"/>
    <n v="5561"/>
    <x v="0"/>
    <n v="15975"/>
    <n v="0"/>
    <x v="1"/>
    <n v="16"/>
    <n v="3"/>
    <n v="4"/>
    <n v="1"/>
    <n v="6"/>
    <n v="2"/>
    <n v="1"/>
    <n v="5"/>
    <x v="2"/>
    <n v="3"/>
    <n v="0"/>
    <n v="4"/>
  </r>
  <r>
    <n v="28"/>
    <x v="1"/>
    <s v="Non-Travel"/>
    <n v="1103"/>
    <x v="1"/>
    <n v="16"/>
    <n v="3"/>
    <s v="Medical"/>
    <n v="1947"/>
    <n v="3"/>
    <s v="Male"/>
    <n v="49"/>
    <n v="3"/>
    <n v="1"/>
    <x v="1"/>
    <x v="2"/>
    <s v="Single"/>
    <n v="2144"/>
    <x v="1"/>
    <n v="2122"/>
    <n v="1"/>
    <x v="1"/>
    <n v="14"/>
    <n v="3"/>
    <n v="3"/>
    <n v="0"/>
    <n v="5"/>
    <n v="3"/>
    <n v="2"/>
    <n v="5"/>
    <x v="2"/>
    <n v="3"/>
    <n v="1"/>
    <n v="4"/>
  </r>
  <r>
    <n v="31"/>
    <x v="1"/>
    <s v="Non-Travel"/>
    <n v="976"/>
    <x v="1"/>
    <n v="3"/>
    <n v="2"/>
    <s v="Medical"/>
    <n v="1948"/>
    <n v="3"/>
    <s v="Male"/>
    <n v="48"/>
    <n v="3"/>
    <n v="1"/>
    <x v="1"/>
    <x v="3"/>
    <s v="Divorced"/>
    <n v="3065"/>
    <x v="0"/>
    <n v="3995"/>
    <n v="1"/>
    <x v="0"/>
    <n v="13"/>
    <n v="3"/>
    <n v="4"/>
    <n v="1"/>
    <n v="4"/>
    <n v="3"/>
    <n v="4"/>
    <n v="4"/>
    <x v="2"/>
    <n v="2"/>
    <n v="2"/>
    <n v="3"/>
  </r>
  <r>
    <n v="36"/>
    <x v="1"/>
    <s v="Non-Travel"/>
    <n v="1351"/>
    <x v="1"/>
    <n v="9"/>
    <n v="4"/>
    <s v="Life Sciences"/>
    <n v="1949"/>
    <n v="1"/>
    <s v="Male"/>
    <n v="66"/>
    <n v="4"/>
    <n v="1"/>
    <x v="2"/>
    <x v="1"/>
    <s v="Married"/>
    <n v="2810"/>
    <x v="1"/>
    <n v="9238"/>
    <n v="1"/>
    <x v="1"/>
    <n v="22"/>
    <n v="4"/>
    <n v="2"/>
    <n v="0"/>
    <n v="5"/>
    <n v="3"/>
    <n v="3"/>
    <n v="5"/>
    <x v="2"/>
    <n v="4"/>
    <n v="0"/>
    <n v="2"/>
  </r>
  <r>
    <n v="34"/>
    <x v="1"/>
    <s v="Travel_Rarely"/>
    <n v="937"/>
    <x v="0"/>
    <n v="1"/>
    <n v="3"/>
    <s v="Marketing"/>
    <n v="1950"/>
    <n v="1"/>
    <s v="Male"/>
    <n v="32"/>
    <n v="3"/>
    <n v="3"/>
    <x v="0"/>
    <x v="0"/>
    <s v="Single"/>
    <n v="9888"/>
    <x v="2"/>
    <n v="6770"/>
    <n v="1"/>
    <x v="1"/>
    <n v="21"/>
    <n v="4"/>
    <n v="1"/>
    <n v="0"/>
    <n v="14"/>
    <n v="3"/>
    <n v="2"/>
    <n v="14"/>
    <x v="3"/>
    <n v="8"/>
    <n v="2"/>
    <n v="1"/>
  </r>
  <r>
    <n v="34"/>
    <x v="1"/>
    <s v="Travel_Rarely"/>
    <n v="1239"/>
    <x v="0"/>
    <n v="13"/>
    <n v="4"/>
    <s v="Medical"/>
    <n v="1951"/>
    <n v="4"/>
    <s v="Male"/>
    <n v="39"/>
    <n v="3"/>
    <n v="3"/>
    <x v="0"/>
    <x v="2"/>
    <s v="Divorced"/>
    <n v="8628"/>
    <x v="2"/>
    <n v="22914"/>
    <n v="1"/>
    <x v="1"/>
    <n v="18"/>
    <n v="3"/>
    <n v="3"/>
    <n v="1"/>
    <n v="9"/>
    <n v="2"/>
    <n v="2"/>
    <n v="8"/>
    <x v="0"/>
    <n v="7"/>
    <n v="1"/>
    <n v="1"/>
  </r>
  <r>
    <n v="26"/>
    <x v="1"/>
    <s v="Travel_Rarely"/>
    <n v="157"/>
    <x v="1"/>
    <n v="1"/>
    <n v="3"/>
    <s v="Medical"/>
    <n v="1952"/>
    <n v="3"/>
    <s v="Male"/>
    <n v="95"/>
    <n v="3"/>
    <n v="1"/>
    <x v="2"/>
    <x v="3"/>
    <s v="Single"/>
    <n v="2867"/>
    <x v="1"/>
    <n v="20006"/>
    <n v="0"/>
    <x v="1"/>
    <n v="13"/>
    <n v="3"/>
    <n v="4"/>
    <n v="0"/>
    <n v="8"/>
    <n v="6"/>
    <n v="2"/>
    <n v="7"/>
    <x v="0"/>
    <n v="7"/>
    <n v="7"/>
    <n v="6"/>
  </r>
  <r>
    <n v="29"/>
    <x v="1"/>
    <s v="Travel_Rarely"/>
    <n v="136"/>
    <x v="1"/>
    <n v="1"/>
    <n v="3"/>
    <s v="Life Sciences"/>
    <n v="1954"/>
    <n v="1"/>
    <s v="Male"/>
    <n v="89"/>
    <n v="3"/>
    <n v="2"/>
    <x v="4"/>
    <x v="3"/>
    <s v="Married"/>
    <n v="5373"/>
    <x v="0"/>
    <n v="6225"/>
    <n v="0"/>
    <x v="1"/>
    <n v="12"/>
    <n v="3"/>
    <n v="1"/>
    <n v="1"/>
    <n v="6"/>
    <n v="5"/>
    <n v="2"/>
    <n v="5"/>
    <x v="2"/>
    <n v="3"/>
    <n v="0"/>
    <n v="2"/>
  </r>
  <r>
    <n v="32"/>
    <x v="1"/>
    <s v="Non-Travel"/>
    <n v="1146"/>
    <x v="1"/>
    <n v="15"/>
    <n v="4"/>
    <s v="Medical"/>
    <n v="1955"/>
    <n v="3"/>
    <s v="Female"/>
    <n v="34"/>
    <n v="3"/>
    <n v="2"/>
    <x v="4"/>
    <x v="0"/>
    <s v="Divorced"/>
    <n v="6667"/>
    <x v="0"/>
    <n v="16542"/>
    <n v="5"/>
    <x v="1"/>
    <n v="18"/>
    <n v="3"/>
    <n v="2"/>
    <n v="1"/>
    <n v="9"/>
    <n v="6"/>
    <n v="3"/>
    <n v="5"/>
    <x v="2"/>
    <n v="1"/>
    <n v="1"/>
    <n v="2"/>
  </r>
  <r>
    <n v="31"/>
    <x v="1"/>
    <s v="Travel_Frequently"/>
    <n v="1125"/>
    <x v="1"/>
    <n v="1"/>
    <n v="3"/>
    <s v="Life Sciences"/>
    <n v="1956"/>
    <n v="4"/>
    <s v="Male"/>
    <n v="48"/>
    <n v="1"/>
    <n v="2"/>
    <x v="1"/>
    <x v="3"/>
    <s v="Married"/>
    <n v="5003"/>
    <x v="0"/>
    <n v="5771"/>
    <n v="1"/>
    <x v="1"/>
    <n v="21"/>
    <n v="4"/>
    <n v="2"/>
    <n v="0"/>
    <n v="10"/>
    <n v="6"/>
    <n v="3"/>
    <n v="10"/>
    <x v="0"/>
    <n v="8"/>
    <n v="8"/>
    <n v="7"/>
  </r>
  <r>
    <n v="28"/>
    <x v="0"/>
    <s v="Travel_Rarely"/>
    <n v="1404"/>
    <x v="1"/>
    <n v="17"/>
    <n v="3"/>
    <s v="Technical Degree"/>
    <n v="1960"/>
    <n v="3"/>
    <s v="Male"/>
    <n v="32"/>
    <n v="2"/>
    <n v="1"/>
    <x v="2"/>
    <x v="0"/>
    <s v="Divorced"/>
    <n v="2367"/>
    <x v="1"/>
    <n v="18779"/>
    <n v="5"/>
    <x v="1"/>
    <n v="12"/>
    <n v="3"/>
    <n v="1"/>
    <n v="1"/>
    <n v="6"/>
    <n v="2"/>
    <n v="2"/>
    <n v="4"/>
    <x v="2"/>
    <n v="1"/>
    <n v="0"/>
    <n v="3"/>
  </r>
  <r>
    <n v="38"/>
    <x v="1"/>
    <s v="Travel_Rarely"/>
    <n v="1404"/>
    <x v="0"/>
    <n v="1"/>
    <n v="3"/>
    <s v="Life Sciences"/>
    <n v="1961"/>
    <n v="1"/>
    <s v="Male"/>
    <n v="59"/>
    <n v="2"/>
    <n v="1"/>
    <x v="6"/>
    <x v="3"/>
    <s v="Single"/>
    <n v="2858"/>
    <x v="1"/>
    <n v="11473"/>
    <n v="4"/>
    <x v="1"/>
    <n v="14"/>
    <n v="3"/>
    <n v="1"/>
    <n v="0"/>
    <n v="20"/>
    <n v="3"/>
    <n v="2"/>
    <n v="1"/>
    <x v="1"/>
    <n v="0"/>
    <n v="0"/>
    <n v="0"/>
  </r>
  <r>
    <n v="35"/>
    <x v="1"/>
    <s v="Travel_Rarely"/>
    <n v="1224"/>
    <x v="0"/>
    <n v="7"/>
    <n v="4"/>
    <s v="Life Sciences"/>
    <n v="1962"/>
    <n v="3"/>
    <s v="Female"/>
    <n v="55"/>
    <n v="3"/>
    <n v="2"/>
    <x v="0"/>
    <x v="0"/>
    <s v="Married"/>
    <n v="5204"/>
    <x v="0"/>
    <n v="13586"/>
    <n v="1"/>
    <x v="0"/>
    <n v="11"/>
    <n v="3"/>
    <n v="4"/>
    <n v="0"/>
    <n v="10"/>
    <n v="2"/>
    <n v="3"/>
    <n v="10"/>
    <x v="0"/>
    <n v="8"/>
    <n v="0"/>
    <n v="9"/>
  </r>
  <r>
    <n v="27"/>
    <x v="1"/>
    <s v="Travel_Rarely"/>
    <n v="954"/>
    <x v="0"/>
    <n v="9"/>
    <n v="3"/>
    <s v="Marketing"/>
    <n v="1965"/>
    <n v="4"/>
    <s v="Male"/>
    <n v="44"/>
    <n v="3"/>
    <n v="2"/>
    <x v="0"/>
    <x v="0"/>
    <s v="Single"/>
    <n v="4105"/>
    <x v="0"/>
    <n v="5099"/>
    <n v="1"/>
    <x v="1"/>
    <n v="14"/>
    <n v="3"/>
    <n v="1"/>
    <n v="0"/>
    <n v="7"/>
    <n v="5"/>
    <n v="3"/>
    <n v="7"/>
    <x v="0"/>
    <n v="7"/>
    <n v="0"/>
    <n v="7"/>
  </r>
  <r>
    <n v="32"/>
    <x v="1"/>
    <s v="Travel_Rarely"/>
    <n v="1373"/>
    <x v="1"/>
    <n v="5"/>
    <n v="4"/>
    <s v="Life Sciences"/>
    <n v="1966"/>
    <n v="4"/>
    <s v="Male"/>
    <n v="56"/>
    <n v="2"/>
    <n v="2"/>
    <x v="3"/>
    <x v="0"/>
    <s v="Single"/>
    <n v="9679"/>
    <x v="2"/>
    <n v="10138"/>
    <n v="8"/>
    <x v="1"/>
    <n v="24"/>
    <n v="4"/>
    <n v="2"/>
    <n v="0"/>
    <n v="8"/>
    <n v="1"/>
    <n v="3"/>
    <n v="1"/>
    <x v="1"/>
    <n v="0"/>
    <n v="0"/>
    <n v="0"/>
  </r>
  <r>
    <n v="31"/>
    <x v="0"/>
    <s v="Travel_Frequently"/>
    <n v="754"/>
    <x v="0"/>
    <n v="26"/>
    <n v="4"/>
    <s v="Marketing"/>
    <n v="1967"/>
    <n v="1"/>
    <s v="Male"/>
    <n v="63"/>
    <n v="3"/>
    <n v="2"/>
    <x v="0"/>
    <x v="0"/>
    <s v="Married"/>
    <n v="5617"/>
    <x v="0"/>
    <n v="21075"/>
    <n v="1"/>
    <x v="0"/>
    <n v="11"/>
    <n v="3"/>
    <n v="3"/>
    <n v="0"/>
    <n v="10"/>
    <n v="4"/>
    <n v="3"/>
    <n v="10"/>
    <x v="0"/>
    <n v="7"/>
    <n v="0"/>
    <n v="8"/>
  </r>
  <r>
    <n v="53"/>
    <x v="0"/>
    <s v="Travel_Rarely"/>
    <n v="1168"/>
    <x v="0"/>
    <n v="24"/>
    <n v="4"/>
    <s v="Life Sciences"/>
    <n v="1968"/>
    <n v="1"/>
    <s v="Male"/>
    <n v="66"/>
    <n v="3"/>
    <n v="3"/>
    <x v="0"/>
    <x v="3"/>
    <s v="Single"/>
    <n v="10448"/>
    <x v="2"/>
    <n v="5843"/>
    <n v="6"/>
    <x v="0"/>
    <n v="13"/>
    <n v="3"/>
    <n v="2"/>
    <n v="0"/>
    <n v="15"/>
    <n v="2"/>
    <n v="2"/>
    <n v="2"/>
    <x v="1"/>
    <n v="2"/>
    <n v="2"/>
    <n v="2"/>
  </r>
  <r>
    <n v="54"/>
    <x v="1"/>
    <s v="Travel_Rarely"/>
    <n v="155"/>
    <x v="1"/>
    <n v="9"/>
    <n v="2"/>
    <s v="Life Sciences"/>
    <n v="1969"/>
    <n v="1"/>
    <s v="Female"/>
    <n v="67"/>
    <n v="3"/>
    <n v="2"/>
    <x v="1"/>
    <x v="2"/>
    <s v="Married"/>
    <n v="2897"/>
    <x v="1"/>
    <n v="22474"/>
    <n v="3"/>
    <x v="1"/>
    <n v="11"/>
    <n v="3"/>
    <n v="3"/>
    <n v="2"/>
    <n v="9"/>
    <n v="6"/>
    <n v="2"/>
    <n v="4"/>
    <x v="2"/>
    <n v="3"/>
    <n v="2"/>
    <n v="3"/>
  </r>
  <r>
    <n v="33"/>
    <x v="1"/>
    <s v="Travel_Frequently"/>
    <n v="1303"/>
    <x v="1"/>
    <n v="7"/>
    <n v="2"/>
    <s v="Life Sciences"/>
    <n v="1970"/>
    <n v="4"/>
    <s v="Male"/>
    <n v="36"/>
    <n v="3"/>
    <n v="2"/>
    <x v="4"/>
    <x v="2"/>
    <s v="Divorced"/>
    <n v="5968"/>
    <x v="0"/>
    <n v="18079"/>
    <n v="1"/>
    <x v="1"/>
    <n v="20"/>
    <n v="4"/>
    <n v="3"/>
    <n v="3"/>
    <n v="9"/>
    <n v="2"/>
    <n v="3"/>
    <n v="9"/>
    <x v="0"/>
    <n v="7"/>
    <n v="2"/>
    <n v="8"/>
  </r>
  <r>
    <n v="43"/>
    <x v="1"/>
    <s v="Travel_Rarely"/>
    <n v="574"/>
    <x v="1"/>
    <n v="11"/>
    <n v="3"/>
    <s v="Life Sciences"/>
    <n v="1971"/>
    <n v="1"/>
    <s v="Male"/>
    <n v="30"/>
    <n v="3"/>
    <n v="3"/>
    <x v="4"/>
    <x v="2"/>
    <s v="Married"/>
    <n v="7510"/>
    <x v="2"/>
    <n v="16873"/>
    <n v="1"/>
    <x v="1"/>
    <n v="17"/>
    <n v="3"/>
    <n v="2"/>
    <n v="1"/>
    <n v="10"/>
    <n v="1"/>
    <n v="3"/>
    <n v="10"/>
    <x v="0"/>
    <n v="9"/>
    <n v="0"/>
    <n v="9"/>
  </r>
  <r>
    <n v="38"/>
    <x v="1"/>
    <s v="Travel_Frequently"/>
    <n v="1444"/>
    <x v="2"/>
    <n v="1"/>
    <n v="4"/>
    <s v="Other"/>
    <n v="1972"/>
    <n v="4"/>
    <s v="Male"/>
    <n v="88"/>
    <n v="3"/>
    <n v="1"/>
    <x v="8"/>
    <x v="1"/>
    <s v="Married"/>
    <n v="2991"/>
    <x v="1"/>
    <n v="5224"/>
    <n v="0"/>
    <x v="0"/>
    <n v="11"/>
    <n v="3"/>
    <n v="2"/>
    <n v="1"/>
    <n v="7"/>
    <n v="2"/>
    <n v="3"/>
    <n v="6"/>
    <x v="0"/>
    <n v="2"/>
    <n v="1"/>
    <n v="2"/>
  </r>
  <r>
    <n v="55"/>
    <x v="1"/>
    <s v="Travel_Rarely"/>
    <n v="189"/>
    <x v="2"/>
    <n v="26"/>
    <n v="4"/>
    <s v="Human Resources"/>
    <n v="1973"/>
    <n v="3"/>
    <s v="Male"/>
    <n v="71"/>
    <n v="4"/>
    <n v="5"/>
    <x v="5"/>
    <x v="1"/>
    <s v="Married"/>
    <n v="19636"/>
    <x v="2"/>
    <n v="25811"/>
    <n v="4"/>
    <x v="0"/>
    <n v="18"/>
    <n v="3"/>
    <n v="1"/>
    <n v="1"/>
    <n v="35"/>
    <n v="0"/>
    <n v="3"/>
    <n v="10"/>
    <x v="0"/>
    <n v="9"/>
    <n v="1"/>
    <n v="4"/>
  </r>
  <r>
    <n v="31"/>
    <x v="1"/>
    <s v="Travel_Rarely"/>
    <n v="1276"/>
    <x v="1"/>
    <n v="2"/>
    <n v="1"/>
    <s v="Medical"/>
    <n v="1974"/>
    <n v="4"/>
    <s v="Female"/>
    <n v="59"/>
    <n v="1"/>
    <n v="1"/>
    <x v="2"/>
    <x v="0"/>
    <s v="Divorced"/>
    <n v="1129"/>
    <x v="1"/>
    <n v="17536"/>
    <n v="1"/>
    <x v="0"/>
    <n v="11"/>
    <n v="3"/>
    <n v="3"/>
    <n v="3"/>
    <n v="1"/>
    <n v="4"/>
    <n v="3"/>
    <n v="1"/>
    <x v="1"/>
    <n v="0"/>
    <n v="0"/>
    <n v="0"/>
  </r>
  <r>
    <n v="39"/>
    <x v="1"/>
    <s v="Travel_Rarely"/>
    <n v="119"/>
    <x v="0"/>
    <n v="15"/>
    <n v="4"/>
    <s v="Marketing"/>
    <n v="1975"/>
    <n v="2"/>
    <s v="Male"/>
    <n v="77"/>
    <n v="3"/>
    <n v="4"/>
    <x v="0"/>
    <x v="3"/>
    <s v="Single"/>
    <n v="13341"/>
    <x v="2"/>
    <n v="25098"/>
    <n v="0"/>
    <x v="1"/>
    <n v="12"/>
    <n v="3"/>
    <n v="1"/>
    <n v="0"/>
    <n v="21"/>
    <n v="3"/>
    <n v="3"/>
    <n v="20"/>
    <x v="3"/>
    <n v="8"/>
    <n v="11"/>
    <n v="10"/>
  </r>
  <r>
    <n v="42"/>
    <x v="1"/>
    <s v="Non-Travel"/>
    <n v="335"/>
    <x v="1"/>
    <n v="23"/>
    <n v="2"/>
    <s v="Life Sciences"/>
    <n v="1976"/>
    <n v="4"/>
    <s v="Male"/>
    <n v="37"/>
    <n v="2"/>
    <n v="2"/>
    <x v="1"/>
    <x v="2"/>
    <s v="Single"/>
    <n v="4332"/>
    <x v="0"/>
    <n v="14811"/>
    <n v="1"/>
    <x v="1"/>
    <n v="12"/>
    <n v="3"/>
    <n v="4"/>
    <n v="0"/>
    <n v="20"/>
    <n v="2"/>
    <n v="3"/>
    <n v="20"/>
    <x v="3"/>
    <n v="9"/>
    <n v="3"/>
    <n v="7"/>
  </r>
  <r>
    <n v="31"/>
    <x v="1"/>
    <s v="Non-Travel"/>
    <n v="697"/>
    <x v="1"/>
    <n v="10"/>
    <n v="3"/>
    <s v="Medical"/>
    <n v="1979"/>
    <n v="3"/>
    <s v="Female"/>
    <n v="40"/>
    <n v="3"/>
    <n v="3"/>
    <x v="7"/>
    <x v="2"/>
    <s v="Married"/>
    <n v="11031"/>
    <x v="2"/>
    <n v="26862"/>
    <n v="4"/>
    <x v="1"/>
    <n v="20"/>
    <n v="4"/>
    <n v="3"/>
    <n v="1"/>
    <n v="13"/>
    <n v="2"/>
    <n v="4"/>
    <n v="11"/>
    <x v="3"/>
    <n v="7"/>
    <n v="4"/>
    <n v="8"/>
  </r>
  <r>
    <n v="54"/>
    <x v="1"/>
    <s v="Travel_Rarely"/>
    <n v="157"/>
    <x v="1"/>
    <n v="10"/>
    <n v="3"/>
    <s v="Medical"/>
    <n v="1980"/>
    <n v="3"/>
    <s v="Female"/>
    <n v="77"/>
    <n v="3"/>
    <n v="2"/>
    <x v="3"/>
    <x v="3"/>
    <s v="Single"/>
    <n v="4440"/>
    <x v="0"/>
    <n v="25198"/>
    <n v="6"/>
    <x v="0"/>
    <n v="19"/>
    <n v="3"/>
    <n v="4"/>
    <n v="0"/>
    <n v="9"/>
    <n v="3"/>
    <n v="3"/>
    <n v="5"/>
    <x v="2"/>
    <n v="2"/>
    <n v="1"/>
    <n v="4"/>
  </r>
  <r>
    <n v="24"/>
    <x v="1"/>
    <s v="Travel_Rarely"/>
    <n v="771"/>
    <x v="1"/>
    <n v="1"/>
    <n v="2"/>
    <s v="Life Sciences"/>
    <n v="1981"/>
    <n v="2"/>
    <s v="Male"/>
    <n v="45"/>
    <n v="2"/>
    <n v="2"/>
    <x v="4"/>
    <x v="2"/>
    <s v="Single"/>
    <n v="4617"/>
    <x v="0"/>
    <n v="14120"/>
    <n v="1"/>
    <x v="1"/>
    <n v="12"/>
    <n v="3"/>
    <n v="2"/>
    <n v="0"/>
    <n v="4"/>
    <n v="2"/>
    <n v="2"/>
    <n v="4"/>
    <x v="2"/>
    <n v="3"/>
    <n v="1"/>
    <n v="2"/>
  </r>
  <r>
    <n v="23"/>
    <x v="1"/>
    <s v="Travel_Rarely"/>
    <n v="571"/>
    <x v="1"/>
    <n v="12"/>
    <n v="2"/>
    <s v="Other"/>
    <n v="1982"/>
    <n v="4"/>
    <s v="Male"/>
    <n v="78"/>
    <n v="3"/>
    <n v="1"/>
    <x v="2"/>
    <x v="0"/>
    <s v="Single"/>
    <n v="2647"/>
    <x v="1"/>
    <n v="13672"/>
    <n v="1"/>
    <x v="1"/>
    <n v="13"/>
    <n v="3"/>
    <n v="3"/>
    <n v="0"/>
    <n v="5"/>
    <n v="6"/>
    <n v="4"/>
    <n v="5"/>
    <x v="2"/>
    <n v="2"/>
    <n v="1"/>
    <n v="4"/>
  </r>
  <r>
    <n v="40"/>
    <x v="1"/>
    <s v="Travel_Frequently"/>
    <n v="692"/>
    <x v="1"/>
    <n v="11"/>
    <n v="3"/>
    <s v="Technical Degree"/>
    <n v="1985"/>
    <n v="4"/>
    <s v="Female"/>
    <n v="73"/>
    <n v="3"/>
    <n v="2"/>
    <x v="2"/>
    <x v="2"/>
    <s v="Married"/>
    <n v="6323"/>
    <x v="0"/>
    <n v="26849"/>
    <n v="1"/>
    <x v="1"/>
    <n v="11"/>
    <n v="3"/>
    <n v="1"/>
    <n v="1"/>
    <n v="10"/>
    <n v="2"/>
    <n v="4"/>
    <n v="10"/>
    <x v="0"/>
    <n v="9"/>
    <n v="9"/>
    <n v="4"/>
  </r>
  <r>
    <n v="40"/>
    <x v="1"/>
    <s v="Travel_Rarely"/>
    <n v="444"/>
    <x v="0"/>
    <n v="2"/>
    <n v="2"/>
    <s v="Marketing"/>
    <n v="1986"/>
    <n v="2"/>
    <s v="Female"/>
    <n v="92"/>
    <n v="3"/>
    <n v="2"/>
    <x v="0"/>
    <x v="1"/>
    <s v="Married"/>
    <n v="5677"/>
    <x v="0"/>
    <n v="4258"/>
    <n v="3"/>
    <x v="1"/>
    <n v="14"/>
    <n v="3"/>
    <n v="3"/>
    <n v="1"/>
    <n v="15"/>
    <n v="4"/>
    <n v="3"/>
    <n v="11"/>
    <x v="3"/>
    <n v="8"/>
    <n v="5"/>
    <n v="10"/>
  </r>
  <r>
    <n v="25"/>
    <x v="1"/>
    <s v="Travel_Rarely"/>
    <n v="309"/>
    <x v="2"/>
    <n v="2"/>
    <n v="3"/>
    <s v="Human Resources"/>
    <n v="1987"/>
    <n v="3"/>
    <s v="Female"/>
    <n v="82"/>
    <n v="3"/>
    <n v="1"/>
    <x v="8"/>
    <x v="1"/>
    <s v="Married"/>
    <n v="2187"/>
    <x v="1"/>
    <n v="19655"/>
    <n v="4"/>
    <x v="1"/>
    <n v="14"/>
    <n v="3"/>
    <n v="3"/>
    <n v="0"/>
    <n v="6"/>
    <n v="3"/>
    <n v="3"/>
    <n v="2"/>
    <x v="1"/>
    <n v="0"/>
    <n v="1"/>
    <n v="2"/>
  </r>
  <r>
    <n v="30"/>
    <x v="1"/>
    <s v="Travel_Rarely"/>
    <n v="911"/>
    <x v="1"/>
    <n v="1"/>
    <n v="2"/>
    <s v="Medical"/>
    <n v="1989"/>
    <n v="4"/>
    <s v="Male"/>
    <n v="76"/>
    <n v="3"/>
    <n v="1"/>
    <x v="2"/>
    <x v="1"/>
    <s v="Married"/>
    <n v="3748"/>
    <x v="0"/>
    <n v="4077"/>
    <n v="1"/>
    <x v="1"/>
    <n v="13"/>
    <n v="3"/>
    <n v="3"/>
    <n v="0"/>
    <n v="12"/>
    <n v="6"/>
    <n v="2"/>
    <n v="12"/>
    <x v="3"/>
    <n v="8"/>
    <n v="1"/>
    <n v="7"/>
  </r>
  <r>
    <n v="25"/>
    <x v="1"/>
    <s v="Travel_Rarely"/>
    <n v="977"/>
    <x v="1"/>
    <n v="2"/>
    <n v="1"/>
    <s v="Other"/>
    <n v="1992"/>
    <n v="4"/>
    <s v="Male"/>
    <n v="57"/>
    <n v="3"/>
    <n v="1"/>
    <x v="2"/>
    <x v="2"/>
    <s v="Divorced"/>
    <n v="3977"/>
    <x v="0"/>
    <n v="7298"/>
    <n v="6"/>
    <x v="0"/>
    <n v="19"/>
    <n v="3"/>
    <n v="3"/>
    <n v="1"/>
    <n v="7"/>
    <n v="2"/>
    <n v="2"/>
    <n v="2"/>
    <x v="1"/>
    <n v="2"/>
    <n v="0"/>
    <n v="2"/>
  </r>
  <r>
    <n v="47"/>
    <x v="1"/>
    <s v="Travel_Rarely"/>
    <n v="1180"/>
    <x v="1"/>
    <n v="25"/>
    <n v="3"/>
    <s v="Medical"/>
    <n v="1993"/>
    <n v="1"/>
    <s v="Male"/>
    <n v="84"/>
    <n v="3"/>
    <n v="3"/>
    <x v="4"/>
    <x v="2"/>
    <s v="Single"/>
    <n v="8633"/>
    <x v="2"/>
    <n v="13084"/>
    <n v="2"/>
    <x v="1"/>
    <n v="23"/>
    <n v="4"/>
    <n v="2"/>
    <n v="0"/>
    <n v="25"/>
    <n v="3"/>
    <n v="3"/>
    <n v="17"/>
    <x v="3"/>
    <n v="14"/>
    <n v="12"/>
    <n v="11"/>
  </r>
  <r>
    <n v="33"/>
    <x v="1"/>
    <s v="Non-Travel"/>
    <n v="1313"/>
    <x v="1"/>
    <n v="1"/>
    <n v="2"/>
    <s v="Medical"/>
    <n v="1994"/>
    <n v="2"/>
    <s v="Male"/>
    <n v="59"/>
    <n v="2"/>
    <n v="1"/>
    <x v="2"/>
    <x v="2"/>
    <s v="Divorced"/>
    <n v="2008"/>
    <x v="1"/>
    <n v="20439"/>
    <n v="1"/>
    <x v="1"/>
    <n v="12"/>
    <n v="3"/>
    <n v="3"/>
    <n v="3"/>
    <n v="1"/>
    <n v="2"/>
    <n v="2"/>
    <n v="1"/>
    <x v="1"/>
    <n v="1"/>
    <n v="0"/>
    <n v="0"/>
  </r>
  <r>
    <n v="38"/>
    <x v="1"/>
    <s v="Travel_Rarely"/>
    <n v="1321"/>
    <x v="0"/>
    <n v="1"/>
    <n v="4"/>
    <s v="Life Sciences"/>
    <n v="1995"/>
    <n v="4"/>
    <s v="Male"/>
    <n v="86"/>
    <n v="3"/>
    <n v="2"/>
    <x v="0"/>
    <x v="1"/>
    <s v="Married"/>
    <n v="4440"/>
    <x v="0"/>
    <n v="7636"/>
    <n v="0"/>
    <x v="1"/>
    <n v="15"/>
    <n v="3"/>
    <n v="1"/>
    <n v="2"/>
    <n v="16"/>
    <n v="3"/>
    <n v="3"/>
    <n v="15"/>
    <x v="3"/>
    <n v="13"/>
    <n v="5"/>
    <n v="8"/>
  </r>
  <r>
    <n v="31"/>
    <x v="1"/>
    <s v="Travel_Rarely"/>
    <n v="1154"/>
    <x v="0"/>
    <n v="2"/>
    <n v="2"/>
    <s v="Life Sciences"/>
    <n v="1996"/>
    <n v="1"/>
    <s v="Male"/>
    <n v="54"/>
    <n v="3"/>
    <n v="1"/>
    <x v="6"/>
    <x v="2"/>
    <s v="Married"/>
    <n v="3067"/>
    <x v="0"/>
    <n v="6393"/>
    <n v="0"/>
    <x v="1"/>
    <n v="19"/>
    <n v="3"/>
    <n v="3"/>
    <n v="1"/>
    <n v="3"/>
    <n v="1"/>
    <n v="3"/>
    <n v="2"/>
    <x v="1"/>
    <n v="2"/>
    <n v="1"/>
    <n v="2"/>
  </r>
  <r>
    <n v="38"/>
    <x v="1"/>
    <s v="Travel_Frequently"/>
    <n v="508"/>
    <x v="1"/>
    <n v="6"/>
    <n v="4"/>
    <s v="Life Sciences"/>
    <n v="1997"/>
    <n v="1"/>
    <s v="Male"/>
    <n v="72"/>
    <n v="2"/>
    <n v="2"/>
    <x v="3"/>
    <x v="2"/>
    <s v="Married"/>
    <n v="5321"/>
    <x v="0"/>
    <n v="14284"/>
    <n v="2"/>
    <x v="1"/>
    <n v="11"/>
    <n v="3"/>
    <n v="4"/>
    <n v="1"/>
    <n v="10"/>
    <n v="1"/>
    <n v="3"/>
    <n v="8"/>
    <x v="0"/>
    <n v="3"/>
    <n v="7"/>
    <n v="7"/>
  </r>
  <r>
    <n v="42"/>
    <x v="1"/>
    <s v="Travel_Rarely"/>
    <n v="557"/>
    <x v="1"/>
    <n v="18"/>
    <n v="4"/>
    <s v="Life Sciences"/>
    <n v="1998"/>
    <n v="4"/>
    <s v="Male"/>
    <n v="35"/>
    <n v="3"/>
    <n v="2"/>
    <x v="1"/>
    <x v="3"/>
    <s v="Divorced"/>
    <n v="5410"/>
    <x v="0"/>
    <n v="11189"/>
    <n v="6"/>
    <x v="0"/>
    <n v="17"/>
    <n v="3"/>
    <n v="3"/>
    <n v="1"/>
    <n v="9"/>
    <n v="3"/>
    <n v="2"/>
    <n v="4"/>
    <x v="2"/>
    <n v="3"/>
    <n v="1"/>
    <n v="2"/>
  </r>
  <r>
    <n v="41"/>
    <x v="1"/>
    <s v="Travel_Rarely"/>
    <n v="642"/>
    <x v="1"/>
    <n v="1"/>
    <n v="3"/>
    <s v="Life Sciences"/>
    <n v="1999"/>
    <n v="4"/>
    <s v="Male"/>
    <n v="76"/>
    <n v="3"/>
    <n v="1"/>
    <x v="1"/>
    <x v="0"/>
    <s v="Married"/>
    <n v="2782"/>
    <x v="1"/>
    <n v="21412"/>
    <n v="3"/>
    <x v="1"/>
    <n v="22"/>
    <n v="4"/>
    <n v="1"/>
    <n v="1"/>
    <n v="12"/>
    <n v="3"/>
    <n v="3"/>
    <n v="5"/>
    <x v="2"/>
    <n v="3"/>
    <n v="1"/>
    <n v="0"/>
  </r>
  <r>
    <n v="47"/>
    <x v="1"/>
    <s v="Non-Travel"/>
    <n v="1162"/>
    <x v="1"/>
    <n v="1"/>
    <n v="1"/>
    <s v="Medical"/>
    <n v="2000"/>
    <n v="3"/>
    <s v="Female"/>
    <n v="98"/>
    <n v="3"/>
    <n v="3"/>
    <x v="7"/>
    <x v="1"/>
    <s v="Married"/>
    <n v="11957"/>
    <x v="2"/>
    <n v="17231"/>
    <n v="0"/>
    <x v="1"/>
    <n v="18"/>
    <n v="3"/>
    <n v="1"/>
    <n v="2"/>
    <n v="14"/>
    <n v="3"/>
    <n v="1"/>
    <n v="13"/>
    <x v="3"/>
    <n v="8"/>
    <n v="5"/>
    <n v="12"/>
  </r>
  <r>
    <n v="35"/>
    <x v="1"/>
    <s v="Travel_Rarely"/>
    <n v="1490"/>
    <x v="1"/>
    <n v="11"/>
    <n v="4"/>
    <s v="Medical"/>
    <n v="2003"/>
    <n v="4"/>
    <s v="Male"/>
    <n v="43"/>
    <n v="3"/>
    <n v="1"/>
    <x v="2"/>
    <x v="2"/>
    <s v="Married"/>
    <n v="2660"/>
    <x v="1"/>
    <n v="20232"/>
    <n v="7"/>
    <x v="0"/>
    <n v="11"/>
    <n v="3"/>
    <n v="3"/>
    <n v="1"/>
    <n v="5"/>
    <n v="3"/>
    <n v="3"/>
    <n v="2"/>
    <x v="1"/>
    <n v="2"/>
    <n v="2"/>
    <n v="2"/>
  </r>
  <r>
    <n v="22"/>
    <x v="1"/>
    <s v="Travel_Rarely"/>
    <n v="581"/>
    <x v="1"/>
    <n v="1"/>
    <n v="2"/>
    <s v="Life Sciences"/>
    <n v="2007"/>
    <n v="4"/>
    <s v="Male"/>
    <n v="63"/>
    <n v="3"/>
    <n v="1"/>
    <x v="1"/>
    <x v="2"/>
    <s v="Single"/>
    <n v="3375"/>
    <x v="0"/>
    <n v="17624"/>
    <n v="0"/>
    <x v="1"/>
    <n v="12"/>
    <n v="3"/>
    <n v="4"/>
    <n v="0"/>
    <n v="4"/>
    <n v="2"/>
    <n v="4"/>
    <n v="3"/>
    <x v="2"/>
    <n v="2"/>
    <n v="1"/>
    <n v="2"/>
  </r>
  <r>
    <n v="35"/>
    <x v="1"/>
    <s v="Travel_Rarely"/>
    <n v="1395"/>
    <x v="1"/>
    <n v="9"/>
    <n v="4"/>
    <s v="Medical"/>
    <n v="2008"/>
    <n v="2"/>
    <s v="Male"/>
    <n v="48"/>
    <n v="3"/>
    <n v="2"/>
    <x v="1"/>
    <x v="2"/>
    <s v="Single"/>
    <n v="5098"/>
    <x v="0"/>
    <n v="18698"/>
    <n v="1"/>
    <x v="1"/>
    <n v="19"/>
    <n v="3"/>
    <n v="2"/>
    <n v="0"/>
    <n v="10"/>
    <n v="5"/>
    <n v="3"/>
    <n v="10"/>
    <x v="0"/>
    <n v="7"/>
    <n v="0"/>
    <n v="8"/>
  </r>
  <r>
    <n v="33"/>
    <x v="1"/>
    <s v="Travel_Rarely"/>
    <n v="501"/>
    <x v="1"/>
    <n v="15"/>
    <n v="2"/>
    <s v="Medical"/>
    <n v="2009"/>
    <n v="2"/>
    <s v="Female"/>
    <n v="95"/>
    <n v="3"/>
    <n v="2"/>
    <x v="4"/>
    <x v="0"/>
    <s v="Married"/>
    <n v="4878"/>
    <x v="0"/>
    <n v="21653"/>
    <n v="0"/>
    <x v="0"/>
    <n v="13"/>
    <n v="3"/>
    <n v="1"/>
    <n v="1"/>
    <n v="10"/>
    <n v="6"/>
    <n v="3"/>
    <n v="9"/>
    <x v="0"/>
    <n v="7"/>
    <n v="8"/>
    <n v="1"/>
  </r>
  <r>
    <n v="32"/>
    <x v="1"/>
    <s v="Travel_Rarely"/>
    <n v="267"/>
    <x v="1"/>
    <n v="29"/>
    <n v="4"/>
    <s v="Life Sciences"/>
    <n v="2010"/>
    <n v="3"/>
    <s v="Female"/>
    <n v="49"/>
    <n v="2"/>
    <n v="1"/>
    <x v="2"/>
    <x v="1"/>
    <s v="Single"/>
    <n v="2837"/>
    <x v="1"/>
    <n v="15919"/>
    <n v="1"/>
    <x v="1"/>
    <n v="13"/>
    <n v="3"/>
    <n v="3"/>
    <n v="0"/>
    <n v="6"/>
    <n v="3"/>
    <n v="3"/>
    <n v="6"/>
    <x v="0"/>
    <n v="2"/>
    <n v="4"/>
    <n v="1"/>
  </r>
  <r>
    <n v="40"/>
    <x v="1"/>
    <s v="Travel_Rarely"/>
    <n v="543"/>
    <x v="1"/>
    <n v="1"/>
    <n v="4"/>
    <s v="Life Sciences"/>
    <n v="2012"/>
    <n v="1"/>
    <s v="Male"/>
    <n v="83"/>
    <n v="3"/>
    <n v="1"/>
    <x v="2"/>
    <x v="0"/>
    <s v="Married"/>
    <n v="2406"/>
    <x v="1"/>
    <n v="4060"/>
    <n v="8"/>
    <x v="1"/>
    <n v="19"/>
    <n v="3"/>
    <n v="3"/>
    <n v="2"/>
    <n v="8"/>
    <n v="3"/>
    <n v="2"/>
    <n v="1"/>
    <x v="1"/>
    <n v="0"/>
    <n v="0"/>
    <n v="0"/>
  </r>
  <r>
    <n v="32"/>
    <x v="1"/>
    <s v="Travel_Rarely"/>
    <n v="234"/>
    <x v="0"/>
    <n v="1"/>
    <n v="4"/>
    <s v="Medical"/>
    <n v="2013"/>
    <n v="2"/>
    <s v="Male"/>
    <n v="68"/>
    <n v="2"/>
    <n v="1"/>
    <x v="6"/>
    <x v="1"/>
    <s v="Married"/>
    <n v="2269"/>
    <x v="1"/>
    <n v="18024"/>
    <n v="0"/>
    <x v="1"/>
    <n v="14"/>
    <n v="3"/>
    <n v="2"/>
    <n v="1"/>
    <n v="3"/>
    <n v="2"/>
    <n v="3"/>
    <n v="2"/>
    <x v="1"/>
    <n v="2"/>
    <n v="2"/>
    <n v="2"/>
  </r>
  <r>
    <n v="39"/>
    <x v="1"/>
    <s v="Travel_Rarely"/>
    <n v="116"/>
    <x v="1"/>
    <n v="24"/>
    <n v="1"/>
    <s v="Life Sciences"/>
    <n v="2014"/>
    <n v="1"/>
    <s v="Male"/>
    <n v="52"/>
    <n v="3"/>
    <n v="2"/>
    <x v="1"/>
    <x v="0"/>
    <s v="Single"/>
    <n v="4108"/>
    <x v="0"/>
    <n v="5340"/>
    <n v="7"/>
    <x v="1"/>
    <n v="13"/>
    <n v="3"/>
    <n v="1"/>
    <n v="0"/>
    <n v="18"/>
    <n v="2"/>
    <n v="3"/>
    <n v="7"/>
    <x v="0"/>
    <n v="7"/>
    <n v="1"/>
    <n v="7"/>
  </r>
  <r>
    <n v="38"/>
    <x v="1"/>
    <s v="Travel_Rarely"/>
    <n v="201"/>
    <x v="1"/>
    <n v="10"/>
    <n v="3"/>
    <s v="Medical"/>
    <n v="2015"/>
    <n v="2"/>
    <s v="Female"/>
    <n v="99"/>
    <n v="1"/>
    <n v="3"/>
    <x v="7"/>
    <x v="2"/>
    <s v="Married"/>
    <n v="13206"/>
    <x v="2"/>
    <n v="3376"/>
    <n v="3"/>
    <x v="1"/>
    <n v="12"/>
    <n v="3"/>
    <n v="1"/>
    <n v="1"/>
    <n v="20"/>
    <n v="3"/>
    <n v="3"/>
    <n v="18"/>
    <x v="3"/>
    <n v="16"/>
    <n v="1"/>
    <n v="11"/>
  </r>
  <r>
    <n v="32"/>
    <x v="1"/>
    <s v="Travel_Rarely"/>
    <n v="801"/>
    <x v="0"/>
    <n v="1"/>
    <n v="4"/>
    <s v="Marketing"/>
    <n v="2016"/>
    <n v="3"/>
    <s v="Female"/>
    <n v="48"/>
    <n v="3"/>
    <n v="3"/>
    <x v="0"/>
    <x v="0"/>
    <s v="Married"/>
    <n v="10422"/>
    <x v="2"/>
    <n v="24032"/>
    <n v="1"/>
    <x v="1"/>
    <n v="19"/>
    <n v="3"/>
    <n v="3"/>
    <n v="2"/>
    <n v="14"/>
    <n v="3"/>
    <n v="3"/>
    <n v="14"/>
    <x v="3"/>
    <n v="10"/>
    <n v="5"/>
    <n v="7"/>
  </r>
  <r>
    <n v="37"/>
    <x v="1"/>
    <s v="Travel_Rarely"/>
    <n v="161"/>
    <x v="1"/>
    <n v="10"/>
    <n v="3"/>
    <s v="Life Sciences"/>
    <n v="2017"/>
    <n v="3"/>
    <s v="Female"/>
    <n v="42"/>
    <n v="4"/>
    <n v="3"/>
    <x v="7"/>
    <x v="0"/>
    <s v="Married"/>
    <n v="13744"/>
    <x v="2"/>
    <n v="15471"/>
    <n v="1"/>
    <x v="0"/>
    <n v="25"/>
    <n v="4"/>
    <n v="1"/>
    <n v="1"/>
    <n v="16"/>
    <n v="2"/>
    <n v="3"/>
    <n v="16"/>
    <x v="3"/>
    <n v="11"/>
    <n v="6"/>
    <n v="8"/>
  </r>
  <r>
    <n v="25"/>
    <x v="1"/>
    <s v="Travel_Rarely"/>
    <n v="1382"/>
    <x v="0"/>
    <n v="8"/>
    <n v="2"/>
    <s v="Other"/>
    <n v="2018"/>
    <n v="1"/>
    <s v="Female"/>
    <n v="85"/>
    <n v="3"/>
    <n v="2"/>
    <x v="0"/>
    <x v="2"/>
    <s v="Divorced"/>
    <n v="4907"/>
    <x v="0"/>
    <n v="13684"/>
    <n v="0"/>
    <x v="0"/>
    <n v="22"/>
    <n v="4"/>
    <n v="2"/>
    <n v="1"/>
    <n v="6"/>
    <n v="3"/>
    <n v="2"/>
    <n v="5"/>
    <x v="2"/>
    <n v="3"/>
    <n v="0"/>
    <n v="4"/>
  </r>
  <r>
    <n v="52"/>
    <x v="1"/>
    <s v="Non-Travel"/>
    <n v="585"/>
    <x v="0"/>
    <n v="29"/>
    <n v="4"/>
    <s v="Life Sciences"/>
    <n v="2019"/>
    <n v="1"/>
    <s v="Male"/>
    <n v="40"/>
    <n v="3"/>
    <n v="1"/>
    <x v="6"/>
    <x v="0"/>
    <s v="Divorced"/>
    <n v="3482"/>
    <x v="0"/>
    <n v="19788"/>
    <n v="2"/>
    <x v="1"/>
    <n v="15"/>
    <n v="3"/>
    <n v="2"/>
    <n v="2"/>
    <n v="16"/>
    <n v="3"/>
    <n v="2"/>
    <n v="9"/>
    <x v="0"/>
    <n v="8"/>
    <n v="0"/>
    <n v="0"/>
  </r>
  <r>
    <n v="44"/>
    <x v="1"/>
    <s v="Travel_Rarely"/>
    <n v="1037"/>
    <x v="1"/>
    <n v="1"/>
    <n v="3"/>
    <s v="Medical"/>
    <n v="2020"/>
    <n v="2"/>
    <s v="Male"/>
    <n v="42"/>
    <n v="3"/>
    <n v="1"/>
    <x v="1"/>
    <x v="0"/>
    <s v="Single"/>
    <n v="2436"/>
    <x v="1"/>
    <n v="13422"/>
    <n v="6"/>
    <x v="0"/>
    <n v="12"/>
    <n v="3"/>
    <n v="3"/>
    <n v="0"/>
    <n v="6"/>
    <n v="2"/>
    <n v="3"/>
    <n v="4"/>
    <x v="2"/>
    <n v="3"/>
    <n v="1"/>
    <n v="2"/>
  </r>
  <r>
    <n v="21"/>
    <x v="1"/>
    <s v="Travel_Rarely"/>
    <n v="501"/>
    <x v="0"/>
    <n v="5"/>
    <n v="1"/>
    <s v="Medical"/>
    <n v="2021"/>
    <n v="3"/>
    <s v="Male"/>
    <n v="58"/>
    <n v="3"/>
    <n v="1"/>
    <x v="6"/>
    <x v="3"/>
    <s v="Single"/>
    <n v="2380"/>
    <x v="1"/>
    <n v="25479"/>
    <n v="1"/>
    <x v="0"/>
    <n v="11"/>
    <n v="3"/>
    <n v="4"/>
    <n v="0"/>
    <n v="2"/>
    <n v="6"/>
    <n v="3"/>
    <n v="2"/>
    <x v="1"/>
    <n v="2"/>
    <n v="1"/>
    <n v="2"/>
  </r>
  <r>
    <n v="39"/>
    <x v="1"/>
    <s v="Non-Travel"/>
    <n v="105"/>
    <x v="1"/>
    <n v="9"/>
    <n v="3"/>
    <s v="Life Sciences"/>
    <n v="2022"/>
    <n v="4"/>
    <s v="Male"/>
    <n v="87"/>
    <n v="3"/>
    <n v="5"/>
    <x v="5"/>
    <x v="0"/>
    <s v="Single"/>
    <n v="19431"/>
    <x v="2"/>
    <n v="15302"/>
    <n v="2"/>
    <x v="1"/>
    <n v="13"/>
    <n v="3"/>
    <n v="3"/>
    <n v="0"/>
    <n v="21"/>
    <n v="3"/>
    <n v="2"/>
    <n v="6"/>
    <x v="0"/>
    <n v="0"/>
    <n v="1"/>
    <n v="3"/>
  </r>
  <r>
    <n v="23"/>
    <x v="0"/>
    <s v="Travel_Frequently"/>
    <n v="638"/>
    <x v="0"/>
    <n v="9"/>
    <n v="3"/>
    <s v="Marketing"/>
    <n v="2023"/>
    <n v="4"/>
    <s v="Male"/>
    <n v="33"/>
    <n v="3"/>
    <n v="1"/>
    <x v="6"/>
    <x v="3"/>
    <s v="Married"/>
    <n v="1790"/>
    <x v="1"/>
    <n v="26956"/>
    <n v="1"/>
    <x v="1"/>
    <n v="19"/>
    <n v="3"/>
    <n v="1"/>
    <n v="1"/>
    <n v="1"/>
    <n v="3"/>
    <n v="2"/>
    <n v="1"/>
    <x v="1"/>
    <n v="0"/>
    <n v="1"/>
    <n v="0"/>
  </r>
  <r>
    <n v="36"/>
    <x v="1"/>
    <s v="Travel_Rarely"/>
    <n v="557"/>
    <x v="0"/>
    <n v="3"/>
    <n v="3"/>
    <s v="Medical"/>
    <n v="2024"/>
    <n v="1"/>
    <s v="Female"/>
    <n v="94"/>
    <n v="2"/>
    <n v="3"/>
    <x v="0"/>
    <x v="0"/>
    <s v="Married"/>
    <n v="7644"/>
    <x v="2"/>
    <n v="12695"/>
    <n v="0"/>
    <x v="1"/>
    <n v="19"/>
    <n v="3"/>
    <n v="3"/>
    <n v="2"/>
    <n v="10"/>
    <n v="2"/>
    <n v="3"/>
    <n v="9"/>
    <x v="0"/>
    <n v="7"/>
    <n v="3"/>
    <n v="4"/>
  </r>
  <r>
    <n v="36"/>
    <x v="1"/>
    <s v="Travel_Frequently"/>
    <n v="688"/>
    <x v="1"/>
    <n v="4"/>
    <n v="2"/>
    <s v="Life Sciences"/>
    <n v="2025"/>
    <n v="4"/>
    <s v="Female"/>
    <n v="97"/>
    <n v="3"/>
    <n v="2"/>
    <x v="3"/>
    <x v="1"/>
    <s v="Divorced"/>
    <n v="5131"/>
    <x v="0"/>
    <n v="9192"/>
    <n v="7"/>
    <x v="1"/>
    <n v="13"/>
    <n v="3"/>
    <n v="2"/>
    <n v="3"/>
    <n v="18"/>
    <n v="3"/>
    <n v="3"/>
    <n v="4"/>
    <x v="2"/>
    <n v="2"/>
    <n v="0"/>
    <n v="2"/>
  </r>
  <r>
    <n v="56"/>
    <x v="1"/>
    <s v="Non-Travel"/>
    <n v="667"/>
    <x v="1"/>
    <n v="1"/>
    <n v="4"/>
    <s v="Life Sciences"/>
    <n v="2026"/>
    <n v="3"/>
    <s v="Male"/>
    <n v="57"/>
    <n v="3"/>
    <n v="2"/>
    <x v="4"/>
    <x v="2"/>
    <s v="Divorced"/>
    <n v="6306"/>
    <x v="0"/>
    <n v="26236"/>
    <n v="1"/>
    <x v="1"/>
    <n v="21"/>
    <n v="4"/>
    <n v="1"/>
    <n v="1"/>
    <n v="13"/>
    <n v="2"/>
    <n v="2"/>
    <n v="13"/>
    <x v="3"/>
    <n v="12"/>
    <n v="1"/>
    <n v="9"/>
  </r>
  <r>
    <n v="29"/>
    <x v="0"/>
    <s v="Travel_Rarely"/>
    <n v="1092"/>
    <x v="1"/>
    <n v="1"/>
    <n v="4"/>
    <s v="Medical"/>
    <n v="2027"/>
    <n v="1"/>
    <s v="Male"/>
    <n v="36"/>
    <n v="3"/>
    <n v="1"/>
    <x v="1"/>
    <x v="0"/>
    <s v="Married"/>
    <n v="4787"/>
    <x v="0"/>
    <n v="26124"/>
    <n v="9"/>
    <x v="0"/>
    <n v="14"/>
    <n v="3"/>
    <n v="2"/>
    <n v="3"/>
    <n v="4"/>
    <n v="3"/>
    <n v="4"/>
    <n v="2"/>
    <x v="1"/>
    <n v="2"/>
    <n v="2"/>
    <n v="2"/>
  </r>
  <r>
    <n v="42"/>
    <x v="1"/>
    <s v="Travel_Rarely"/>
    <n v="300"/>
    <x v="1"/>
    <n v="2"/>
    <n v="3"/>
    <s v="Life Sciences"/>
    <n v="2031"/>
    <n v="1"/>
    <s v="Male"/>
    <n v="56"/>
    <n v="3"/>
    <n v="5"/>
    <x v="5"/>
    <x v="2"/>
    <s v="Married"/>
    <n v="18880"/>
    <x v="2"/>
    <n v="17312"/>
    <n v="5"/>
    <x v="1"/>
    <n v="11"/>
    <n v="3"/>
    <n v="1"/>
    <n v="0"/>
    <n v="24"/>
    <n v="2"/>
    <n v="2"/>
    <n v="22"/>
    <x v="3"/>
    <n v="6"/>
    <n v="4"/>
    <n v="14"/>
  </r>
  <r>
    <n v="56"/>
    <x v="0"/>
    <s v="Travel_Rarely"/>
    <n v="310"/>
    <x v="1"/>
    <n v="7"/>
    <n v="2"/>
    <s v="Technical Degree"/>
    <n v="2032"/>
    <n v="4"/>
    <s v="Male"/>
    <n v="72"/>
    <n v="3"/>
    <n v="1"/>
    <x v="2"/>
    <x v="2"/>
    <s v="Married"/>
    <n v="2339"/>
    <x v="1"/>
    <n v="3666"/>
    <n v="8"/>
    <x v="1"/>
    <n v="11"/>
    <n v="3"/>
    <n v="4"/>
    <n v="1"/>
    <n v="14"/>
    <n v="4"/>
    <n v="1"/>
    <n v="10"/>
    <x v="0"/>
    <n v="9"/>
    <n v="9"/>
    <n v="8"/>
  </r>
  <r>
    <n v="41"/>
    <x v="1"/>
    <s v="Travel_Rarely"/>
    <n v="582"/>
    <x v="1"/>
    <n v="28"/>
    <n v="4"/>
    <s v="Life Sciences"/>
    <n v="2034"/>
    <n v="1"/>
    <s v="Female"/>
    <n v="60"/>
    <n v="2"/>
    <n v="4"/>
    <x v="3"/>
    <x v="1"/>
    <s v="Married"/>
    <n v="13570"/>
    <x v="2"/>
    <n v="5640"/>
    <n v="0"/>
    <x v="1"/>
    <n v="23"/>
    <n v="4"/>
    <n v="3"/>
    <n v="1"/>
    <n v="21"/>
    <n v="3"/>
    <n v="3"/>
    <n v="20"/>
    <x v="3"/>
    <n v="7"/>
    <n v="0"/>
    <n v="10"/>
  </r>
  <r>
    <n v="34"/>
    <x v="1"/>
    <s v="Travel_Rarely"/>
    <n v="704"/>
    <x v="0"/>
    <n v="28"/>
    <n v="3"/>
    <s v="Marketing"/>
    <n v="2035"/>
    <n v="4"/>
    <s v="Female"/>
    <n v="95"/>
    <n v="2"/>
    <n v="2"/>
    <x v="0"/>
    <x v="2"/>
    <s v="Married"/>
    <n v="6712"/>
    <x v="0"/>
    <n v="8978"/>
    <n v="1"/>
    <x v="1"/>
    <n v="21"/>
    <n v="4"/>
    <n v="4"/>
    <n v="2"/>
    <n v="8"/>
    <n v="2"/>
    <n v="3"/>
    <n v="8"/>
    <x v="0"/>
    <n v="7"/>
    <n v="1"/>
    <n v="7"/>
  </r>
  <r>
    <n v="36"/>
    <x v="1"/>
    <s v="Non-Travel"/>
    <n v="301"/>
    <x v="0"/>
    <n v="15"/>
    <n v="4"/>
    <s v="Marketing"/>
    <n v="2036"/>
    <n v="4"/>
    <s v="Male"/>
    <n v="88"/>
    <n v="1"/>
    <n v="2"/>
    <x v="0"/>
    <x v="0"/>
    <s v="Divorced"/>
    <n v="5406"/>
    <x v="0"/>
    <n v="10436"/>
    <n v="1"/>
    <x v="1"/>
    <n v="24"/>
    <n v="4"/>
    <n v="1"/>
    <n v="1"/>
    <n v="15"/>
    <n v="4"/>
    <n v="2"/>
    <n v="15"/>
    <x v="3"/>
    <n v="12"/>
    <n v="11"/>
    <n v="11"/>
  </r>
  <r>
    <n v="41"/>
    <x v="1"/>
    <s v="Travel_Rarely"/>
    <n v="930"/>
    <x v="0"/>
    <n v="3"/>
    <n v="3"/>
    <s v="Life Sciences"/>
    <n v="2037"/>
    <n v="3"/>
    <s v="Male"/>
    <n v="57"/>
    <n v="2"/>
    <n v="2"/>
    <x v="0"/>
    <x v="1"/>
    <s v="Divorced"/>
    <n v="8938"/>
    <x v="2"/>
    <n v="12227"/>
    <n v="2"/>
    <x v="1"/>
    <n v="11"/>
    <n v="3"/>
    <n v="3"/>
    <n v="1"/>
    <n v="14"/>
    <n v="5"/>
    <n v="3"/>
    <n v="5"/>
    <x v="2"/>
    <n v="4"/>
    <n v="0"/>
    <n v="4"/>
  </r>
  <r>
    <n v="32"/>
    <x v="1"/>
    <s v="Travel_Rarely"/>
    <n v="529"/>
    <x v="1"/>
    <n v="2"/>
    <n v="3"/>
    <s v="Technical Degree"/>
    <n v="2038"/>
    <n v="4"/>
    <s v="Male"/>
    <n v="78"/>
    <n v="3"/>
    <n v="1"/>
    <x v="1"/>
    <x v="3"/>
    <s v="Single"/>
    <n v="2439"/>
    <x v="1"/>
    <n v="11288"/>
    <n v="1"/>
    <x v="1"/>
    <n v="14"/>
    <n v="3"/>
    <n v="4"/>
    <n v="0"/>
    <n v="4"/>
    <n v="4"/>
    <n v="3"/>
    <n v="4"/>
    <x v="2"/>
    <n v="2"/>
    <n v="1"/>
    <n v="2"/>
  </r>
  <r>
    <n v="35"/>
    <x v="1"/>
    <s v="Travel_Rarely"/>
    <n v="1146"/>
    <x v="2"/>
    <n v="26"/>
    <n v="4"/>
    <s v="Life Sciences"/>
    <n v="2040"/>
    <n v="3"/>
    <s v="Female"/>
    <n v="31"/>
    <n v="3"/>
    <n v="3"/>
    <x v="8"/>
    <x v="0"/>
    <s v="Single"/>
    <n v="8837"/>
    <x v="2"/>
    <n v="16642"/>
    <n v="1"/>
    <x v="0"/>
    <n v="16"/>
    <n v="3"/>
    <n v="3"/>
    <n v="0"/>
    <n v="9"/>
    <n v="2"/>
    <n v="3"/>
    <n v="9"/>
    <x v="0"/>
    <n v="0"/>
    <n v="1"/>
    <n v="7"/>
  </r>
  <r>
    <n v="38"/>
    <x v="1"/>
    <s v="Travel_Rarely"/>
    <n v="345"/>
    <x v="0"/>
    <n v="10"/>
    <n v="2"/>
    <s v="Life Sciences"/>
    <n v="2041"/>
    <n v="1"/>
    <s v="Female"/>
    <n v="100"/>
    <n v="3"/>
    <n v="2"/>
    <x v="0"/>
    <x v="0"/>
    <s v="Married"/>
    <n v="5343"/>
    <x v="0"/>
    <n v="5982"/>
    <n v="1"/>
    <x v="1"/>
    <n v="11"/>
    <n v="3"/>
    <n v="3"/>
    <n v="1"/>
    <n v="10"/>
    <n v="1"/>
    <n v="3"/>
    <n v="10"/>
    <x v="0"/>
    <n v="7"/>
    <n v="1"/>
    <n v="9"/>
  </r>
  <r>
    <n v="50"/>
    <x v="0"/>
    <s v="Travel_Frequently"/>
    <n v="878"/>
    <x v="0"/>
    <n v="1"/>
    <n v="4"/>
    <s v="Life Sciences"/>
    <n v="2044"/>
    <n v="2"/>
    <s v="Male"/>
    <n v="94"/>
    <n v="3"/>
    <n v="2"/>
    <x v="0"/>
    <x v="2"/>
    <s v="Divorced"/>
    <n v="6728"/>
    <x v="0"/>
    <n v="14255"/>
    <n v="7"/>
    <x v="1"/>
    <n v="12"/>
    <n v="3"/>
    <n v="4"/>
    <n v="2"/>
    <n v="12"/>
    <n v="3"/>
    <n v="3"/>
    <n v="6"/>
    <x v="0"/>
    <n v="3"/>
    <n v="0"/>
    <n v="1"/>
  </r>
  <r>
    <n v="36"/>
    <x v="1"/>
    <s v="Travel_Rarely"/>
    <n v="1120"/>
    <x v="0"/>
    <n v="11"/>
    <n v="4"/>
    <s v="Marketing"/>
    <n v="2045"/>
    <n v="2"/>
    <s v="Female"/>
    <n v="100"/>
    <n v="2"/>
    <n v="2"/>
    <x v="0"/>
    <x v="0"/>
    <s v="Married"/>
    <n v="6652"/>
    <x v="0"/>
    <n v="14369"/>
    <n v="4"/>
    <x v="1"/>
    <n v="13"/>
    <n v="3"/>
    <n v="1"/>
    <n v="1"/>
    <n v="8"/>
    <n v="2"/>
    <n v="2"/>
    <n v="6"/>
    <x v="0"/>
    <n v="3"/>
    <n v="0"/>
    <n v="0"/>
  </r>
  <r>
    <n v="45"/>
    <x v="1"/>
    <s v="Travel_Rarely"/>
    <n v="374"/>
    <x v="0"/>
    <n v="20"/>
    <n v="3"/>
    <s v="Life Sciences"/>
    <n v="2046"/>
    <n v="4"/>
    <s v="Female"/>
    <n v="50"/>
    <n v="3"/>
    <n v="2"/>
    <x v="0"/>
    <x v="2"/>
    <s v="Single"/>
    <n v="4850"/>
    <x v="0"/>
    <n v="23333"/>
    <n v="8"/>
    <x v="1"/>
    <n v="15"/>
    <n v="3"/>
    <n v="3"/>
    <n v="0"/>
    <n v="8"/>
    <n v="3"/>
    <n v="3"/>
    <n v="5"/>
    <x v="2"/>
    <n v="3"/>
    <n v="0"/>
    <n v="1"/>
  </r>
  <r>
    <n v="40"/>
    <x v="1"/>
    <s v="Travel_Rarely"/>
    <n v="1322"/>
    <x v="1"/>
    <n v="2"/>
    <n v="4"/>
    <s v="Life Sciences"/>
    <n v="2048"/>
    <n v="3"/>
    <s v="Male"/>
    <n v="52"/>
    <n v="2"/>
    <n v="1"/>
    <x v="1"/>
    <x v="2"/>
    <s v="Single"/>
    <n v="2809"/>
    <x v="1"/>
    <n v="2725"/>
    <n v="2"/>
    <x v="1"/>
    <n v="14"/>
    <n v="3"/>
    <n v="4"/>
    <n v="0"/>
    <n v="8"/>
    <n v="2"/>
    <n v="3"/>
    <n v="2"/>
    <x v="1"/>
    <n v="2"/>
    <n v="2"/>
    <n v="2"/>
  </r>
  <r>
    <n v="35"/>
    <x v="1"/>
    <s v="Travel_Frequently"/>
    <n v="1199"/>
    <x v="1"/>
    <n v="18"/>
    <n v="4"/>
    <s v="Life Sciences"/>
    <n v="2049"/>
    <n v="3"/>
    <s v="Male"/>
    <n v="80"/>
    <n v="3"/>
    <n v="2"/>
    <x v="4"/>
    <x v="2"/>
    <s v="Married"/>
    <n v="5689"/>
    <x v="0"/>
    <n v="24594"/>
    <n v="1"/>
    <x v="0"/>
    <n v="14"/>
    <n v="3"/>
    <n v="4"/>
    <n v="2"/>
    <n v="10"/>
    <n v="2"/>
    <n v="4"/>
    <n v="10"/>
    <x v="0"/>
    <n v="2"/>
    <n v="0"/>
    <n v="2"/>
  </r>
  <r>
    <n v="40"/>
    <x v="1"/>
    <s v="Travel_Rarely"/>
    <n v="1194"/>
    <x v="1"/>
    <n v="2"/>
    <n v="4"/>
    <s v="Medical"/>
    <n v="2051"/>
    <n v="3"/>
    <s v="Female"/>
    <n v="98"/>
    <n v="3"/>
    <n v="1"/>
    <x v="1"/>
    <x v="2"/>
    <s v="Married"/>
    <n v="2001"/>
    <x v="1"/>
    <n v="12549"/>
    <n v="2"/>
    <x v="1"/>
    <n v="14"/>
    <n v="3"/>
    <n v="2"/>
    <n v="3"/>
    <n v="20"/>
    <n v="2"/>
    <n v="3"/>
    <n v="5"/>
    <x v="2"/>
    <n v="3"/>
    <n v="0"/>
    <n v="2"/>
  </r>
  <r>
    <n v="35"/>
    <x v="1"/>
    <s v="Travel_Rarely"/>
    <n v="287"/>
    <x v="1"/>
    <n v="1"/>
    <n v="4"/>
    <s v="Life Sciences"/>
    <n v="2052"/>
    <n v="3"/>
    <s v="Female"/>
    <n v="62"/>
    <n v="1"/>
    <n v="1"/>
    <x v="1"/>
    <x v="0"/>
    <s v="Married"/>
    <n v="2977"/>
    <x v="1"/>
    <n v="8952"/>
    <n v="1"/>
    <x v="1"/>
    <n v="12"/>
    <n v="3"/>
    <n v="4"/>
    <n v="1"/>
    <n v="4"/>
    <n v="5"/>
    <n v="3"/>
    <n v="4"/>
    <x v="2"/>
    <n v="3"/>
    <n v="1"/>
    <n v="1"/>
  </r>
  <r>
    <n v="29"/>
    <x v="1"/>
    <s v="Travel_Rarely"/>
    <n v="1378"/>
    <x v="1"/>
    <n v="13"/>
    <n v="2"/>
    <s v="Other"/>
    <n v="2053"/>
    <n v="4"/>
    <s v="Male"/>
    <n v="46"/>
    <n v="2"/>
    <n v="2"/>
    <x v="2"/>
    <x v="1"/>
    <s v="Married"/>
    <n v="4025"/>
    <x v="0"/>
    <n v="23679"/>
    <n v="4"/>
    <x v="0"/>
    <n v="13"/>
    <n v="3"/>
    <n v="1"/>
    <n v="1"/>
    <n v="10"/>
    <n v="2"/>
    <n v="3"/>
    <n v="4"/>
    <x v="2"/>
    <n v="3"/>
    <n v="0"/>
    <n v="3"/>
  </r>
  <r>
    <n v="29"/>
    <x v="1"/>
    <s v="Travel_Rarely"/>
    <n v="468"/>
    <x v="1"/>
    <n v="28"/>
    <n v="4"/>
    <s v="Medical"/>
    <n v="2054"/>
    <n v="4"/>
    <s v="Female"/>
    <n v="73"/>
    <n v="2"/>
    <n v="1"/>
    <x v="1"/>
    <x v="3"/>
    <s v="Single"/>
    <n v="3785"/>
    <x v="0"/>
    <n v="8489"/>
    <n v="1"/>
    <x v="1"/>
    <n v="14"/>
    <n v="3"/>
    <n v="2"/>
    <n v="0"/>
    <n v="5"/>
    <n v="3"/>
    <n v="1"/>
    <n v="5"/>
    <x v="2"/>
    <n v="4"/>
    <n v="0"/>
    <n v="4"/>
  </r>
  <r>
    <n v="50"/>
    <x v="0"/>
    <s v="Travel_Rarely"/>
    <n v="410"/>
    <x v="0"/>
    <n v="28"/>
    <n v="3"/>
    <s v="Marketing"/>
    <n v="2055"/>
    <n v="4"/>
    <s v="Male"/>
    <n v="39"/>
    <n v="2"/>
    <n v="3"/>
    <x v="0"/>
    <x v="3"/>
    <s v="Divorced"/>
    <n v="10854"/>
    <x v="2"/>
    <n v="16586"/>
    <n v="4"/>
    <x v="0"/>
    <n v="13"/>
    <n v="3"/>
    <n v="2"/>
    <n v="1"/>
    <n v="20"/>
    <n v="3"/>
    <n v="3"/>
    <n v="3"/>
    <x v="2"/>
    <n v="2"/>
    <n v="2"/>
    <n v="0"/>
  </r>
  <r>
    <n v="39"/>
    <x v="1"/>
    <s v="Travel_Rarely"/>
    <n v="722"/>
    <x v="0"/>
    <n v="24"/>
    <n v="1"/>
    <s v="Marketing"/>
    <n v="2056"/>
    <n v="2"/>
    <s v="Female"/>
    <n v="60"/>
    <n v="2"/>
    <n v="4"/>
    <x v="0"/>
    <x v="0"/>
    <s v="Married"/>
    <n v="12031"/>
    <x v="2"/>
    <n v="8828"/>
    <n v="0"/>
    <x v="1"/>
    <n v="11"/>
    <n v="3"/>
    <n v="1"/>
    <n v="1"/>
    <n v="21"/>
    <n v="2"/>
    <n v="2"/>
    <n v="20"/>
    <x v="3"/>
    <n v="9"/>
    <n v="9"/>
    <n v="6"/>
  </r>
  <r>
    <n v="31"/>
    <x v="1"/>
    <s v="Non-Travel"/>
    <n v="325"/>
    <x v="1"/>
    <n v="5"/>
    <n v="3"/>
    <s v="Medical"/>
    <n v="2057"/>
    <n v="2"/>
    <s v="Male"/>
    <n v="74"/>
    <n v="3"/>
    <n v="2"/>
    <x v="3"/>
    <x v="3"/>
    <s v="Single"/>
    <n v="9936"/>
    <x v="2"/>
    <n v="3787"/>
    <n v="0"/>
    <x v="1"/>
    <n v="19"/>
    <n v="3"/>
    <n v="2"/>
    <n v="0"/>
    <n v="10"/>
    <n v="2"/>
    <n v="3"/>
    <n v="9"/>
    <x v="0"/>
    <n v="4"/>
    <n v="1"/>
    <n v="7"/>
  </r>
  <r>
    <n v="26"/>
    <x v="1"/>
    <s v="Travel_Rarely"/>
    <n v="1167"/>
    <x v="0"/>
    <n v="5"/>
    <n v="3"/>
    <s v="Other"/>
    <n v="2060"/>
    <n v="4"/>
    <s v="Female"/>
    <n v="30"/>
    <n v="2"/>
    <n v="1"/>
    <x v="6"/>
    <x v="2"/>
    <s v="Single"/>
    <n v="2966"/>
    <x v="1"/>
    <n v="21378"/>
    <n v="0"/>
    <x v="1"/>
    <n v="18"/>
    <n v="3"/>
    <n v="4"/>
    <n v="0"/>
    <n v="5"/>
    <n v="2"/>
    <n v="3"/>
    <n v="4"/>
    <x v="2"/>
    <n v="2"/>
    <n v="0"/>
    <n v="0"/>
  </r>
  <r>
    <n v="36"/>
    <x v="1"/>
    <s v="Travel_Frequently"/>
    <n v="884"/>
    <x v="1"/>
    <n v="23"/>
    <n v="2"/>
    <s v="Medical"/>
    <n v="2061"/>
    <n v="3"/>
    <s v="Male"/>
    <n v="41"/>
    <n v="4"/>
    <n v="2"/>
    <x v="2"/>
    <x v="0"/>
    <s v="Married"/>
    <n v="2571"/>
    <x v="1"/>
    <n v="12290"/>
    <n v="4"/>
    <x v="1"/>
    <n v="17"/>
    <n v="3"/>
    <n v="3"/>
    <n v="1"/>
    <n v="17"/>
    <n v="3"/>
    <n v="3"/>
    <n v="5"/>
    <x v="2"/>
    <n v="2"/>
    <n v="0"/>
    <n v="3"/>
  </r>
  <r>
    <n v="39"/>
    <x v="1"/>
    <s v="Travel_Rarely"/>
    <n v="613"/>
    <x v="1"/>
    <n v="6"/>
    <n v="1"/>
    <s v="Medical"/>
    <n v="2062"/>
    <n v="4"/>
    <s v="Male"/>
    <n v="42"/>
    <n v="2"/>
    <n v="3"/>
    <x v="4"/>
    <x v="3"/>
    <s v="Married"/>
    <n v="9991"/>
    <x v="2"/>
    <n v="21457"/>
    <n v="4"/>
    <x v="1"/>
    <n v="15"/>
    <n v="3"/>
    <n v="1"/>
    <n v="1"/>
    <n v="9"/>
    <n v="5"/>
    <n v="3"/>
    <n v="7"/>
    <x v="0"/>
    <n v="7"/>
    <n v="1"/>
    <n v="7"/>
  </r>
  <r>
    <n v="27"/>
    <x v="1"/>
    <s v="Travel_Rarely"/>
    <n v="155"/>
    <x v="1"/>
    <n v="4"/>
    <n v="3"/>
    <s v="Life Sciences"/>
    <n v="2064"/>
    <n v="2"/>
    <s v="Male"/>
    <n v="87"/>
    <n v="4"/>
    <n v="2"/>
    <x v="3"/>
    <x v="1"/>
    <s v="Married"/>
    <n v="6142"/>
    <x v="0"/>
    <n v="5174"/>
    <n v="1"/>
    <x v="0"/>
    <n v="20"/>
    <n v="4"/>
    <n v="2"/>
    <n v="1"/>
    <n v="6"/>
    <n v="0"/>
    <n v="3"/>
    <n v="6"/>
    <x v="0"/>
    <n v="2"/>
    <n v="0"/>
    <n v="3"/>
  </r>
  <r>
    <n v="49"/>
    <x v="1"/>
    <s v="Travel_Frequently"/>
    <n v="1023"/>
    <x v="0"/>
    <n v="2"/>
    <n v="3"/>
    <s v="Medical"/>
    <n v="2065"/>
    <n v="4"/>
    <s v="Male"/>
    <n v="63"/>
    <n v="2"/>
    <n v="2"/>
    <x v="0"/>
    <x v="1"/>
    <s v="Married"/>
    <n v="5390"/>
    <x v="0"/>
    <n v="13243"/>
    <n v="2"/>
    <x v="1"/>
    <n v="14"/>
    <n v="3"/>
    <n v="4"/>
    <n v="0"/>
    <n v="17"/>
    <n v="3"/>
    <n v="2"/>
    <n v="9"/>
    <x v="0"/>
    <n v="6"/>
    <n v="0"/>
    <n v="8"/>
  </r>
  <r>
    <n v="34"/>
    <x v="1"/>
    <s v="Travel_Rarely"/>
    <n v="628"/>
    <x v="1"/>
    <n v="8"/>
    <n v="3"/>
    <s v="Medical"/>
    <n v="2068"/>
    <n v="2"/>
    <s v="Male"/>
    <n v="82"/>
    <n v="4"/>
    <n v="2"/>
    <x v="2"/>
    <x v="2"/>
    <s v="Married"/>
    <n v="4404"/>
    <x v="0"/>
    <n v="10228"/>
    <n v="2"/>
    <x v="1"/>
    <n v="12"/>
    <n v="3"/>
    <n v="1"/>
    <n v="0"/>
    <n v="6"/>
    <n v="3"/>
    <n v="4"/>
    <n v="4"/>
    <x v="2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51692-CD91-4FEA-88C4-D5838027C93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2:D77" firstHeaderRow="1" firstDataRow="2" firstDataCol="1"/>
  <pivotFields count="34">
    <pivotField numFmtId="2"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numFmtId="2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BF07C-BF49-455C-AA9E-33D9BE9D835E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1:D157" firstHeaderRow="1" firstDataRow="2" firstDataCol="1"/>
  <pivotFields count="34">
    <pivotField numFmtId="2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axis="axisRow" showAll="0">
      <items count="5">
        <item x="1"/>
        <item x="3"/>
        <item x="2"/>
        <item x="0"/>
        <item t="default"/>
      </items>
    </pivotField>
    <pivotField numFmtId="2" showAll="0"/>
    <pivotField numFmtId="2" showAll="0"/>
    <pivotField numFmtId="2"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3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34BF2-82B8-489E-9B82-76F244DF74AF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7:D142" firstHeaderRow="1" firstDataRow="2" firstDataCol="1"/>
  <pivotFields count="34">
    <pivotField numFmtId="2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numFmtId="2"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1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27F18-EFA3-4256-B14A-BB5314D6ED1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6:D130" firstHeaderRow="1" firstDataRow="2" firstDataCol="1"/>
  <pivotFields count="34">
    <pivotField numFmtId="2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numFmtId="2" showAll="0"/>
  </pivotFields>
  <rowFields count="1">
    <field x="2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EA860-DB4D-4B44-85E9-09BEC0B2EE7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01:D112" firstHeaderRow="1" firstDataRow="2" firstDataCol="1"/>
  <pivotFields count="34">
    <pivotField numFmtId="2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numFmtId="2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numFmtId="2"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48FA9-34AC-4BC6-9BCE-3F2B385D107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5:D91" firstHeaderRow="1" firstDataRow="2" firstDataCol="1"/>
  <pivotFields count="34">
    <pivotField numFmtId="2"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2" showAll="0">
      <items count="5">
        <item x="3"/>
        <item x="1"/>
        <item x="2"/>
        <item x="0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numFmtId="2"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8B92B4-159C-419C-84A4-548B70753403}" name="Table3" displayName="Table3" ref="A1:AH1471" totalsRowShown="0" headerRowDxfId="39">
  <autoFilter ref="A1:AH1471" xr:uid="{F98B92B4-159C-419C-84A4-548B70753403}"/>
  <tableColumns count="34">
    <tableColumn id="1" xr3:uid="{67D70F56-4D66-4B84-BBFC-728259928A6A}" name="Age" dataDxfId="38"/>
    <tableColumn id="2" xr3:uid="{9ED13199-76B5-4C3E-B6F7-13A901973175}" name="Attrition" dataDxfId="37"/>
    <tableColumn id="3" xr3:uid="{2A217392-9317-48F9-98C9-6A1E3F87C974}" name="BusinessTravel"/>
    <tableColumn id="4" xr3:uid="{41FCE94F-A596-41D1-AD66-AE18419E5300}" name="DailyRate"/>
    <tableColumn id="5" xr3:uid="{0E12674E-14AA-4DF9-8B2D-C57A703CA912}" name="Department" dataDxfId="36"/>
    <tableColumn id="6" xr3:uid="{3733C0CE-F843-45D8-BB57-D5AFFF1F6FFC}" name="DistanceFromHome"/>
    <tableColumn id="7" xr3:uid="{34711469-6EE9-42AB-8977-87B59B82A18A}" name="Education"/>
    <tableColumn id="8" xr3:uid="{807A712B-F95C-4F79-8F94-DE6EEE786F47}" name="EducationField"/>
    <tableColumn id="9" xr3:uid="{525D5DDE-E6A3-4D6C-975E-E525206EC3C6}" name="EmployeeNumber"/>
    <tableColumn id="10" xr3:uid="{3A7C69E4-E092-4890-8C03-816F16333FBC}" name="EnvironmentSatisfaction"/>
    <tableColumn id="11" xr3:uid="{47FF014E-97DB-42AB-99B7-5F1722216043}" name="Gender" dataDxfId="35"/>
    <tableColumn id="12" xr3:uid="{8B6D322F-4B7C-424A-93DE-188C6D40AC6E}" name="HourlyRate"/>
    <tableColumn id="13" xr3:uid="{705F439D-5815-42F0-857A-E7C9078838E6}" name="JobInvolvement"/>
    <tableColumn id="14" xr3:uid="{9D4BC79E-046F-48B9-9C24-6FDD4C13C849}" name="JobLevel"/>
    <tableColumn id="15" xr3:uid="{2F99710B-5A7B-4D75-B6A0-571DFD66CB97}" name="JobRole" dataDxfId="34"/>
    <tableColumn id="16" xr3:uid="{6822FF5E-423B-46FF-B619-FA7C01E97108}" name="JobSatisfaction" dataDxfId="33"/>
    <tableColumn id="17" xr3:uid="{13FCD629-9C92-4D29-887E-5E2B771450C7}" name="MaritalStatus"/>
    <tableColumn id="18" xr3:uid="{6A082025-841D-4F1F-BBD6-2FDB3047B748}" name="MonthlyIncome" dataDxfId="32"/>
    <tableColumn id="34" xr3:uid="{519912FB-04C4-47D0-A02D-8767E30D3EB7}" name="IncomeBand " dataDxfId="31">
      <calculatedColumnFormula>IF(R2&lt;=3000, "low",IF(R2&lt;=7000,"medium","high"))</calculatedColumnFormula>
    </tableColumn>
    <tableColumn id="19" xr3:uid="{3BAF3CBF-D520-47A9-9231-7BC5909BEB85}" name="MonthlyRate"/>
    <tableColumn id="20" xr3:uid="{D186237D-29C6-4A94-ABD5-F43EB409141A}" name="NumCompaniesWorked"/>
    <tableColumn id="21" xr3:uid="{1F62593F-04D9-4D3F-A601-F707C5F0DBDC}" name="OverTime" dataDxfId="30"/>
    <tableColumn id="22" xr3:uid="{69F1A374-EEE6-4660-BCD2-8B15F3E0B35F}" name="PercentSalaryHike"/>
    <tableColumn id="23" xr3:uid="{4819AD03-B5A9-4D33-9B60-A32E105A3A48}" name="PerformanceRating"/>
    <tableColumn id="24" xr3:uid="{0A3CCD04-90D2-4053-A287-F8376CC1327A}" name="RelationshipSatisfaction"/>
    <tableColumn id="25" xr3:uid="{2BB36CB2-DCBE-4D8A-B34C-CDA75BA84CA0}" name="StockOptionLevel"/>
    <tableColumn id="26" xr3:uid="{8A933A1C-5E09-4064-94F1-44941C832387}" name="TotalWorkingYears"/>
    <tableColumn id="27" xr3:uid="{1A366BAF-55E8-4A73-8389-1CAF20163141}" name="TrainingTimesLastYear"/>
    <tableColumn id="28" xr3:uid="{43E6151D-4C64-4385-B925-1F6D47617A90}" name="WorkLifeBalance"/>
    <tableColumn id="29" xr3:uid="{E5105200-69C5-40C8-A7CA-3A7977601BE6}" name="YearsAtCompany" dataDxfId="29"/>
    <tableColumn id="35" xr3:uid="{26744C4F-F0A3-433E-AE35-41961E849D44}" name="TenureBand " dataDxfId="28">
      <calculatedColumnFormula>IF(AD2&lt;=2,"0-2 years", IF(AD2&lt;=5,"3-5 years", IF(AD2&lt;=10,"6-10 years","10+ years")))</calculatedColumnFormula>
    </tableColumn>
    <tableColumn id="30" xr3:uid="{88767948-030D-4F41-9B99-53B5126B88F3}" name="YearsInCurrentRole" dataDxfId="27"/>
    <tableColumn id="31" xr3:uid="{9FBD4D09-4E7A-491A-9F27-B5A11B7ADB84}" name="YearsSinceLastPromotion" dataDxfId="26"/>
    <tableColumn id="32" xr3:uid="{77FB8480-7005-4852-9544-BAE5A1C6170F}" name="YearsWithCurrManager" dataDxfId="25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1BF87C-7111-4AFE-B513-A626DECB0A25}" name="Table4" displayName="Table4" ref="A79:B82" totalsRowShown="0">
  <autoFilter ref="A79:B82" xr:uid="{861BF87C-7111-4AFE-B513-A626DECB0A25}"/>
  <tableColumns count="2">
    <tableColumn id="1" xr3:uid="{9C04F85B-7EC4-4257-9C7C-64A2E3AA4DA1}" name="Departments" dataDxfId="24"/>
    <tableColumn id="2" xr3:uid="{CDA4CAC4-82B5-4A6B-9B68-205271CBDC5A}" name="Attrition rate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ED9CC2-E35B-4359-B625-1B259DDC70B0}" name="Table5" displayName="Table5" ref="A93:B97" totalsRowShown="0" headerRowDxfId="22" dataDxfId="21">
  <autoFilter ref="A93:B97" xr:uid="{27ED9CC2-E35B-4359-B625-1B259DDC70B0}"/>
  <tableColumns count="2">
    <tableColumn id="1" xr3:uid="{CC1DD9EB-13E0-4FEF-A364-3C23768E1D76}" name="Job satisfaction" dataDxfId="20"/>
    <tableColumn id="2" xr3:uid="{F023352D-E15F-4B9E-88BD-D50C486F3127}" name="attrition rate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2B8CDC-821A-4325-8031-DAF2A6CBB821}" name="Table7" displayName="Table7" ref="A114:B123" totalsRowShown="0">
  <autoFilter ref="A114:B123" xr:uid="{AF2B8CDC-821A-4325-8031-DAF2A6CBB821}"/>
  <sortState xmlns:xlrd2="http://schemas.microsoft.com/office/spreadsheetml/2017/richdata2" ref="A115:B123">
    <sortCondition descending="1" ref="B114:B123"/>
  </sortState>
  <tableColumns count="2">
    <tableColumn id="1" xr3:uid="{A27391FB-D000-4E7B-BF8C-0E59510B2A9E}" name="Job role" dataDxfId="18"/>
    <tableColumn id="2" xr3:uid="{0C38097F-EA05-4DFF-A69D-CBEB5BCE9FB2}" name="attrition rate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911F72-AE65-4BF6-A73C-BFB048ABB1B0}" name="Table8" displayName="Table8" ref="A132:B134" totalsRowShown="0">
  <autoFilter ref="A132:B134" xr:uid="{BB911F72-AE65-4BF6-A73C-BFB048ABB1B0}"/>
  <tableColumns count="2">
    <tableColumn id="1" xr3:uid="{F7B9B982-6ABB-4E73-9328-CC841158201A}" name="Over time" dataDxfId="16"/>
    <tableColumn id="2" xr3:uid="{89B85D54-ED2E-4C33-A5BC-3A4697DD17CA}" name="attrition rate" dataDxfId="15">
      <calculatedColumnFormula>GETPIVOTDATA("EmployeeNumber",$A$126,"Attrition","Yes","OverTime","Yes")/GETPIVOTDATA("EmployeeNumber",$A$126,"OverTime","Yes")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1B13B8-C729-44B2-B808-26D32B7091D0}" name="Table9" displayName="Table9" ref="A145:B148" totalsRowShown="0">
  <autoFilter ref="A145:B148" xr:uid="{7A1B13B8-C729-44B2-B808-26D32B7091D0}"/>
  <tableColumns count="2">
    <tableColumn id="1" xr3:uid="{DD689BBC-09A9-404B-99FB-5F4126814028}" name="income band " dataDxfId="14"/>
    <tableColumn id="2" xr3:uid="{CF904CD0-44B5-4920-A6F1-75182EC595AD}" name="attrition " dataDxfId="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4F6587E-ECE0-4EEF-81B4-0E2DD2B8731F}" name="Table10" displayName="Table10" ref="A159:B163" totalsRowShown="0">
  <autoFilter ref="A159:B163" xr:uid="{74F6587E-ECE0-4EEF-81B4-0E2DD2B8731F}"/>
  <sortState xmlns:xlrd2="http://schemas.microsoft.com/office/spreadsheetml/2017/richdata2" ref="A160:B163">
    <sortCondition ref="A159:A163"/>
  </sortState>
  <tableColumns count="2">
    <tableColumn id="1" xr3:uid="{ACF29C6F-2398-4643-A497-3A191D8BCF50}" name="tenure band "/>
    <tableColumn id="2" xr3:uid="{D13F04D7-F506-465C-8780-4D9584F3C6DE}" name="attrition rate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1E2ED4D-BCD1-4D8A-94DB-BB9392E25F3E}" name="Table413" displayName="Table413" ref="A7:B10" totalsRowShown="0">
  <autoFilter ref="A7:B10" xr:uid="{C1E2ED4D-BCD1-4D8A-94DB-BB9392E25F3E}"/>
  <tableColumns count="2">
    <tableColumn id="1" xr3:uid="{5959C7E3-A0E3-4702-A665-4B81F2BA9290}" name="Departments" dataDxfId="11"/>
    <tableColumn id="2" xr3:uid="{C8664E5A-7884-4035-A4E4-6781EFBEABF5}" name="Attrition rate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20E0452-9442-4F22-ABC6-44709E03CF02}" name="Table914" displayName="Table914" ref="C7:D10" totalsRowShown="0">
  <autoFilter ref="C7:D10" xr:uid="{020E0452-9442-4F22-ABC6-44709E03CF02}"/>
  <tableColumns count="2">
    <tableColumn id="1" xr3:uid="{978E603D-70CF-4A9A-AA2A-AA1A68B03BEB}" name="Income band " dataDxfId="9"/>
    <tableColumn id="2" xr3:uid="{B8B7AAA4-A111-4A6B-90E5-27AE9CE8D0CB}" name="Attrition " dataDxfId="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D69FA7E-BC72-42DE-A914-BE8BBFF17D39}" name="Table1015" displayName="Table1015" ref="A19:B23" totalsRowShown="0">
  <autoFilter ref="A19:B23" xr:uid="{ED69FA7E-BC72-42DE-A914-BE8BBFF17D39}"/>
  <sortState xmlns:xlrd2="http://schemas.microsoft.com/office/spreadsheetml/2017/richdata2" ref="A20:B23">
    <sortCondition ref="A122:A126"/>
  </sortState>
  <tableColumns count="2">
    <tableColumn id="1" xr3:uid="{91BC2055-502C-46D7-9C9A-5FB5C12F9B3F}" name="Tenure band "/>
    <tableColumn id="2" xr3:uid="{8468F5EC-56AB-4D17-9AE6-42081E6127AB}" name="Attrition rate" dataDxfId="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5D598E9-2CD0-441D-9885-7A38C7228A8F}" name="Table516" displayName="Table516" ref="C19:D23" totalsRowShown="0" headerRowDxfId="6" dataDxfId="5">
  <autoFilter ref="C19:D23" xr:uid="{65D598E9-2CD0-441D-9885-7A38C7228A8F}"/>
  <tableColumns count="2">
    <tableColumn id="1" xr3:uid="{13319F56-4721-48A5-9AD9-50C389DF0D25}" name="Job satisfaction" dataDxfId="4"/>
    <tableColumn id="2" xr3:uid="{28144346-AF69-4936-9370-8A0D38A4DC97}" name="Attrition rate" dataDxfId="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862C49B-6531-4C58-9972-C0C56F81504B}" name="Table717" displayName="Table717" ref="A33:B42" totalsRowShown="0">
  <autoFilter ref="A33:B42" xr:uid="{6862C49B-6531-4C58-9972-C0C56F81504B}"/>
  <sortState xmlns:xlrd2="http://schemas.microsoft.com/office/spreadsheetml/2017/richdata2" ref="A34:B42">
    <sortCondition descending="1" ref="B33:B42"/>
  </sortState>
  <tableColumns count="2">
    <tableColumn id="1" xr3:uid="{1F9B74BD-5B8E-48D8-A4F1-177632342785}" name="Job role" dataDxfId="2"/>
    <tableColumn id="2" xr3:uid="{D0756BE9-2338-4051-A57D-6A081837E73D}" name="attrition r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13" Type="http://schemas.openxmlformats.org/officeDocument/2006/relationships/table" Target="../tables/table7.xml"/><Relationship Id="rId18" Type="http://schemas.openxmlformats.org/officeDocument/2006/relationships/table" Target="../tables/table12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12" Type="http://schemas.openxmlformats.org/officeDocument/2006/relationships/table" Target="../tables/table6.xml"/><Relationship Id="rId17" Type="http://schemas.openxmlformats.org/officeDocument/2006/relationships/table" Target="../tables/table11.xml"/><Relationship Id="rId2" Type="http://schemas.openxmlformats.org/officeDocument/2006/relationships/pivotTable" Target="../pivotTables/pivotTable2.xml"/><Relationship Id="rId16" Type="http://schemas.openxmlformats.org/officeDocument/2006/relationships/table" Target="../tables/table1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5.xml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9.xml"/><Relationship Id="rId10" Type="http://schemas.openxmlformats.org/officeDocument/2006/relationships/table" Target="../tables/table4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3.xml"/><Relationship Id="rId1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CE85-784E-4072-AEF0-D64C47875A56}">
  <dimension ref="A1:AI1471"/>
  <sheetViews>
    <sheetView workbookViewId="0">
      <selection activeCell="H8" sqref="H8"/>
    </sheetView>
  </sheetViews>
  <sheetFormatPr defaultRowHeight="14.4" x14ac:dyDescent="0.3"/>
  <cols>
    <col min="9" max="9" width="8.88671875" customWidth="1"/>
    <col min="19" max="20" width="8.88671875" customWidth="1"/>
    <col min="32" max="32" width="8.88671875" customWidth="1"/>
    <col min="36" max="36" width="8.886718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I1471" xr:uid="{B602CE85-784E-4072-AEF0-D64C47875A5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BE19-624E-4976-B96F-6DEB04EC3691}">
  <dimension ref="A2:E12"/>
  <sheetViews>
    <sheetView workbookViewId="0">
      <selection activeCell="C14" sqref="C14"/>
    </sheetView>
  </sheetViews>
  <sheetFormatPr defaultRowHeight="14.4" x14ac:dyDescent="0.3"/>
  <cols>
    <col min="1" max="1" width="8.44140625" customWidth="1"/>
    <col min="2" max="2" width="19.6640625" bestFit="1" customWidth="1"/>
    <col min="3" max="3" width="20.6640625" customWidth="1"/>
    <col min="4" max="4" width="18.77734375" customWidth="1"/>
  </cols>
  <sheetData>
    <row r="2" spans="1:5" ht="18" x14ac:dyDescent="0.35">
      <c r="B2" s="87" t="s">
        <v>71</v>
      </c>
      <c r="C2" s="88"/>
      <c r="D2" s="89"/>
    </row>
    <row r="3" spans="1:5" s="1" customFormat="1" x14ac:dyDescent="0.3">
      <c r="A3"/>
      <c r="B3" s="6" t="s">
        <v>62</v>
      </c>
      <c r="C3" s="5" t="s">
        <v>63</v>
      </c>
      <c r="D3" s="7" t="s">
        <v>64</v>
      </c>
      <c r="E3"/>
    </row>
    <row r="4" spans="1:5" x14ac:dyDescent="0.3">
      <c r="B4" s="8" t="s">
        <v>65</v>
      </c>
      <c r="C4" s="3" t="s">
        <v>70</v>
      </c>
      <c r="D4" s="9" t="s">
        <v>72</v>
      </c>
    </row>
    <row r="5" spans="1:5" x14ac:dyDescent="0.3">
      <c r="B5" s="10" t="s">
        <v>66</v>
      </c>
      <c r="C5" s="4" t="s">
        <v>73</v>
      </c>
      <c r="D5" s="11" t="s">
        <v>75</v>
      </c>
    </row>
    <row r="6" spans="1:5" x14ac:dyDescent="0.3">
      <c r="B6" s="8" t="s">
        <v>67</v>
      </c>
      <c r="C6" t="s">
        <v>76</v>
      </c>
      <c r="D6" s="9" t="s">
        <v>79</v>
      </c>
    </row>
    <row r="7" spans="1:5" x14ac:dyDescent="0.3">
      <c r="B7" s="10" t="s">
        <v>68</v>
      </c>
      <c r="C7" s="4" t="s">
        <v>77</v>
      </c>
      <c r="D7" s="11" t="s">
        <v>78</v>
      </c>
    </row>
    <row r="8" spans="1:5" x14ac:dyDescent="0.3">
      <c r="B8" s="12" t="s">
        <v>69</v>
      </c>
      <c r="C8" s="3" t="s">
        <v>74</v>
      </c>
      <c r="D8" s="13" t="s">
        <v>75</v>
      </c>
    </row>
    <row r="10" spans="1:5" ht="18" x14ac:dyDescent="0.35">
      <c r="B10" s="92" t="s">
        <v>135</v>
      </c>
      <c r="C10" s="92"/>
      <c r="D10" s="92"/>
    </row>
    <row r="11" spans="1:5" x14ac:dyDescent="0.3">
      <c r="B11" s="90" t="s">
        <v>134</v>
      </c>
      <c r="C11" s="90"/>
      <c r="D11" s="90"/>
    </row>
    <row r="12" spans="1:5" x14ac:dyDescent="0.3">
      <c r="B12" s="91" t="s">
        <v>133</v>
      </c>
      <c r="C12" s="91"/>
      <c r="D12" s="91"/>
    </row>
  </sheetData>
  <mergeCells count="4">
    <mergeCell ref="B2:D2"/>
    <mergeCell ref="B11:D11"/>
    <mergeCell ref="B12:D12"/>
    <mergeCell ref="B10:D10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DA430-34B5-4253-9E37-D235FE0C32B0}">
  <dimension ref="A1:AH1471"/>
  <sheetViews>
    <sheetView zoomScaleNormal="100" workbookViewId="0">
      <selection activeCell="F18" sqref="F18"/>
    </sheetView>
  </sheetViews>
  <sheetFormatPr defaultRowHeight="14.4" x14ac:dyDescent="0.3"/>
  <cols>
    <col min="1" max="1" width="6.109375" style="14" customWidth="1"/>
    <col min="2" max="2" width="10.33203125" style="17" customWidth="1"/>
    <col min="3" max="3" width="15.6640625" bestFit="1" customWidth="1"/>
    <col min="4" max="4" width="11.109375" customWidth="1"/>
    <col min="5" max="5" width="21.88671875" style="17" bestFit="1" customWidth="1"/>
    <col min="6" max="6" width="19.77734375" customWidth="1"/>
    <col min="7" max="7" width="11.21875" customWidth="1"/>
    <col min="8" max="8" width="15.6640625" bestFit="1" customWidth="1"/>
    <col min="9" max="9" width="18.21875" customWidth="1"/>
    <col min="10" max="10" width="23.88671875" customWidth="1"/>
    <col min="11" max="11" width="9.21875" style="17" customWidth="1"/>
    <col min="12" max="12" width="12.5546875" customWidth="1"/>
    <col min="13" max="13" width="16.44140625" customWidth="1"/>
    <col min="14" max="14" width="10.109375" customWidth="1"/>
    <col min="15" max="15" width="22.88671875" style="17" bestFit="1" customWidth="1"/>
    <col min="16" max="16" width="15.6640625" style="14" customWidth="1"/>
    <col min="17" max="17" width="14.5546875" customWidth="1"/>
    <col min="18" max="19" width="16.44140625" style="14" customWidth="1"/>
    <col min="20" max="20" width="14.109375" customWidth="1"/>
    <col min="21" max="21" width="23.109375" customWidth="1"/>
    <col min="22" max="22" width="11.21875" style="17" customWidth="1"/>
    <col min="23" max="23" width="18.5546875" customWidth="1"/>
    <col min="24" max="24" width="19.33203125" customWidth="1"/>
    <col min="25" max="25" width="23.6640625" customWidth="1"/>
    <col min="26" max="26" width="17.88671875" customWidth="1"/>
    <col min="27" max="27" width="19.109375" customWidth="1"/>
    <col min="28" max="28" width="22.109375" customWidth="1"/>
    <col min="29" max="29" width="17.21875" customWidth="1"/>
    <col min="30" max="30" width="17.44140625" style="14" customWidth="1"/>
    <col min="31" max="31" width="17.44140625" customWidth="1"/>
    <col min="32" max="32" width="19.6640625" style="14" customWidth="1"/>
    <col min="33" max="33" width="24.5546875" style="14" customWidth="1"/>
    <col min="34" max="34" width="23.109375" style="14" customWidth="1"/>
  </cols>
  <sheetData>
    <row r="1" spans="1:34" s="1" customFormat="1" x14ac:dyDescent="0.3">
      <c r="A1" s="15" t="s">
        <v>0</v>
      </c>
      <c r="B1" s="16" t="s">
        <v>1</v>
      </c>
      <c r="C1" s="1" t="s">
        <v>2</v>
      </c>
      <c r="D1" s="1" t="s">
        <v>3</v>
      </c>
      <c r="E1" s="16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6" t="s">
        <v>11</v>
      </c>
      <c r="L1" s="1" t="s">
        <v>12</v>
      </c>
      <c r="M1" s="1" t="s">
        <v>13</v>
      </c>
      <c r="N1" s="1" t="s">
        <v>14</v>
      </c>
      <c r="O1" s="16" t="s">
        <v>15</v>
      </c>
      <c r="P1" s="15" t="s">
        <v>16</v>
      </c>
      <c r="Q1" s="1" t="s">
        <v>17</v>
      </c>
      <c r="R1" s="15" t="s">
        <v>18</v>
      </c>
      <c r="S1" s="15" t="s">
        <v>94</v>
      </c>
      <c r="T1" s="1" t="s">
        <v>19</v>
      </c>
      <c r="U1" s="1" t="s">
        <v>20</v>
      </c>
      <c r="V1" s="16" t="s">
        <v>22</v>
      </c>
      <c r="W1" s="1" t="s">
        <v>23</v>
      </c>
      <c r="X1" s="1" t="s">
        <v>24</v>
      </c>
      <c r="Y1" s="1" t="s">
        <v>25</v>
      </c>
      <c r="Z1" s="1" t="s">
        <v>27</v>
      </c>
      <c r="AA1" s="1" t="s">
        <v>28</v>
      </c>
      <c r="AB1" s="1" t="s">
        <v>29</v>
      </c>
      <c r="AC1" s="1" t="s">
        <v>30</v>
      </c>
      <c r="AD1" s="15" t="s">
        <v>31</v>
      </c>
      <c r="AE1" s="1" t="s">
        <v>100</v>
      </c>
      <c r="AF1" s="15" t="s">
        <v>32</v>
      </c>
      <c r="AG1" s="15" t="s">
        <v>33</v>
      </c>
      <c r="AH1" s="15" t="s">
        <v>34</v>
      </c>
    </row>
    <row r="2" spans="1:34" x14ac:dyDescent="0.3">
      <c r="A2" s="14">
        <v>41</v>
      </c>
      <c r="B2" s="17" t="s">
        <v>35</v>
      </c>
      <c r="C2" t="s">
        <v>36</v>
      </c>
      <c r="D2">
        <v>1102</v>
      </c>
      <c r="E2" s="17" t="s">
        <v>37</v>
      </c>
      <c r="F2">
        <v>1</v>
      </c>
      <c r="G2">
        <v>2</v>
      </c>
      <c r="H2" t="s">
        <v>38</v>
      </c>
      <c r="I2">
        <v>1</v>
      </c>
      <c r="J2">
        <v>2</v>
      </c>
      <c r="K2" s="17" t="s">
        <v>39</v>
      </c>
      <c r="L2">
        <v>94</v>
      </c>
      <c r="M2">
        <v>3</v>
      </c>
      <c r="N2">
        <v>2</v>
      </c>
      <c r="O2" s="17" t="s">
        <v>40</v>
      </c>
      <c r="P2" s="14">
        <v>4</v>
      </c>
      <c r="Q2" t="s">
        <v>41</v>
      </c>
      <c r="R2" s="14">
        <v>5993</v>
      </c>
      <c r="S2" s="17" t="str">
        <f t="shared" ref="S2:S65" si="0">IF(R2&lt;=3000, "low",IF(R2&lt;=7000,"medium","high"))</f>
        <v>medium</v>
      </c>
      <c r="T2">
        <v>19479</v>
      </c>
      <c r="U2">
        <v>8</v>
      </c>
      <c r="V2" s="17" t="s">
        <v>35</v>
      </c>
      <c r="W2">
        <v>11</v>
      </c>
      <c r="X2">
        <v>3</v>
      </c>
      <c r="Y2">
        <v>1</v>
      </c>
      <c r="Z2">
        <v>0</v>
      </c>
      <c r="AA2">
        <v>8</v>
      </c>
      <c r="AB2">
        <v>0</v>
      </c>
      <c r="AC2">
        <v>1</v>
      </c>
      <c r="AD2" s="14">
        <v>6</v>
      </c>
      <c r="AE2" t="str">
        <f t="shared" ref="AE2:AE65" si="1">IF(AD2&lt;=2,"0-2 years", IF(AD2&lt;=5,"3-5 years", IF(AD2&lt;=10,"6-10 years","10+ years")))</f>
        <v>6-10 years</v>
      </c>
      <c r="AF2" s="14">
        <v>4</v>
      </c>
      <c r="AG2" s="14">
        <v>0</v>
      </c>
      <c r="AH2" s="14">
        <v>5</v>
      </c>
    </row>
    <row r="3" spans="1:34" x14ac:dyDescent="0.3">
      <c r="A3" s="14">
        <v>49</v>
      </c>
      <c r="B3" s="17" t="s">
        <v>43</v>
      </c>
      <c r="C3" t="s">
        <v>44</v>
      </c>
      <c r="D3">
        <v>279</v>
      </c>
      <c r="E3" s="17" t="s">
        <v>45</v>
      </c>
      <c r="F3">
        <v>8</v>
      </c>
      <c r="G3">
        <v>1</v>
      </c>
      <c r="H3" t="s">
        <v>38</v>
      </c>
      <c r="I3">
        <v>2</v>
      </c>
      <c r="J3">
        <v>3</v>
      </c>
      <c r="K3" s="17" t="s">
        <v>46</v>
      </c>
      <c r="L3">
        <v>61</v>
      </c>
      <c r="M3">
        <v>2</v>
      </c>
      <c r="N3">
        <v>2</v>
      </c>
      <c r="O3" s="17" t="s">
        <v>47</v>
      </c>
      <c r="P3" s="14">
        <v>2</v>
      </c>
      <c r="Q3" t="s">
        <v>48</v>
      </c>
      <c r="R3" s="14">
        <v>5130</v>
      </c>
      <c r="S3" s="17" t="str">
        <f t="shared" si="0"/>
        <v>medium</v>
      </c>
      <c r="T3">
        <v>24907</v>
      </c>
      <c r="U3">
        <v>1</v>
      </c>
      <c r="V3" s="17" t="s">
        <v>43</v>
      </c>
      <c r="W3">
        <v>23</v>
      </c>
      <c r="X3">
        <v>4</v>
      </c>
      <c r="Y3">
        <v>4</v>
      </c>
      <c r="Z3">
        <v>1</v>
      </c>
      <c r="AA3">
        <v>10</v>
      </c>
      <c r="AB3">
        <v>3</v>
      </c>
      <c r="AC3">
        <v>3</v>
      </c>
      <c r="AD3" s="14">
        <v>10</v>
      </c>
      <c r="AE3" t="str">
        <f t="shared" si="1"/>
        <v>6-10 years</v>
      </c>
      <c r="AF3" s="14">
        <v>7</v>
      </c>
      <c r="AG3" s="14">
        <v>1</v>
      </c>
      <c r="AH3" s="14">
        <v>7</v>
      </c>
    </row>
    <row r="4" spans="1:34" x14ac:dyDescent="0.3">
      <c r="A4" s="14">
        <v>37</v>
      </c>
      <c r="B4" s="17" t="s">
        <v>35</v>
      </c>
      <c r="C4" t="s">
        <v>36</v>
      </c>
      <c r="D4">
        <v>1373</v>
      </c>
      <c r="E4" s="17" t="s">
        <v>45</v>
      </c>
      <c r="F4">
        <v>2</v>
      </c>
      <c r="G4">
        <v>2</v>
      </c>
      <c r="H4" t="s">
        <v>49</v>
      </c>
      <c r="I4">
        <v>4</v>
      </c>
      <c r="J4">
        <v>4</v>
      </c>
      <c r="K4" s="17" t="s">
        <v>46</v>
      </c>
      <c r="L4">
        <v>92</v>
      </c>
      <c r="M4">
        <v>2</v>
      </c>
      <c r="N4">
        <v>1</v>
      </c>
      <c r="O4" s="17" t="s">
        <v>50</v>
      </c>
      <c r="P4" s="14">
        <v>3</v>
      </c>
      <c r="Q4" t="s">
        <v>41</v>
      </c>
      <c r="R4" s="14">
        <v>2090</v>
      </c>
      <c r="S4" s="17" t="str">
        <f t="shared" si="0"/>
        <v>low</v>
      </c>
      <c r="T4">
        <v>2396</v>
      </c>
      <c r="U4">
        <v>6</v>
      </c>
      <c r="V4" s="17" t="s">
        <v>35</v>
      </c>
      <c r="W4">
        <v>15</v>
      </c>
      <c r="X4">
        <v>3</v>
      </c>
      <c r="Y4">
        <v>2</v>
      </c>
      <c r="Z4">
        <v>0</v>
      </c>
      <c r="AA4">
        <v>7</v>
      </c>
      <c r="AB4">
        <v>3</v>
      </c>
      <c r="AC4">
        <v>3</v>
      </c>
      <c r="AD4" s="14">
        <v>0</v>
      </c>
      <c r="AE4" t="str">
        <f t="shared" si="1"/>
        <v>0-2 years</v>
      </c>
      <c r="AF4" s="14">
        <v>0</v>
      </c>
      <c r="AG4" s="14">
        <v>0</v>
      </c>
      <c r="AH4" s="14">
        <v>0</v>
      </c>
    </row>
    <row r="5" spans="1:34" x14ac:dyDescent="0.3">
      <c r="A5" s="14">
        <v>33</v>
      </c>
      <c r="B5" s="17" t="s">
        <v>43</v>
      </c>
      <c r="C5" t="s">
        <v>44</v>
      </c>
      <c r="D5">
        <v>1392</v>
      </c>
      <c r="E5" s="17" t="s">
        <v>45</v>
      </c>
      <c r="F5">
        <v>3</v>
      </c>
      <c r="G5">
        <v>4</v>
      </c>
      <c r="H5" t="s">
        <v>38</v>
      </c>
      <c r="I5">
        <v>5</v>
      </c>
      <c r="J5">
        <v>4</v>
      </c>
      <c r="K5" s="17" t="s">
        <v>39</v>
      </c>
      <c r="L5">
        <v>56</v>
      </c>
      <c r="M5">
        <v>3</v>
      </c>
      <c r="N5">
        <v>1</v>
      </c>
      <c r="O5" s="17" t="s">
        <v>47</v>
      </c>
      <c r="P5" s="14">
        <v>3</v>
      </c>
      <c r="Q5" t="s">
        <v>48</v>
      </c>
      <c r="R5" s="14">
        <v>2909</v>
      </c>
      <c r="S5" s="17" t="str">
        <f t="shared" si="0"/>
        <v>low</v>
      </c>
      <c r="T5">
        <v>23159</v>
      </c>
      <c r="U5">
        <v>1</v>
      </c>
      <c r="V5" s="17" t="s">
        <v>35</v>
      </c>
      <c r="W5">
        <v>11</v>
      </c>
      <c r="X5">
        <v>3</v>
      </c>
      <c r="Y5">
        <v>3</v>
      </c>
      <c r="Z5">
        <v>0</v>
      </c>
      <c r="AA5">
        <v>8</v>
      </c>
      <c r="AB5">
        <v>3</v>
      </c>
      <c r="AC5">
        <v>3</v>
      </c>
      <c r="AD5" s="14">
        <v>8</v>
      </c>
      <c r="AE5" t="str">
        <f t="shared" si="1"/>
        <v>6-10 years</v>
      </c>
      <c r="AF5" s="14">
        <v>7</v>
      </c>
      <c r="AG5" s="14">
        <v>3</v>
      </c>
      <c r="AH5" s="14">
        <v>0</v>
      </c>
    </row>
    <row r="6" spans="1:34" x14ac:dyDescent="0.3">
      <c r="A6" s="14">
        <v>27</v>
      </c>
      <c r="B6" s="17" t="s">
        <v>43</v>
      </c>
      <c r="C6" t="s">
        <v>36</v>
      </c>
      <c r="D6">
        <v>591</v>
      </c>
      <c r="E6" s="17" t="s">
        <v>45</v>
      </c>
      <c r="F6">
        <v>2</v>
      </c>
      <c r="G6">
        <v>1</v>
      </c>
      <c r="H6" t="s">
        <v>51</v>
      </c>
      <c r="I6">
        <v>7</v>
      </c>
      <c r="J6">
        <v>1</v>
      </c>
      <c r="K6" s="17" t="s">
        <v>46</v>
      </c>
      <c r="L6">
        <v>40</v>
      </c>
      <c r="M6">
        <v>3</v>
      </c>
      <c r="N6">
        <v>1</v>
      </c>
      <c r="O6" s="17" t="s">
        <v>50</v>
      </c>
      <c r="P6" s="14">
        <v>2</v>
      </c>
      <c r="Q6" t="s">
        <v>48</v>
      </c>
      <c r="R6" s="14">
        <v>3468</v>
      </c>
      <c r="S6" s="17" t="str">
        <f t="shared" si="0"/>
        <v>medium</v>
      </c>
      <c r="T6">
        <v>16632</v>
      </c>
      <c r="U6">
        <v>9</v>
      </c>
      <c r="V6" s="17" t="s">
        <v>43</v>
      </c>
      <c r="W6">
        <v>12</v>
      </c>
      <c r="X6">
        <v>3</v>
      </c>
      <c r="Y6">
        <v>4</v>
      </c>
      <c r="Z6">
        <v>1</v>
      </c>
      <c r="AA6">
        <v>6</v>
      </c>
      <c r="AB6">
        <v>3</v>
      </c>
      <c r="AC6">
        <v>3</v>
      </c>
      <c r="AD6" s="14">
        <v>2</v>
      </c>
      <c r="AE6" t="str">
        <f t="shared" si="1"/>
        <v>0-2 years</v>
      </c>
      <c r="AF6" s="14">
        <v>2</v>
      </c>
      <c r="AG6" s="14">
        <v>2</v>
      </c>
      <c r="AH6" s="14">
        <v>2</v>
      </c>
    </row>
    <row r="7" spans="1:34" x14ac:dyDescent="0.3">
      <c r="A7" s="14">
        <v>32</v>
      </c>
      <c r="B7" s="17" t="s">
        <v>43</v>
      </c>
      <c r="C7" t="s">
        <v>44</v>
      </c>
      <c r="D7">
        <v>1005</v>
      </c>
      <c r="E7" s="17" t="s">
        <v>45</v>
      </c>
      <c r="F7">
        <v>2</v>
      </c>
      <c r="G7">
        <v>2</v>
      </c>
      <c r="H7" t="s">
        <v>38</v>
      </c>
      <c r="I7">
        <v>8</v>
      </c>
      <c r="J7">
        <v>4</v>
      </c>
      <c r="K7" s="17" t="s">
        <v>46</v>
      </c>
      <c r="L7">
        <v>79</v>
      </c>
      <c r="M7">
        <v>3</v>
      </c>
      <c r="N7">
        <v>1</v>
      </c>
      <c r="O7" s="17" t="s">
        <v>50</v>
      </c>
      <c r="P7" s="14">
        <v>4</v>
      </c>
      <c r="Q7" t="s">
        <v>41</v>
      </c>
      <c r="R7" s="14">
        <v>3068</v>
      </c>
      <c r="S7" s="17" t="str">
        <f t="shared" si="0"/>
        <v>medium</v>
      </c>
      <c r="T7">
        <v>11864</v>
      </c>
      <c r="U7">
        <v>0</v>
      </c>
      <c r="V7" s="17" t="s">
        <v>43</v>
      </c>
      <c r="W7">
        <v>13</v>
      </c>
      <c r="X7">
        <v>3</v>
      </c>
      <c r="Y7">
        <v>3</v>
      </c>
      <c r="Z7">
        <v>0</v>
      </c>
      <c r="AA7">
        <v>8</v>
      </c>
      <c r="AB7">
        <v>2</v>
      </c>
      <c r="AC7">
        <v>2</v>
      </c>
      <c r="AD7" s="14">
        <v>7</v>
      </c>
      <c r="AE7" t="str">
        <f t="shared" si="1"/>
        <v>6-10 years</v>
      </c>
      <c r="AF7" s="14">
        <v>7</v>
      </c>
      <c r="AG7" s="14">
        <v>3</v>
      </c>
      <c r="AH7" s="14">
        <v>6</v>
      </c>
    </row>
    <row r="8" spans="1:34" x14ac:dyDescent="0.3">
      <c r="A8" s="14">
        <v>59</v>
      </c>
      <c r="B8" s="17" t="s">
        <v>43</v>
      </c>
      <c r="C8" t="s">
        <v>36</v>
      </c>
      <c r="D8">
        <v>1324</v>
      </c>
      <c r="E8" s="17" t="s">
        <v>45</v>
      </c>
      <c r="F8">
        <v>3</v>
      </c>
      <c r="G8">
        <v>3</v>
      </c>
      <c r="H8" t="s">
        <v>51</v>
      </c>
      <c r="I8">
        <v>10</v>
      </c>
      <c r="J8">
        <v>3</v>
      </c>
      <c r="K8" s="17" t="s">
        <v>39</v>
      </c>
      <c r="L8">
        <v>81</v>
      </c>
      <c r="M8">
        <v>4</v>
      </c>
      <c r="N8">
        <v>1</v>
      </c>
      <c r="O8" s="17" t="s">
        <v>50</v>
      </c>
      <c r="P8" s="14">
        <v>1</v>
      </c>
      <c r="Q8" t="s">
        <v>48</v>
      </c>
      <c r="R8" s="14">
        <v>2670</v>
      </c>
      <c r="S8" s="17" t="str">
        <f t="shared" si="0"/>
        <v>low</v>
      </c>
      <c r="T8">
        <v>9964</v>
      </c>
      <c r="U8">
        <v>4</v>
      </c>
      <c r="V8" s="17" t="s">
        <v>35</v>
      </c>
      <c r="W8">
        <v>20</v>
      </c>
      <c r="X8">
        <v>4</v>
      </c>
      <c r="Y8">
        <v>1</v>
      </c>
      <c r="Z8">
        <v>3</v>
      </c>
      <c r="AA8">
        <v>12</v>
      </c>
      <c r="AB8">
        <v>3</v>
      </c>
      <c r="AC8">
        <v>2</v>
      </c>
      <c r="AD8" s="14">
        <v>1</v>
      </c>
      <c r="AE8" t="str">
        <f t="shared" si="1"/>
        <v>0-2 years</v>
      </c>
      <c r="AF8" s="14">
        <v>0</v>
      </c>
      <c r="AG8" s="14">
        <v>0</v>
      </c>
      <c r="AH8" s="14">
        <v>0</v>
      </c>
    </row>
    <row r="9" spans="1:34" x14ac:dyDescent="0.3">
      <c r="A9" s="14">
        <v>30</v>
      </c>
      <c r="B9" s="17" t="s">
        <v>43</v>
      </c>
      <c r="C9" t="s">
        <v>36</v>
      </c>
      <c r="D9">
        <v>1358</v>
      </c>
      <c r="E9" s="17" t="s">
        <v>45</v>
      </c>
      <c r="F9">
        <v>24</v>
      </c>
      <c r="G9">
        <v>1</v>
      </c>
      <c r="H9" t="s">
        <v>38</v>
      </c>
      <c r="I9">
        <v>11</v>
      </c>
      <c r="J9">
        <v>4</v>
      </c>
      <c r="K9" s="17" t="s">
        <v>46</v>
      </c>
      <c r="L9">
        <v>67</v>
      </c>
      <c r="M9">
        <v>3</v>
      </c>
      <c r="N9">
        <v>1</v>
      </c>
      <c r="O9" s="17" t="s">
        <v>50</v>
      </c>
      <c r="P9" s="14">
        <v>3</v>
      </c>
      <c r="Q9" t="s">
        <v>52</v>
      </c>
      <c r="R9" s="14">
        <v>2693</v>
      </c>
      <c r="S9" s="17" t="str">
        <f t="shared" si="0"/>
        <v>low</v>
      </c>
      <c r="T9">
        <v>13335</v>
      </c>
      <c r="U9">
        <v>1</v>
      </c>
      <c r="V9" s="17" t="s">
        <v>43</v>
      </c>
      <c r="W9">
        <v>22</v>
      </c>
      <c r="X9">
        <v>4</v>
      </c>
      <c r="Y9">
        <v>2</v>
      </c>
      <c r="Z9">
        <v>1</v>
      </c>
      <c r="AA9">
        <v>1</v>
      </c>
      <c r="AB9">
        <v>2</v>
      </c>
      <c r="AC9">
        <v>3</v>
      </c>
      <c r="AD9" s="14">
        <v>1</v>
      </c>
      <c r="AE9" t="str">
        <f t="shared" si="1"/>
        <v>0-2 years</v>
      </c>
      <c r="AF9" s="14">
        <v>0</v>
      </c>
      <c r="AG9" s="14">
        <v>0</v>
      </c>
      <c r="AH9" s="14">
        <v>0</v>
      </c>
    </row>
    <row r="10" spans="1:34" x14ac:dyDescent="0.3">
      <c r="A10" s="14">
        <v>38</v>
      </c>
      <c r="B10" s="17" t="s">
        <v>43</v>
      </c>
      <c r="C10" t="s">
        <v>44</v>
      </c>
      <c r="D10">
        <v>216</v>
      </c>
      <c r="E10" s="17" t="s">
        <v>45</v>
      </c>
      <c r="F10">
        <v>23</v>
      </c>
      <c r="G10">
        <v>3</v>
      </c>
      <c r="H10" t="s">
        <v>38</v>
      </c>
      <c r="I10">
        <v>12</v>
      </c>
      <c r="J10">
        <v>4</v>
      </c>
      <c r="K10" s="17" t="s">
        <v>46</v>
      </c>
      <c r="L10">
        <v>44</v>
      </c>
      <c r="M10">
        <v>2</v>
      </c>
      <c r="N10">
        <v>3</v>
      </c>
      <c r="O10" s="17" t="s">
        <v>53</v>
      </c>
      <c r="P10" s="14">
        <v>3</v>
      </c>
      <c r="Q10" t="s">
        <v>41</v>
      </c>
      <c r="R10" s="14">
        <v>9526</v>
      </c>
      <c r="S10" s="17" t="str">
        <f t="shared" si="0"/>
        <v>high</v>
      </c>
      <c r="T10">
        <v>8787</v>
      </c>
      <c r="U10">
        <v>0</v>
      </c>
      <c r="V10" s="17" t="s">
        <v>43</v>
      </c>
      <c r="W10">
        <v>21</v>
      </c>
      <c r="X10">
        <v>4</v>
      </c>
      <c r="Y10">
        <v>2</v>
      </c>
      <c r="Z10">
        <v>0</v>
      </c>
      <c r="AA10">
        <v>10</v>
      </c>
      <c r="AB10">
        <v>2</v>
      </c>
      <c r="AC10">
        <v>3</v>
      </c>
      <c r="AD10" s="14">
        <v>9</v>
      </c>
      <c r="AE10" t="str">
        <f t="shared" si="1"/>
        <v>6-10 years</v>
      </c>
      <c r="AF10" s="14">
        <v>7</v>
      </c>
      <c r="AG10" s="14">
        <v>1</v>
      </c>
      <c r="AH10" s="14">
        <v>8</v>
      </c>
    </row>
    <row r="11" spans="1:34" x14ac:dyDescent="0.3">
      <c r="A11" s="14">
        <v>36</v>
      </c>
      <c r="B11" s="17" t="s">
        <v>43</v>
      </c>
      <c r="C11" t="s">
        <v>36</v>
      </c>
      <c r="D11">
        <v>1299</v>
      </c>
      <c r="E11" s="17" t="s">
        <v>45</v>
      </c>
      <c r="F11">
        <v>27</v>
      </c>
      <c r="G11">
        <v>3</v>
      </c>
      <c r="H11" t="s">
        <v>51</v>
      </c>
      <c r="I11">
        <v>13</v>
      </c>
      <c r="J11">
        <v>3</v>
      </c>
      <c r="K11" s="17" t="s">
        <v>46</v>
      </c>
      <c r="L11">
        <v>94</v>
      </c>
      <c r="M11">
        <v>3</v>
      </c>
      <c r="N11">
        <v>2</v>
      </c>
      <c r="O11" s="17" t="s">
        <v>54</v>
      </c>
      <c r="P11" s="14">
        <v>3</v>
      </c>
      <c r="Q11" t="s">
        <v>48</v>
      </c>
      <c r="R11" s="14">
        <v>5237</v>
      </c>
      <c r="S11" s="17" t="str">
        <f t="shared" si="0"/>
        <v>medium</v>
      </c>
      <c r="T11">
        <v>16577</v>
      </c>
      <c r="U11">
        <v>6</v>
      </c>
      <c r="V11" s="17" t="s">
        <v>43</v>
      </c>
      <c r="W11">
        <v>13</v>
      </c>
      <c r="X11">
        <v>3</v>
      </c>
      <c r="Y11">
        <v>2</v>
      </c>
      <c r="Z11">
        <v>2</v>
      </c>
      <c r="AA11">
        <v>17</v>
      </c>
      <c r="AB11">
        <v>3</v>
      </c>
      <c r="AC11">
        <v>2</v>
      </c>
      <c r="AD11" s="14">
        <v>7</v>
      </c>
      <c r="AE11" t="str">
        <f t="shared" si="1"/>
        <v>6-10 years</v>
      </c>
      <c r="AF11" s="14">
        <v>7</v>
      </c>
      <c r="AG11" s="14">
        <v>7</v>
      </c>
      <c r="AH11" s="14">
        <v>7</v>
      </c>
    </row>
    <row r="12" spans="1:34" x14ac:dyDescent="0.3">
      <c r="A12" s="14">
        <v>35</v>
      </c>
      <c r="B12" s="17" t="s">
        <v>43</v>
      </c>
      <c r="C12" t="s">
        <v>36</v>
      </c>
      <c r="D12">
        <v>809</v>
      </c>
      <c r="E12" s="17" t="s">
        <v>45</v>
      </c>
      <c r="F12">
        <v>16</v>
      </c>
      <c r="G12">
        <v>3</v>
      </c>
      <c r="H12" t="s">
        <v>51</v>
      </c>
      <c r="I12">
        <v>14</v>
      </c>
      <c r="J12">
        <v>1</v>
      </c>
      <c r="K12" s="17" t="s">
        <v>46</v>
      </c>
      <c r="L12">
        <v>84</v>
      </c>
      <c r="M12">
        <v>4</v>
      </c>
      <c r="N12">
        <v>1</v>
      </c>
      <c r="O12" s="17" t="s">
        <v>50</v>
      </c>
      <c r="P12" s="14">
        <v>2</v>
      </c>
      <c r="Q12" t="s">
        <v>48</v>
      </c>
      <c r="R12" s="14">
        <v>2426</v>
      </c>
      <c r="S12" s="17" t="str">
        <f t="shared" si="0"/>
        <v>low</v>
      </c>
      <c r="T12">
        <v>16479</v>
      </c>
      <c r="U12">
        <v>0</v>
      </c>
      <c r="V12" s="17" t="s">
        <v>43</v>
      </c>
      <c r="W12">
        <v>13</v>
      </c>
      <c r="X12">
        <v>3</v>
      </c>
      <c r="Y12">
        <v>3</v>
      </c>
      <c r="Z12">
        <v>1</v>
      </c>
      <c r="AA12">
        <v>6</v>
      </c>
      <c r="AB12">
        <v>5</v>
      </c>
      <c r="AC12">
        <v>3</v>
      </c>
      <c r="AD12" s="14">
        <v>5</v>
      </c>
      <c r="AE12" t="str">
        <f t="shared" si="1"/>
        <v>3-5 years</v>
      </c>
      <c r="AF12" s="14">
        <v>4</v>
      </c>
      <c r="AG12" s="14">
        <v>0</v>
      </c>
      <c r="AH12" s="14">
        <v>3</v>
      </c>
    </row>
    <row r="13" spans="1:34" x14ac:dyDescent="0.3">
      <c r="A13" s="14">
        <v>29</v>
      </c>
      <c r="B13" s="17" t="s">
        <v>43</v>
      </c>
      <c r="C13" t="s">
        <v>36</v>
      </c>
      <c r="D13">
        <v>153</v>
      </c>
      <c r="E13" s="17" t="s">
        <v>45</v>
      </c>
      <c r="F13">
        <v>15</v>
      </c>
      <c r="G13">
        <v>2</v>
      </c>
      <c r="H13" t="s">
        <v>38</v>
      </c>
      <c r="I13">
        <v>15</v>
      </c>
      <c r="J13">
        <v>4</v>
      </c>
      <c r="K13" s="17" t="s">
        <v>39</v>
      </c>
      <c r="L13">
        <v>49</v>
      </c>
      <c r="M13">
        <v>2</v>
      </c>
      <c r="N13">
        <v>2</v>
      </c>
      <c r="O13" s="17" t="s">
        <v>50</v>
      </c>
      <c r="P13" s="14">
        <v>3</v>
      </c>
      <c r="Q13" t="s">
        <v>41</v>
      </c>
      <c r="R13" s="14">
        <v>4193</v>
      </c>
      <c r="S13" s="17" t="str">
        <f t="shared" si="0"/>
        <v>medium</v>
      </c>
      <c r="T13">
        <v>12682</v>
      </c>
      <c r="U13">
        <v>0</v>
      </c>
      <c r="V13" s="17" t="s">
        <v>35</v>
      </c>
      <c r="W13">
        <v>12</v>
      </c>
      <c r="X13">
        <v>3</v>
      </c>
      <c r="Y13">
        <v>4</v>
      </c>
      <c r="Z13">
        <v>0</v>
      </c>
      <c r="AA13">
        <v>10</v>
      </c>
      <c r="AB13">
        <v>3</v>
      </c>
      <c r="AC13">
        <v>3</v>
      </c>
      <c r="AD13" s="14">
        <v>9</v>
      </c>
      <c r="AE13" t="str">
        <f t="shared" si="1"/>
        <v>6-10 years</v>
      </c>
      <c r="AF13" s="14">
        <v>5</v>
      </c>
      <c r="AG13" s="14">
        <v>0</v>
      </c>
      <c r="AH13" s="14">
        <v>8</v>
      </c>
    </row>
    <row r="14" spans="1:34" x14ac:dyDescent="0.3">
      <c r="A14" s="14">
        <v>31</v>
      </c>
      <c r="B14" s="17" t="s">
        <v>43</v>
      </c>
      <c r="C14" t="s">
        <v>36</v>
      </c>
      <c r="D14">
        <v>670</v>
      </c>
      <c r="E14" s="17" t="s">
        <v>45</v>
      </c>
      <c r="F14">
        <v>26</v>
      </c>
      <c r="G14">
        <v>1</v>
      </c>
      <c r="H14" t="s">
        <v>38</v>
      </c>
      <c r="I14">
        <v>16</v>
      </c>
      <c r="J14">
        <v>1</v>
      </c>
      <c r="K14" s="17" t="s">
        <v>46</v>
      </c>
      <c r="L14">
        <v>31</v>
      </c>
      <c r="M14">
        <v>3</v>
      </c>
      <c r="N14">
        <v>1</v>
      </c>
      <c r="O14" s="17" t="s">
        <v>47</v>
      </c>
      <c r="P14" s="14">
        <v>3</v>
      </c>
      <c r="Q14" t="s">
        <v>52</v>
      </c>
      <c r="R14" s="14">
        <v>2911</v>
      </c>
      <c r="S14" s="17" t="str">
        <f t="shared" si="0"/>
        <v>low</v>
      </c>
      <c r="T14">
        <v>15170</v>
      </c>
      <c r="U14">
        <v>1</v>
      </c>
      <c r="V14" s="17" t="s">
        <v>43</v>
      </c>
      <c r="W14">
        <v>17</v>
      </c>
      <c r="X14">
        <v>3</v>
      </c>
      <c r="Y14">
        <v>4</v>
      </c>
      <c r="Z14">
        <v>1</v>
      </c>
      <c r="AA14">
        <v>5</v>
      </c>
      <c r="AB14">
        <v>1</v>
      </c>
      <c r="AC14">
        <v>2</v>
      </c>
      <c r="AD14" s="14">
        <v>5</v>
      </c>
      <c r="AE14" t="str">
        <f t="shared" si="1"/>
        <v>3-5 years</v>
      </c>
      <c r="AF14" s="14">
        <v>2</v>
      </c>
      <c r="AG14" s="14">
        <v>4</v>
      </c>
      <c r="AH14" s="14">
        <v>3</v>
      </c>
    </row>
    <row r="15" spans="1:34" x14ac:dyDescent="0.3">
      <c r="A15" s="14">
        <v>34</v>
      </c>
      <c r="B15" s="17" t="s">
        <v>43</v>
      </c>
      <c r="C15" t="s">
        <v>36</v>
      </c>
      <c r="D15">
        <v>1346</v>
      </c>
      <c r="E15" s="17" t="s">
        <v>45</v>
      </c>
      <c r="F15">
        <v>19</v>
      </c>
      <c r="G15">
        <v>2</v>
      </c>
      <c r="H15" t="s">
        <v>51</v>
      </c>
      <c r="I15">
        <v>18</v>
      </c>
      <c r="J15">
        <v>2</v>
      </c>
      <c r="K15" s="17" t="s">
        <v>46</v>
      </c>
      <c r="L15">
        <v>93</v>
      </c>
      <c r="M15">
        <v>3</v>
      </c>
      <c r="N15">
        <v>1</v>
      </c>
      <c r="O15" s="17" t="s">
        <v>50</v>
      </c>
      <c r="P15" s="14">
        <v>4</v>
      </c>
      <c r="Q15" t="s">
        <v>52</v>
      </c>
      <c r="R15" s="14">
        <v>2661</v>
      </c>
      <c r="S15" s="17" t="str">
        <f t="shared" si="0"/>
        <v>low</v>
      </c>
      <c r="T15">
        <v>8758</v>
      </c>
      <c r="U15">
        <v>0</v>
      </c>
      <c r="V15" s="17" t="s">
        <v>43</v>
      </c>
      <c r="W15">
        <v>11</v>
      </c>
      <c r="X15">
        <v>3</v>
      </c>
      <c r="Y15">
        <v>3</v>
      </c>
      <c r="Z15">
        <v>1</v>
      </c>
      <c r="AA15">
        <v>3</v>
      </c>
      <c r="AB15">
        <v>2</v>
      </c>
      <c r="AC15">
        <v>3</v>
      </c>
      <c r="AD15" s="14">
        <v>2</v>
      </c>
      <c r="AE15" t="str">
        <f t="shared" si="1"/>
        <v>0-2 years</v>
      </c>
      <c r="AF15" s="14">
        <v>2</v>
      </c>
      <c r="AG15" s="14">
        <v>1</v>
      </c>
      <c r="AH15" s="14">
        <v>2</v>
      </c>
    </row>
    <row r="16" spans="1:34" x14ac:dyDescent="0.3">
      <c r="A16" s="14">
        <v>28</v>
      </c>
      <c r="B16" s="17" t="s">
        <v>35</v>
      </c>
      <c r="C16" t="s">
        <v>36</v>
      </c>
      <c r="D16">
        <v>103</v>
      </c>
      <c r="E16" s="17" t="s">
        <v>45</v>
      </c>
      <c r="F16">
        <v>24</v>
      </c>
      <c r="G16">
        <v>3</v>
      </c>
      <c r="H16" t="s">
        <v>38</v>
      </c>
      <c r="I16">
        <v>19</v>
      </c>
      <c r="J16">
        <v>3</v>
      </c>
      <c r="K16" s="17" t="s">
        <v>46</v>
      </c>
      <c r="L16">
        <v>50</v>
      </c>
      <c r="M16">
        <v>2</v>
      </c>
      <c r="N16">
        <v>1</v>
      </c>
      <c r="O16" s="17" t="s">
        <v>50</v>
      </c>
      <c r="P16" s="14">
        <v>3</v>
      </c>
      <c r="Q16" t="s">
        <v>41</v>
      </c>
      <c r="R16" s="14">
        <v>2028</v>
      </c>
      <c r="S16" s="17" t="str">
        <f t="shared" si="0"/>
        <v>low</v>
      </c>
      <c r="T16">
        <v>12947</v>
      </c>
      <c r="U16">
        <v>5</v>
      </c>
      <c r="V16" s="17" t="s">
        <v>35</v>
      </c>
      <c r="W16">
        <v>14</v>
      </c>
      <c r="X16">
        <v>3</v>
      </c>
      <c r="Y16">
        <v>2</v>
      </c>
      <c r="Z16">
        <v>0</v>
      </c>
      <c r="AA16">
        <v>6</v>
      </c>
      <c r="AB16">
        <v>4</v>
      </c>
      <c r="AC16">
        <v>3</v>
      </c>
      <c r="AD16" s="14">
        <v>4</v>
      </c>
      <c r="AE16" t="str">
        <f t="shared" si="1"/>
        <v>3-5 years</v>
      </c>
      <c r="AF16" s="14">
        <v>2</v>
      </c>
      <c r="AG16" s="14">
        <v>0</v>
      </c>
      <c r="AH16" s="14">
        <v>3</v>
      </c>
    </row>
    <row r="17" spans="1:34" x14ac:dyDescent="0.3">
      <c r="A17" s="14">
        <v>29</v>
      </c>
      <c r="B17" s="17" t="s">
        <v>43</v>
      </c>
      <c r="C17" t="s">
        <v>36</v>
      </c>
      <c r="D17">
        <v>1389</v>
      </c>
      <c r="E17" s="17" t="s">
        <v>45</v>
      </c>
      <c r="F17">
        <v>21</v>
      </c>
      <c r="G17">
        <v>4</v>
      </c>
      <c r="H17" t="s">
        <v>38</v>
      </c>
      <c r="I17">
        <v>20</v>
      </c>
      <c r="J17">
        <v>2</v>
      </c>
      <c r="K17" s="17" t="s">
        <v>39</v>
      </c>
      <c r="L17">
        <v>51</v>
      </c>
      <c r="M17">
        <v>4</v>
      </c>
      <c r="N17">
        <v>3</v>
      </c>
      <c r="O17" s="17" t="s">
        <v>53</v>
      </c>
      <c r="P17" s="14">
        <v>1</v>
      </c>
      <c r="Q17" t="s">
        <v>52</v>
      </c>
      <c r="R17" s="14">
        <v>9980</v>
      </c>
      <c r="S17" s="17" t="str">
        <f t="shared" si="0"/>
        <v>high</v>
      </c>
      <c r="T17">
        <v>10195</v>
      </c>
      <c r="U17">
        <v>1</v>
      </c>
      <c r="V17" s="17" t="s">
        <v>43</v>
      </c>
      <c r="W17">
        <v>11</v>
      </c>
      <c r="X17">
        <v>3</v>
      </c>
      <c r="Y17">
        <v>3</v>
      </c>
      <c r="Z17">
        <v>1</v>
      </c>
      <c r="AA17">
        <v>10</v>
      </c>
      <c r="AB17">
        <v>1</v>
      </c>
      <c r="AC17">
        <v>3</v>
      </c>
      <c r="AD17" s="14">
        <v>10</v>
      </c>
      <c r="AE17" t="str">
        <f t="shared" si="1"/>
        <v>6-10 years</v>
      </c>
      <c r="AF17" s="14">
        <v>9</v>
      </c>
      <c r="AG17" s="14">
        <v>8</v>
      </c>
      <c r="AH17" s="14">
        <v>8</v>
      </c>
    </row>
    <row r="18" spans="1:34" x14ac:dyDescent="0.3">
      <c r="A18" s="14">
        <v>32</v>
      </c>
      <c r="B18" s="17" t="s">
        <v>43</v>
      </c>
      <c r="C18" t="s">
        <v>36</v>
      </c>
      <c r="D18">
        <v>334</v>
      </c>
      <c r="E18" s="17" t="s">
        <v>45</v>
      </c>
      <c r="F18">
        <v>5</v>
      </c>
      <c r="G18">
        <v>2</v>
      </c>
      <c r="H18" t="s">
        <v>38</v>
      </c>
      <c r="I18">
        <v>21</v>
      </c>
      <c r="J18">
        <v>1</v>
      </c>
      <c r="K18" s="17" t="s">
        <v>46</v>
      </c>
      <c r="L18">
        <v>80</v>
      </c>
      <c r="M18">
        <v>4</v>
      </c>
      <c r="N18">
        <v>1</v>
      </c>
      <c r="O18" s="17" t="s">
        <v>47</v>
      </c>
      <c r="P18" s="14">
        <v>2</v>
      </c>
      <c r="Q18" t="s">
        <v>52</v>
      </c>
      <c r="R18" s="14">
        <v>3298</v>
      </c>
      <c r="S18" s="17" t="str">
        <f t="shared" si="0"/>
        <v>medium</v>
      </c>
      <c r="T18">
        <v>15053</v>
      </c>
      <c r="U18">
        <v>0</v>
      </c>
      <c r="V18" s="17" t="s">
        <v>35</v>
      </c>
      <c r="W18">
        <v>12</v>
      </c>
      <c r="X18">
        <v>3</v>
      </c>
      <c r="Y18">
        <v>4</v>
      </c>
      <c r="Z18">
        <v>2</v>
      </c>
      <c r="AA18">
        <v>7</v>
      </c>
      <c r="AB18">
        <v>5</v>
      </c>
      <c r="AC18">
        <v>2</v>
      </c>
      <c r="AD18" s="14">
        <v>6</v>
      </c>
      <c r="AE18" t="str">
        <f t="shared" si="1"/>
        <v>6-10 years</v>
      </c>
      <c r="AF18" s="14">
        <v>2</v>
      </c>
      <c r="AG18" s="14">
        <v>0</v>
      </c>
      <c r="AH18" s="14">
        <v>5</v>
      </c>
    </row>
    <row r="19" spans="1:34" x14ac:dyDescent="0.3">
      <c r="A19" s="14">
        <v>22</v>
      </c>
      <c r="B19" s="17" t="s">
        <v>43</v>
      </c>
      <c r="C19" t="s">
        <v>55</v>
      </c>
      <c r="D19">
        <v>1123</v>
      </c>
      <c r="E19" s="17" t="s">
        <v>45</v>
      </c>
      <c r="F19">
        <v>16</v>
      </c>
      <c r="G19">
        <v>2</v>
      </c>
      <c r="H19" t="s">
        <v>51</v>
      </c>
      <c r="I19">
        <v>22</v>
      </c>
      <c r="J19">
        <v>4</v>
      </c>
      <c r="K19" s="17" t="s">
        <v>46</v>
      </c>
      <c r="L19">
        <v>96</v>
      </c>
      <c r="M19">
        <v>4</v>
      </c>
      <c r="N19">
        <v>1</v>
      </c>
      <c r="O19" s="17" t="s">
        <v>50</v>
      </c>
      <c r="P19" s="14">
        <v>4</v>
      </c>
      <c r="Q19" t="s">
        <v>52</v>
      </c>
      <c r="R19" s="14">
        <v>2935</v>
      </c>
      <c r="S19" s="17" t="str">
        <f t="shared" si="0"/>
        <v>low</v>
      </c>
      <c r="T19">
        <v>7324</v>
      </c>
      <c r="U19">
        <v>1</v>
      </c>
      <c r="V19" s="17" t="s">
        <v>35</v>
      </c>
      <c r="W19">
        <v>13</v>
      </c>
      <c r="X19">
        <v>3</v>
      </c>
      <c r="Y19">
        <v>2</v>
      </c>
      <c r="Z19">
        <v>2</v>
      </c>
      <c r="AA19">
        <v>1</v>
      </c>
      <c r="AB19">
        <v>2</v>
      </c>
      <c r="AC19">
        <v>2</v>
      </c>
      <c r="AD19" s="14">
        <v>1</v>
      </c>
      <c r="AE19" t="str">
        <f t="shared" si="1"/>
        <v>0-2 years</v>
      </c>
      <c r="AF19" s="14">
        <v>0</v>
      </c>
      <c r="AG19" s="14">
        <v>0</v>
      </c>
      <c r="AH19" s="14">
        <v>0</v>
      </c>
    </row>
    <row r="20" spans="1:34" x14ac:dyDescent="0.3">
      <c r="A20" s="14">
        <v>53</v>
      </c>
      <c r="B20" s="17" t="s">
        <v>43</v>
      </c>
      <c r="C20" t="s">
        <v>36</v>
      </c>
      <c r="D20">
        <v>1219</v>
      </c>
      <c r="E20" s="17" t="s">
        <v>37</v>
      </c>
      <c r="F20">
        <v>2</v>
      </c>
      <c r="G20">
        <v>4</v>
      </c>
      <c r="H20" t="s">
        <v>38</v>
      </c>
      <c r="I20">
        <v>23</v>
      </c>
      <c r="J20">
        <v>1</v>
      </c>
      <c r="K20" s="17" t="s">
        <v>39</v>
      </c>
      <c r="L20">
        <v>78</v>
      </c>
      <c r="M20">
        <v>2</v>
      </c>
      <c r="N20">
        <v>4</v>
      </c>
      <c r="O20" s="17" t="s">
        <v>56</v>
      </c>
      <c r="P20" s="14">
        <v>4</v>
      </c>
      <c r="Q20" t="s">
        <v>48</v>
      </c>
      <c r="R20" s="14">
        <v>15427</v>
      </c>
      <c r="S20" s="17" t="str">
        <f>IF(R20&lt;=3000, "low",IF(R20&lt;=7000,"medium","high"))</f>
        <v>high</v>
      </c>
      <c r="T20">
        <v>22021</v>
      </c>
      <c r="U20">
        <v>2</v>
      </c>
      <c r="V20" s="17" t="s">
        <v>43</v>
      </c>
      <c r="W20">
        <v>16</v>
      </c>
      <c r="X20">
        <v>3</v>
      </c>
      <c r="Y20">
        <v>3</v>
      </c>
      <c r="Z20">
        <v>0</v>
      </c>
      <c r="AA20">
        <v>31</v>
      </c>
      <c r="AB20">
        <v>3</v>
      </c>
      <c r="AC20">
        <v>3</v>
      </c>
      <c r="AD20" s="14">
        <v>25</v>
      </c>
      <c r="AE20" t="str">
        <f t="shared" si="1"/>
        <v>10+ years</v>
      </c>
      <c r="AF20" s="14">
        <v>8</v>
      </c>
      <c r="AG20" s="14">
        <v>3</v>
      </c>
      <c r="AH20" s="14">
        <v>7</v>
      </c>
    </row>
    <row r="21" spans="1:34" x14ac:dyDescent="0.3">
      <c r="A21" s="14">
        <v>38</v>
      </c>
      <c r="B21" s="17" t="s">
        <v>43</v>
      </c>
      <c r="C21" t="s">
        <v>36</v>
      </c>
      <c r="D21">
        <v>371</v>
      </c>
      <c r="E21" s="17" t="s">
        <v>45</v>
      </c>
      <c r="F21">
        <v>2</v>
      </c>
      <c r="G21">
        <v>3</v>
      </c>
      <c r="H21" t="s">
        <v>38</v>
      </c>
      <c r="I21">
        <v>24</v>
      </c>
      <c r="J21">
        <v>4</v>
      </c>
      <c r="K21" s="17" t="s">
        <v>46</v>
      </c>
      <c r="L21">
        <v>45</v>
      </c>
      <c r="M21">
        <v>3</v>
      </c>
      <c r="N21">
        <v>1</v>
      </c>
      <c r="O21" s="17" t="s">
        <v>47</v>
      </c>
      <c r="P21" s="14">
        <v>4</v>
      </c>
      <c r="Q21" t="s">
        <v>41</v>
      </c>
      <c r="R21" s="14">
        <v>3944</v>
      </c>
      <c r="S21" s="17" t="str">
        <f t="shared" si="0"/>
        <v>medium</v>
      </c>
      <c r="T21">
        <v>4306</v>
      </c>
      <c r="U21">
        <v>5</v>
      </c>
      <c r="V21" s="17" t="s">
        <v>35</v>
      </c>
      <c r="W21">
        <v>11</v>
      </c>
      <c r="X21">
        <v>3</v>
      </c>
      <c r="Y21">
        <v>3</v>
      </c>
      <c r="Z21">
        <v>0</v>
      </c>
      <c r="AA21">
        <v>6</v>
      </c>
      <c r="AB21">
        <v>3</v>
      </c>
      <c r="AC21">
        <v>3</v>
      </c>
      <c r="AD21" s="14">
        <v>3</v>
      </c>
      <c r="AE21" t="str">
        <f t="shared" si="1"/>
        <v>3-5 years</v>
      </c>
      <c r="AF21" s="14">
        <v>2</v>
      </c>
      <c r="AG21" s="14">
        <v>1</v>
      </c>
      <c r="AH21" s="14">
        <v>2</v>
      </c>
    </row>
    <row r="22" spans="1:34" x14ac:dyDescent="0.3">
      <c r="A22" s="14">
        <v>24</v>
      </c>
      <c r="B22" s="17" t="s">
        <v>43</v>
      </c>
      <c r="C22" t="s">
        <v>55</v>
      </c>
      <c r="D22">
        <v>673</v>
      </c>
      <c r="E22" s="17" t="s">
        <v>45</v>
      </c>
      <c r="F22">
        <v>11</v>
      </c>
      <c r="G22">
        <v>2</v>
      </c>
      <c r="H22" t="s">
        <v>49</v>
      </c>
      <c r="I22">
        <v>26</v>
      </c>
      <c r="J22">
        <v>1</v>
      </c>
      <c r="K22" s="17" t="s">
        <v>39</v>
      </c>
      <c r="L22">
        <v>96</v>
      </c>
      <c r="M22">
        <v>4</v>
      </c>
      <c r="N22">
        <v>2</v>
      </c>
      <c r="O22" s="17" t="s">
        <v>53</v>
      </c>
      <c r="P22" s="14">
        <v>3</v>
      </c>
      <c r="Q22" t="s">
        <v>52</v>
      </c>
      <c r="R22" s="14">
        <v>4011</v>
      </c>
      <c r="S22" s="17" t="str">
        <f t="shared" si="0"/>
        <v>medium</v>
      </c>
      <c r="T22">
        <v>8232</v>
      </c>
      <c r="U22">
        <v>0</v>
      </c>
      <c r="V22" s="17" t="s">
        <v>43</v>
      </c>
      <c r="W22">
        <v>18</v>
      </c>
      <c r="X22">
        <v>3</v>
      </c>
      <c r="Y22">
        <v>4</v>
      </c>
      <c r="Z22">
        <v>1</v>
      </c>
      <c r="AA22">
        <v>5</v>
      </c>
      <c r="AB22">
        <v>5</v>
      </c>
      <c r="AC22">
        <v>2</v>
      </c>
      <c r="AD22" s="14">
        <v>4</v>
      </c>
      <c r="AE22" t="str">
        <f t="shared" si="1"/>
        <v>3-5 years</v>
      </c>
      <c r="AF22" s="14">
        <v>2</v>
      </c>
      <c r="AG22" s="14">
        <v>1</v>
      </c>
      <c r="AH22" s="14">
        <v>3</v>
      </c>
    </row>
    <row r="23" spans="1:34" x14ac:dyDescent="0.3">
      <c r="A23" s="14">
        <v>36</v>
      </c>
      <c r="B23" s="17" t="s">
        <v>35</v>
      </c>
      <c r="C23" t="s">
        <v>36</v>
      </c>
      <c r="D23">
        <v>1218</v>
      </c>
      <c r="E23" s="17" t="s">
        <v>37</v>
      </c>
      <c r="F23">
        <v>9</v>
      </c>
      <c r="G23">
        <v>4</v>
      </c>
      <c r="H23" t="s">
        <v>38</v>
      </c>
      <c r="I23">
        <v>27</v>
      </c>
      <c r="J23">
        <v>3</v>
      </c>
      <c r="K23" s="17" t="s">
        <v>46</v>
      </c>
      <c r="L23">
        <v>82</v>
      </c>
      <c r="M23">
        <v>2</v>
      </c>
      <c r="N23">
        <v>1</v>
      </c>
      <c r="O23" s="17" t="s">
        <v>57</v>
      </c>
      <c r="P23" s="14">
        <v>1</v>
      </c>
      <c r="Q23" t="s">
        <v>41</v>
      </c>
      <c r="R23" s="14">
        <v>3407</v>
      </c>
      <c r="S23" s="17" t="str">
        <f t="shared" si="0"/>
        <v>medium</v>
      </c>
      <c r="T23">
        <v>6986</v>
      </c>
      <c r="U23">
        <v>7</v>
      </c>
      <c r="V23" s="17" t="s">
        <v>43</v>
      </c>
      <c r="W23">
        <v>23</v>
      </c>
      <c r="X23">
        <v>4</v>
      </c>
      <c r="Y23">
        <v>2</v>
      </c>
      <c r="Z23">
        <v>0</v>
      </c>
      <c r="AA23">
        <v>10</v>
      </c>
      <c r="AB23">
        <v>4</v>
      </c>
      <c r="AC23">
        <v>3</v>
      </c>
      <c r="AD23" s="14">
        <v>5</v>
      </c>
      <c r="AE23" t="str">
        <f t="shared" si="1"/>
        <v>3-5 years</v>
      </c>
      <c r="AF23" s="14">
        <v>3</v>
      </c>
      <c r="AG23" s="14">
        <v>0</v>
      </c>
      <c r="AH23" s="14">
        <v>3</v>
      </c>
    </row>
    <row r="24" spans="1:34" x14ac:dyDescent="0.3">
      <c r="A24" s="14">
        <v>34</v>
      </c>
      <c r="B24" s="17" t="s">
        <v>43</v>
      </c>
      <c r="C24" t="s">
        <v>36</v>
      </c>
      <c r="D24">
        <v>419</v>
      </c>
      <c r="E24" s="17" t="s">
        <v>45</v>
      </c>
      <c r="F24">
        <v>7</v>
      </c>
      <c r="G24">
        <v>4</v>
      </c>
      <c r="H24" t="s">
        <v>38</v>
      </c>
      <c r="I24">
        <v>28</v>
      </c>
      <c r="J24">
        <v>1</v>
      </c>
      <c r="K24" s="17" t="s">
        <v>39</v>
      </c>
      <c r="L24">
        <v>53</v>
      </c>
      <c r="M24">
        <v>3</v>
      </c>
      <c r="N24">
        <v>3</v>
      </c>
      <c r="O24" s="17" t="s">
        <v>58</v>
      </c>
      <c r="P24" s="14">
        <v>2</v>
      </c>
      <c r="Q24" t="s">
        <v>41</v>
      </c>
      <c r="R24" s="14">
        <v>11994</v>
      </c>
      <c r="S24" s="17" t="str">
        <f t="shared" si="0"/>
        <v>high</v>
      </c>
      <c r="T24">
        <v>21293</v>
      </c>
      <c r="U24">
        <v>0</v>
      </c>
      <c r="V24" s="17" t="s">
        <v>43</v>
      </c>
      <c r="W24">
        <v>11</v>
      </c>
      <c r="X24">
        <v>3</v>
      </c>
      <c r="Y24">
        <v>3</v>
      </c>
      <c r="Z24">
        <v>0</v>
      </c>
      <c r="AA24">
        <v>13</v>
      </c>
      <c r="AB24">
        <v>4</v>
      </c>
      <c r="AC24">
        <v>3</v>
      </c>
      <c r="AD24" s="14">
        <v>12</v>
      </c>
      <c r="AE24" t="str">
        <f t="shared" si="1"/>
        <v>10+ years</v>
      </c>
      <c r="AF24" s="14">
        <v>6</v>
      </c>
      <c r="AG24" s="14">
        <v>2</v>
      </c>
      <c r="AH24" s="14">
        <v>11</v>
      </c>
    </row>
    <row r="25" spans="1:34" x14ac:dyDescent="0.3">
      <c r="A25" s="14">
        <v>21</v>
      </c>
      <c r="B25" s="17" t="s">
        <v>43</v>
      </c>
      <c r="C25" t="s">
        <v>36</v>
      </c>
      <c r="D25">
        <v>391</v>
      </c>
      <c r="E25" s="17" t="s">
        <v>45</v>
      </c>
      <c r="F25">
        <v>15</v>
      </c>
      <c r="G25">
        <v>2</v>
      </c>
      <c r="H25" t="s">
        <v>38</v>
      </c>
      <c r="I25">
        <v>30</v>
      </c>
      <c r="J25">
        <v>3</v>
      </c>
      <c r="K25" s="17" t="s">
        <v>46</v>
      </c>
      <c r="L25">
        <v>96</v>
      </c>
      <c r="M25">
        <v>3</v>
      </c>
      <c r="N25">
        <v>1</v>
      </c>
      <c r="O25" s="17" t="s">
        <v>47</v>
      </c>
      <c r="P25" s="14">
        <v>4</v>
      </c>
      <c r="Q25" t="s">
        <v>41</v>
      </c>
      <c r="R25" s="14">
        <v>1232</v>
      </c>
      <c r="S25" s="17" t="str">
        <f t="shared" si="0"/>
        <v>low</v>
      </c>
      <c r="T25">
        <v>19281</v>
      </c>
      <c r="U25">
        <v>1</v>
      </c>
      <c r="V25" s="17" t="s">
        <v>43</v>
      </c>
      <c r="W25">
        <v>14</v>
      </c>
      <c r="X25">
        <v>3</v>
      </c>
      <c r="Y25">
        <v>4</v>
      </c>
      <c r="Z25">
        <v>0</v>
      </c>
      <c r="AA25">
        <v>0</v>
      </c>
      <c r="AB25">
        <v>6</v>
      </c>
      <c r="AC25">
        <v>3</v>
      </c>
      <c r="AD25" s="14">
        <v>0</v>
      </c>
      <c r="AE25" t="str">
        <f t="shared" si="1"/>
        <v>0-2 years</v>
      </c>
      <c r="AF25" s="14">
        <v>0</v>
      </c>
      <c r="AG25" s="14">
        <v>0</v>
      </c>
      <c r="AH25" s="14">
        <v>0</v>
      </c>
    </row>
    <row r="26" spans="1:34" x14ac:dyDescent="0.3">
      <c r="A26" s="14">
        <v>34</v>
      </c>
      <c r="B26" s="17" t="s">
        <v>35</v>
      </c>
      <c r="C26" t="s">
        <v>36</v>
      </c>
      <c r="D26">
        <v>699</v>
      </c>
      <c r="E26" s="17" t="s">
        <v>45</v>
      </c>
      <c r="F26">
        <v>6</v>
      </c>
      <c r="G26">
        <v>1</v>
      </c>
      <c r="H26" t="s">
        <v>51</v>
      </c>
      <c r="I26">
        <v>31</v>
      </c>
      <c r="J26">
        <v>2</v>
      </c>
      <c r="K26" s="17" t="s">
        <v>46</v>
      </c>
      <c r="L26">
        <v>83</v>
      </c>
      <c r="M26">
        <v>3</v>
      </c>
      <c r="N26">
        <v>1</v>
      </c>
      <c r="O26" s="17" t="s">
        <v>47</v>
      </c>
      <c r="P26" s="14">
        <v>1</v>
      </c>
      <c r="Q26" t="s">
        <v>41</v>
      </c>
      <c r="R26" s="14">
        <v>2960</v>
      </c>
      <c r="S26" s="17" t="str">
        <f t="shared" si="0"/>
        <v>low</v>
      </c>
      <c r="T26">
        <v>17102</v>
      </c>
      <c r="U26">
        <v>2</v>
      </c>
      <c r="V26" s="17" t="s">
        <v>43</v>
      </c>
      <c r="W26">
        <v>11</v>
      </c>
      <c r="X26">
        <v>3</v>
      </c>
      <c r="Y26">
        <v>3</v>
      </c>
      <c r="Z26">
        <v>0</v>
      </c>
      <c r="AA26">
        <v>8</v>
      </c>
      <c r="AB26">
        <v>2</v>
      </c>
      <c r="AC26">
        <v>3</v>
      </c>
      <c r="AD26" s="14">
        <v>4</v>
      </c>
      <c r="AE26" t="str">
        <f t="shared" si="1"/>
        <v>3-5 years</v>
      </c>
      <c r="AF26" s="14">
        <v>2</v>
      </c>
      <c r="AG26" s="14">
        <v>1</v>
      </c>
      <c r="AH26" s="14">
        <v>3</v>
      </c>
    </row>
    <row r="27" spans="1:34" x14ac:dyDescent="0.3">
      <c r="A27" s="14">
        <v>53</v>
      </c>
      <c r="B27" s="17" t="s">
        <v>43</v>
      </c>
      <c r="C27" t="s">
        <v>36</v>
      </c>
      <c r="D27">
        <v>1282</v>
      </c>
      <c r="E27" s="17" t="s">
        <v>45</v>
      </c>
      <c r="F27">
        <v>5</v>
      </c>
      <c r="G27">
        <v>3</v>
      </c>
      <c r="H27" t="s">
        <v>49</v>
      </c>
      <c r="I27">
        <v>32</v>
      </c>
      <c r="J27">
        <v>3</v>
      </c>
      <c r="K27" s="17" t="s">
        <v>39</v>
      </c>
      <c r="L27">
        <v>58</v>
      </c>
      <c r="M27">
        <v>3</v>
      </c>
      <c r="N27">
        <v>5</v>
      </c>
      <c r="O27" s="17" t="s">
        <v>56</v>
      </c>
      <c r="P27" s="14">
        <v>3</v>
      </c>
      <c r="Q27" t="s">
        <v>52</v>
      </c>
      <c r="R27" s="14">
        <v>19094</v>
      </c>
      <c r="S27" s="17" t="str">
        <f t="shared" si="0"/>
        <v>high</v>
      </c>
      <c r="T27">
        <v>10735</v>
      </c>
      <c r="U27">
        <v>4</v>
      </c>
      <c r="V27" s="17" t="s">
        <v>43</v>
      </c>
      <c r="W27">
        <v>11</v>
      </c>
      <c r="X27">
        <v>3</v>
      </c>
      <c r="Y27">
        <v>4</v>
      </c>
      <c r="Z27">
        <v>1</v>
      </c>
      <c r="AA27">
        <v>26</v>
      </c>
      <c r="AB27">
        <v>3</v>
      </c>
      <c r="AC27">
        <v>2</v>
      </c>
      <c r="AD27" s="14">
        <v>14</v>
      </c>
      <c r="AE27" t="str">
        <f t="shared" si="1"/>
        <v>10+ years</v>
      </c>
      <c r="AF27" s="14">
        <v>13</v>
      </c>
      <c r="AG27" s="14">
        <v>4</v>
      </c>
      <c r="AH27" s="14">
        <v>8</v>
      </c>
    </row>
    <row r="28" spans="1:34" x14ac:dyDescent="0.3">
      <c r="A28" s="14">
        <v>32</v>
      </c>
      <c r="B28" s="17" t="s">
        <v>35</v>
      </c>
      <c r="C28" t="s">
        <v>44</v>
      </c>
      <c r="D28">
        <v>1125</v>
      </c>
      <c r="E28" s="17" t="s">
        <v>45</v>
      </c>
      <c r="F28">
        <v>16</v>
      </c>
      <c r="G28">
        <v>1</v>
      </c>
      <c r="H28" t="s">
        <v>38</v>
      </c>
      <c r="I28">
        <v>33</v>
      </c>
      <c r="J28">
        <v>2</v>
      </c>
      <c r="K28" s="17" t="s">
        <v>39</v>
      </c>
      <c r="L28">
        <v>72</v>
      </c>
      <c r="M28">
        <v>1</v>
      </c>
      <c r="N28">
        <v>1</v>
      </c>
      <c r="O28" s="17" t="s">
        <v>47</v>
      </c>
      <c r="P28" s="14">
        <v>1</v>
      </c>
      <c r="Q28" t="s">
        <v>41</v>
      </c>
      <c r="R28" s="14">
        <v>3919</v>
      </c>
      <c r="S28" s="17" t="str">
        <f t="shared" si="0"/>
        <v>medium</v>
      </c>
      <c r="T28">
        <v>4681</v>
      </c>
      <c r="U28">
        <v>1</v>
      </c>
      <c r="V28" s="17" t="s">
        <v>35</v>
      </c>
      <c r="W28">
        <v>22</v>
      </c>
      <c r="X28">
        <v>4</v>
      </c>
      <c r="Y28">
        <v>2</v>
      </c>
      <c r="Z28">
        <v>0</v>
      </c>
      <c r="AA28">
        <v>10</v>
      </c>
      <c r="AB28">
        <v>5</v>
      </c>
      <c r="AC28">
        <v>3</v>
      </c>
      <c r="AD28" s="14">
        <v>10</v>
      </c>
      <c r="AE28" t="str">
        <f t="shared" si="1"/>
        <v>6-10 years</v>
      </c>
      <c r="AF28" s="14">
        <v>2</v>
      </c>
      <c r="AG28" s="14">
        <v>6</v>
      </c>
      <c r="AH28" s="14">
        <v>7</v>
      </c>
    </row>
    <row r="29" spans="1:34" x14ac:dyDescent="0.3">
      <c r="A29" s="14">
        <v>42</v>
      </c>
      <c r="B29" s="17" t="s">
        <v>43</v>
      </c>
      <c r="C29" t="s">
        <v>36</v>
      </c>
      <c r="D29">
        <v>691</v>
      </c>
      <c r="E29" s="17" t="s">
        <v>37</v>
      </c>
      <c r="F29">
        <v>8</v>
      </c>
      <c r="G29">
        <v>4</v>
      </c>
      <c r="H29" t="s">
        <v>59</v>
      </c>
      <c r="I29">
        <v>35</v>
      </c>
      <c r="J29">
        <v>3</v>
      </c>
      <c r="K29" s="17" t="s">
        <v>46</v>
      </c>
      <c r="L29">
        <v>48</v>
      </c>
      <c r="M29">
        <v>3</v>
      </c>
      <c r="N29">
        <v>2</v>
      </c>
      <c r="O29" s="17" t="s">
        <v>40</v>
      </c>
      <c r="P29" s="14">
        <v>2</v>
      </c>
      <c r="Q29" t="s">
        <v>48</v>
      </c>
      <c r="R29" s="14">
        <v>6825</v>
      </c>
      <c r="S29" s="17" t="str">
        <f t="shared" si="0"/>
        <v>medium</v>
      </c>
      <c r="T29">
        <v>21173</v>
      </c>
      <c r="U29">
        <v>0</v>
      </c>
      <c r="V29" s="17" t="s">
        <v>43</v>
      </c>
      <c r="W29">
        <v>11</v>
      </c>
      <c r="X29">
        <v>3</v>
      </c>
      <c r="Y29">
        <v>4</v>
      </c>
      <c r="Z29">
        <v>1</v>
      </c>
      <c r="AA29">
        <v>10</v>
      </c>
      <c r="AB29">
        <v>2</v>
      </c>
      <c r="AC29">
        <v>3</v>
      </c>
      <c r="AD29" s="14">
        <v>9</v>
      </c>
      <c r="AE29" t="str">
        <f t="shared" si="1"/>
        <v>6-10 years</v>
      </c>
      <c r="AF29" s="14">
        <v>7</v>
      </c>
      <c r="AG29" s="14">
        <v>4</v>
      </c>
      <c r="AH29" s="14">
        <v>2</v>
      </c>
    </row>
    <row r="30" spans="1:34" x14ac:dyDescent="0.3">
      <c r="A30" s="14">
        <v>44</v>
      </c>
      <c r="B30" s="17" t="s">
        <v>43</v>
      </c>
      <c r="C30" t="s">
        <v>36</v>
      </c>
      <c r="D30">
        <v>477</v>
      </c>
      <c r="E30" s="17" t="s">
        <v>45</v>
      </c>
      <c r="F30">
        <v>7</v>
      </c>
      <c r="G30">
        <v>4</v>
      </c>
      <c r="H30" t="s">
        <v>51</v>
      </c>
      <c r="I30">
        <v>36</v>
      </c>
      <c r="J30">
        <v>1</v>
      </c>
      <c r="K30" s="17" t="s">
        <v>39</v>
      </c>
      <c r="L30">
        <v>42</v>
      </c>
      <c r="M30">
        <v>2</v>
      </c>
      <c r="N30">
        <v>3</v>
      </c>
      <c r="O30" s="17" t="s">
        <v>54</v>
      </c>
      <c r="P30" s="14">
        <v>4</v>
      </c>
      <c r="Q30" t="s">
        <v>48</v>
      </c>
      <c r="R30" s="14">
        <v>10248</v>
      </c>
      <c r="S30" s="17" t="str">
        <f t="shared" si="0"/>
        <v>high</v>
      </c>
      <c r="T30">
        <v>2094</v>
      </c>
      <c r="U30">
        <v>3</v>
      </c>
      <c r="V30" s="17" t="s">
        <v>43</v>
      </c>
      <c r="W30">
        <v>14</v>
      </c>
      <c r="X30">
        <v>3</v>
      </c>
      <c r="Y30">
        <v>4</v>
      </c>
      <c r="Z30">
        <v>1</v>
      </c>
      <c r="AA30">
        <v>24</v>
      </c>
      <c r="AB30">
        <v>4</v>
      </c>
      <c r="AC30">
        <v>3</v>
      </c>
      <c r="AD30" s="14">
        <v>22</v>
      </c>
      <c r="AE30" t="str">
        <f t="shared" si="1"/>
        <v>10+ years</v>
      </c>
      <c r="AF30" s="14">
        <v>6</v>
      </c>
      <c r="AG30" s="14">
        <v>5</v>
      </c>
      <c r="AH30" s="14">
        <v>17</v>
      </c>
    </row>
    <row r="31" spans="1:34" x14ac:dyDescent="0.3">
      <c r="A31" s="14">
        <v>46</v>
      </c>
      <c r="B31" s="17" t="s">
        <v>43</v>
      </c>
      <c r="C31" t="s">
        <v>36</v>
      </c>
      <c r="D31">
        <v>705</v>
      </c>
      <c r="E31" s="17" t="s">
        <v>37</v>
      </c>
      <c r="F31">
        <v>2</v>
      </c>
      <c r="G31">
        <v>4</v>
      </c>
      <c r="H31" t="s">
        <v>59</v>
      </c>
      <c r="I31">
        <v>38</v>
      </c>
      <c r="J31">
        <v>2</v>
      </c>
      <c r="K31" s="17" t="s">
        <v>39</v>
      </c>
      <c r="L31">
        <v>83</v>
      </c>
      <c r="M31">
        <v>3</v>
      </c>
      <c r="N31">
        <v>5</v>
      </c>
      <c r="O31" s="17" t="s">
        <v>56</v>
      </c>
      <c r="P31" s="14">
        <v>1</v>
      </c>
      <c r="Q31" t="s">
        <v>41</v>
      </c>
      <c r="R31" s="14">
        <v>18947</v>
      </c>
      <c r="S31" s="17" t="str">
        <f t="shared" si="0"/>
        <v>high</v>
      </c>
      <c r="T31">
        <v>22822</v>
      </c>
      <c r="U31">
        <v>3</v>
      </c>
      <c r="V31" s="17" t="s">
        <v>43</v>
      </c>
      <c r="W31">
        <v>12</v>
      </c>
      <c r="X31">
        <v>3</v>
      </c>
      <c r="Y31">
        <v>4</v>
      </c>
      <c r="Z31">
        <v>0</v>
      </c>
      <c r="AA31">
        <v>22</v>
      </c>
      <c r="AB31">
        <v>2</v>
      </c>
      <c r="AC31">
        <v>2</v>
      </c>
      <c r="AD31" s="14">
        <v>2</v>
      </c>
      <c r="AE31" t="str">
        <f t="shared" si="1"/>
        <v>0-2 years</v>
      </c>
      <c r="AF31" s="14">
        <v>2</v>
      </c>
      <c r="AG31" s="14">
        <v>2</v>
      </c>
      <c r="AH31" s="14">
        <v>1</v>
      </c>
    </row>
    <row r="32" spans="1:34" x14ac:dyDescent="0.3">
      <c r="A32" s="14">
        <v>33</v>
      </c>
      <c r="B32" s="17" t="s">
        <v>43</v>
      </c>
      <c r="C32" t="s">
        <v>36</v>
      </c>
      <c r="D32">
        <v>924</v>
      </c>
      <c r="E32" s="17" t="s">
        <v>45</v>
      </c>
      <c r="F32">
        <v>2</v>
      </c>
      <c r="G32">
        <v>3</v>
      </c>
      <c r="H32" t="s">
        <v>51</v>
      </c>
      <c r="I32">
        <v>39</v>
      </c>
      <c r="J32">
        <v>3</v>
      </c>
      <c r="K32" s="17" t="s">
        <v>46</v>
      </c>
      <c r="L32">
        <v>78</v>
      </c>
      <c r="M32">
        <v>3</v>
      </c>
      <c r="N32">
        <v>1</v>
      </c>
      <c r="O32" s="17" t="s">
        <v>50</v>
      </c>
      <c r="P32" s="14">
        <v>4</v>
      </c>
      <c r="Q32" t="s">
        <v>41</v>
      </c>
      <c r="R32" s="14">
        <v>2496</v>
      </c>
      <c r="S32" s="17" t="str">
        <f t="shared" si="0"/>
        <v>low</v>
      </c>
      <c r="T32">
        <v>6670</v>
      </c>
      <c r="U32">
        <v>4</v>
      </c>
      <c r="V32" s="17" t="s">
        <v>43</v>
      </c>
      <c r="W32">
        <v>11</v>
      </c>
      <c r="X32">
        <v>3</v>
      </c>
      <c r="Y32">
        <v>4</v>
      </c>
      <c r="Z32">
        <v>0</v>
      </c>
      <c r="AA32">
        <v>7</v>
      </c>
      <c r="AB32">
        <v>3</v>
      </c>
      <c r="AC32">
        <v>3</v>
      </c>
      <c r="AD32" s="14">
        <v>1</v>
      </c>
      <c r="AE32" t="str">
        <f t="shared" si="1"/>
        <v>0-2 years</v>
      </c>
      <c r="AF32" s="14">
        <v>1</v>
      </c>
      <c r="AG32" s="14">
        <v>0</v>
      </c>
      <c r="AH32" s="14">
        <v>0</v>
      </c>
    </row>
    <row r="33" spans="1:34" x14ac:dyDescent="0.3">
      <c r="A33" s="14">
        <v>44</v>
      </c>
      <c r="B33" s="17" t="s">
        <v>43</v>
      </c>
      <c r="C33" t="s">
        <v>36</v>
      </c>
      <c r="D33">
        <v>1459</v>
      </c>
      <c r="E33" s="17" t="s">
        <v>45</v>
      </c>
      <c r="F33">
        <v>10</v>
      </c>
      <c r="G33">
        <v>4</v>
      </c>
      <c r="H33" t="s">
        <v>49</v>
      </c>
      <c r="I33">
        <v>40</v>
      </c>
      <c r="J33">
        <v>4</v>
      </c>
      <c r="K33" s="17" t="s">
        <v>46</v>
      </c>
      <c r="L33">
        <v>41</v>
      </c>
      <c r="M33">
        <v>3</v>
      </c>
      <c r="N33">
        <v>2</v>
      </c>
      <c r="O33" s="17" t="s">
        <v>54</v>
      </c>
      <c r="P33" s="14">
        <v>4</v>
      </c>
      <c r="Q33" t="s">
        <v>48</v>
      </c>
      <c r="R33" s="14">
        <v>6465</v>
      </c>
      <c r="S33" s="17" t="str">
        <f t="shared" si="0"/>
        <v>medium</v>
      </c>
      <c r="T33">
        <v>19121</v>
      </c>
      <c r="U33">
        <v>2</v>
      </c>
      <c r="V33" s="17" t="s">
        <v>35</v>
      </c>
      <c r="W33">
        <v>13</v>
      </c>
      <c r="X33">
        <v>3</v>
      </c>
      <c r="Y33">
        <v>4</v>
      </c>
      <c r="Z33">
        <v>0</v>
      </c>
      <c r="AA33">
        <v>9</v>
      </c>
      <c r="AB33">
        <v>5</v>
      </c>
      <c r="AC33">
        <v>4</v>
      </c>
      <c r="AD33" s="14">
        <v>4</v>
      </c>
      <c r="AE33" t="str">
        <f t="shared" si="1"/>
        <v>3-5 years</v>
      </c>
      <c r="AF33" s="14">
        <v>2</v>
      </c>
      <c r="AG33" s="14">
        <v>1</v>
      </c>
      <c r="AH33" s="14">
        <v>3</v>
      </c>
    </row>
    <row r="34" spans="1:34" x14ac:dyDescent="0.3">
      <c r="A34" s="14">
        <v>30</v>
      </c>
      <c r="B34" s="17" t="s">
        <v>43</v>
      </c>
      <c r="C34" t="s">
        <v>36</v>
      </c>
      <c r="D34">
        <v>125</v>
      </c>
      <c r="E34" s="17" t="s">
        <v>45</v>
      </c>
      <c r="F34">
        <v>9</v>
      </c>
      <c r="G34">
        <v>2</v>
      </c>
      <c r="H34" t="s">
        <v>51</v>
      </c>
      <c r="I34">
        <v>41</v>
      </c>
      <c r="J34">
        <v>4</v>
      </c>
      <c r="K34" s="17" t="s">
        <v>46</v>
      </c>
      <c r="L34">
        <v>83</v>
      </c>
      <c r="M34">
        <v>2</v>
      </c>
      <c r="N34">
        <v>1</v>
      </c>
      <c r="O34" s="17" t="s">
        <v>50</v>
      </c>
      <c r="P34" s="14">
        <v>3</v>
      </c>
      <c r="Q34" t="s">
        <v>41</v>
      </c>
      <c r="R34" s="14">
        <v>2206</v>
      </c>
      <c r="S34" s="17" t="str">
        <f t="shared" si="0"/>
        <v>low</v>
      </c>
      <c r="T34">
        <v>16117</v>
      </c>
      <c r="U34">
        <v>1</v>
      </c>
      <c r="V34" s="17" t="s">
        <v>43</v>
      </c>
      <c r="W34">
        <v>13</v>
      </c>
      <c r="X34">
        <v>3</v>
      </c>
      <c r="Y34">
        <v>1</v>
      </c>
      <c r="Z34">
        <v>0</v>
      </c>
      <c r="AA34">
        <v>10</v>
      </c>
      <c r="AB34">
        <v>5</v>
      </c>
      <c r="AC34">
        <v>3</v>
      </c>
      <c r="AD34" s="14">
        <v>10</v>
      </c>
      <c r="AE34" t="str">
        <f t="shared" si="1"/>
        <v>6-10 years</v>
      </c>
      <c r="AF34" s="14">
        <v>0</v>
      </c>
      <c r="AG34" s="14">
        <v>1</v>
      </c>
      <c r="AH34" s="14">
        <v>8</v>
      </c>
    </row>
    <row r="35" spans="1:34" x14ac:dyDescent="0.3">
      <c r="A35" s="14">
        <v>39</v>
      </c>
      <c r="B35" s="17" t="s">
        <v>35</v>
      </c>
      <c r="C35" t="s">
        <v>36</v>
      </c>
      <c r="D35">
        <v>895</v>
      </c>
      <c r="E35" s="17" t="s">
        <v>37</v>
      </c>
      <c r="F35">
        <v>5</v>
      </c>
      <c r="G35">
        <v>3</v>
      </c>
      <c r="H35" t="s">
        <v>60</v>
      </c>
      <c r="I35">
        <v>42</v>
      </c>
      <c r="J35">
        <v>4</v>
      </c>
      <c r="K35" s="17" t="s">
        <v>46</v>
      </c>
      <c r="L35">
        <v>56</v>
      </c>
      <c r="M35">
        <v>3</v>
      </c>
      <c r="N35">
        <v>2</v>
      </c>
      <c r="O35" s="17" t="s">
        <v>57</v>
      </c>
      <c r="P35" s="14">
        <v>4</v>
      </c>
      <c r="Q35" t="s">
        <v>48</v>
      </c>
      <c r="R35" s="14">
        <v>2086</v>
      </c>
      <c r="S35" s="17" t="str">
        <f t="shared" si="0"/>
        <v>low</v>
      </c>
      <c r="T35">
        <v>3335</v>
      </c>
      <c r="U35">
        <v>3</v>
      </c>
      <c r="V35" s="17" t="s">
        <v>43</v>
      </c>
      <c r="W35">
        <v>14</v>
      </c>
      <c r="X35">
        <v>3</v>
      </c>
      <c r="Y35">
        <v>3</v>
      </c>
      <c r="Z35">
        <v>1</v>
      </c>
      <c r="AA35">
        <v>19</v>
      </c>
      <c r="AB35">
        <v>6</v>
      </c>
      <c r="AC35">
        <v>4</v>
      </c>
      <c r="AD35" s="14">
        <v>1</v>
      </c>
      <c r="AE35" t="str">
        <f t="shared" si="1"/>
        <v>0-2 years</v>
      </c>
      <c r="AF35" s="14">
        <v>0</v>
      </c>
      <c r="AG35" s="14">
        <v>0</v>
      </c>
      <c r="AH35" s="14">
        <v>0</v>
      </c>
    </row>
    <row r="36" spans="1:34" x14ac:dyDescent="0.3">
      <c r="A36" s="14">
        <v>24</v>
      </c>
      <c r="B36" s="17" t="s">
        <v>35</v>
      </c>
      <c r="C36" t="s">
        <v>36</v>
      </c>
      <c r="D36">
        <v>813</v>
      </c>
      <c r="E36" s="17" t="s">
        <v>45</v>
      </c>
      <c r="F36">
        <v>1</v>
      </c>
      <c r="G36">
        <v>3</v>
      </c>
      <c r="H36" t="s">
        <v>51</v>
      </c>
      <c r="I36">
        <v>45</v>
      </c>
      <c r="J36">
        <v>2</v>
      </c>
      <c r="K36" s="17" t="s">
        <v>46</v>
      </c>
      <c r="L36">
        <v>61</v>
      </c>
      <c r="M36">
        <v>3</v>
      </c>
      <c r="N36">
        <v>1</v>
      </c>
      <c r="O36" s="17" t="s">
        <v>47</v>
      </c>
      <c r="P36" s="14">
        <v>4</v>
      </c>
      <c r="Q36" t="s">
        <v>48</v>
      </c>
      <c r="R36" s="14">
        <v>2293</v>
      </c>
      <c r="S36" s="17" t="str">
        <f t="shared" si="0"/>
        <v>low</v>
      </c>
      <c r="T36">
        <v>3020</v>
      </c>
      <c r="U36">
        <v>2</v>
      </c>
      <c r="V36" s="17" t="s">
        <v>35</v>
      </c>
      <c r="W36">
        <v>16</v>
      </c>
      <c r="X36">
        <v>3</v>
      </c>
      <c r="Y36">
        <v>1</v>
      </c>
      <c r="Z36">
        <v>1</v>
      </c>
      <c r="AA36">
        <v>6</v>
      </c>
      <c r="AB36">
        <v>2</v>
      </c>
      <c r="AC36">
        <v>2</v>
      </c>
      <c r="AD36" s="14">
        <v>2</v>
      </c>
      <c r="AE36" t="str">
        <f t="shared" si="1"/>
        <v>0-2 years</v>
      </c>
      <c r="AF36" s="14">
        <v>0</v>
      </c>
      <c r="AG36" s="14">
        <v>2</v>
      </c>
      <c r="AH36" s="14">
        <v>0</v>
      </c>
    </row>
    <row r="37" spans="1:34" x14ac:dyDescent="0.3">
      <c r="A37" s="14">
        <v>43</v>
      </c>
      <c r="B37" s="17" t="s">
        <v>43</v>
      </c>
      <c r="C37" t="s">
        <v>36</v>
      </c>
      <c r="D37">
        <v>1273</v>
      </c>
      <c r="E37" s="17" t="s">
        <v>45</v>
      </c>
      <c r="F37">
        <v>2</v>
      </c>
      <c r="G37">
        <v>2</v>
      </c>
      <c r="H37" t="s">
        <v>51</v>
      </c>
      <c r="I37">
        <v>46</v>
      </c>
      <c r="J37">
        <v>4</v>
      </c>
      <c r="K37" s="17" t="s">
        <v>39</v>
      </c>
      <c r="L37">
        <v>72</v>
      </c>
      <c r="M37">
        <v>4</v>
      </c>
      <c r="N37">
        <v>1</v>
      </c>
      <c r="O37" s="17" t="s">
        <v>47</v>
      </c>
      <c r="P37" s="14">
        <v>3</v>
      </c>
      <c r="Q37" t="s">
        <v>52</v>
      </c>
      <c r="R37" s="14">
        <v>2645</v>
      </c>
      <c r="S37" s="17" t="str">
        <f t="shared" si="0"/>
        <v>low</v>
      </c>
      <c r="T37">
        <v>21923</v>
      </c>
      <c r="U37">
        <v>1</v>
      </c>
      <c r="V37" s="17" t="s">
        <v>43</v>
      </c>
      <c r="W37">
        <v>12</v>
      </c>
      <c r="X37">
        <v>3</v>
      </c>
      <c r="Y37">
        <v>4</v>
      </c>
      <c r="Z37">
        <v>2</v>
      </c>
      <c r="AA37">
        <v>6</v>
      </c>
      <c r="AB37">
        <v>3</v>
      </c>
      <c r="AC37">
        <v>2</v>
      </c>
      <c r="AD37" s="14">
        <v>5</v>
      </c>
      <c r="AE37" t="str">
        <f t="shared" si="1"/>
        <v>3-5 years</v>
      </c>
      <c r="AF37" s="14">
        <v>3</v>
      </c>
      <c r="AG37" s="14">
        <v>1</v>
      </c>
      <c r="AH37" s="14">
        <v>4</v>
      </c>
    </row>
    <row r="38" spans="1:34" x14ac:dyDescent="0.3">
      <c r="A38" s="14">
        <v>50</v>
      </c>
      <c r="B38" s="17" t="s">
        <v>35</v>
      </c>
      <c r="C38" t="s">
        <v>36</v>
      </c>
      <c r="D38">
        <v>869</v>
      </c>
      <c r="E38" s="17" t="s">
        <v>37</v>
      </c>
      <c r="F38">
        <v>3</v>
      </c>
      <c r="G38">
        <v>2</v>
      </c>
      <c r="H38" t="s">
        <v>59</v>
      </c>
      <c r="I38">
        <v>47</v>
      </c>
      <c r="J38">
        <v>1</v>
      </c>
      <c r="K38" s="17" t="s">
        <v>46</v>
      </c>
      <c r="L38">
        <v>86</v>
      </c>
      <c r="M38">
        <v>2</v>
      </c>
      <c r="N38">
        <v>1</v>
      </c>
      <c r="O38" s="17" t="s">
        <v>57</v>
      </c>
      <c r="P38" s="14">
        <v>3</v>
      </c>
      <c r="Q38" t="s">
        <v>48</v>
      </c>
      <c r="R38" s="14">
        <v>2683</v>
      </c>
      <c r="S38" s="17" t="str">
        <f t="shared" si="0"/>
        <v>low</v>
      </c>
      <c r="T38">
        <v>3810</v>
      </c>
      <c r="U38">
        <v>1</v>
      </c>
      <c r="V38" s="17" t="s">
        <v>35</v>
      </c>
      <c r="W38">
        <v>14</v>
      </c>
      <c r="X38">
        <v>3</v>
      </c>
      <c r="Y38">
        <v>3</v>
      </c>
      <c r="Z38">
        <v>0</v>
      </c>
      <c r="AA38">
        <v>3</v>
      </c>
      <c r="AB38">
        <v>2</v>
      </c>
      <c r="AC38">
        <v>3</v>
      </c>
      <c r="AD38" s="14">
        <v>3</v>
      </c>
      <c r="AE38" t="str">
        <f t="shared" si="1"/>
        <v>3-5 years</v>
      </c>
      <c r="AF38" s="14">
        <v>2</v>
      </c>
      <c r="AG38" s="14">
        <v>0</v>
      </c>
      <c r="AH38" s="14">
        <v>2</v>
      </c>
    </row>
    <row r="39" spans="1:34" x14ac:dyDescent="0.3">
      <c r="A39" s="14">
        <v>35</v>
      </c>
      <c r="B39" s="17" t="s">
        <v>43</v>
      </c>
      <c r="C39" t="s">
        <v>36</v>
      </c>
      <c r="D39">
        <v>890</v>
      </c>
      <c r="E39" s="17" t="s">
        <v>37</v>
      </c>
      <c r="F39">
        <v>2</v>
      </c>
      <c r="G39">
        <v>3</v>
      </c>
      <c r="H39" t="s">
        <v>59</v>
      </c>
      <c r="I39">
        <v>49</v>
      </c>
      <c r="J39">
        <v>4</v>
      </c>
      <c r="K39" s="17" t="s">
        <v>39</v>
      </c>
      <c r="L39">
        <v>97</v>
      </c>
      <c r="M39">
        <v>3</v>
      </c>
      <c r="N39">
        <v>1</v>
      </c>
      <c r="O39" s="17" t="s">
        <v>57</v>
      </c>
      <c r="P39" s="14">
        <v>4</v>
      </c>
      <c r="Q39" t="s">
        <v>48</v>
      </c>
      <c r="R39" s="14">
        <v>2014</v>
      </c>
      <c r="S39" s="17" t="str">
        <f t="shared" si="0"/>
        <v>low</v>
      </c>
      <c r="T39">
        <v>9687</v>
      </c>
      <c r="U39">
        <v>1</v>
      </c>
      <c r="V39" s="17" t="s">
        <v>43</v>
      </c>
      <c r="W39">
        <v>13</v>
      </c>
      <c r="X39">
        <v>3</v>
      </c>
      <c r="Y39">
        <v>1</v>
      </c>
      <c r="Z39">
        <v>0</v>
      </c>
      <c r="AA39">
        <v>2</v>
      </c>
      <c r="AB39">
        <v>3</v>
      </c>
      <c r="AC39">
        <v>3</v>
      </c>
      <c r="AD39" s="14">
        <v>2</v>
      </c>
      <c r="AE39" t="str">
        <f t="shared" si="1"/>
        <v>0-2 years</v>
      </c>
      <c r="AF39" s="14">
        <v>2</v>
      </c>
      <c r="AG39" s="14">
        <v>2</v>
      </c>
      <c r="AH39" s="14">
        <v>2</v>
      </c>
    </row>
    <row r="40" spans="1:34" x14ac:dyDescent="0.3">
      <c r="A40" s="14">
        <v>36</v>
      </c>
      <c r="B40" s="17" t="s">
        <v>43</v>
      </c>
      <c r="C40" t="s">
        <v>36</v>
      </c>
      <c r="D40">
        <v>852</v>
      </c>
      <c r="E40" s="17" t="s">
        <v>45</v>
      </c>
      <c r="F40">
        <v>5</v>
      </c>
      <c r="G40">
        <v>4</v>
      </c>
      <c r="H40" t="s">
        <v>38</v>
      </c>
      <c r="I40">
        <v>51</v>
      </c>
      <c r="J40">
        <v>2</v>
      </c>
      <c r="K40" s="17" t="s">
        <v>39</v>
      </c>
      <c r="L40">
        <v>82</v>
      </c>
      <c r="M40">
        <v>2</v>
      </c>
      <c r="N40">
        <v>1</v>
      </c>
      <c r="O40" s="17" t="s">
        <v>47</v>
      </c>
      <c r="P40" s="14">
        <v>1</v>
      </c>
      <c r="Q40" t="s">
        <v>48</v>
      </c>
      <c r="R40" s="14">
        <v>3419</v>
      </c>
      <c r="S40" s="17" t="str">
        <f t="shared" si="0"/>
        <v>medium</v>
      </c>
      <c r="T40">
        <v>13072</v>
      </c>
      <c r="U40">
        <v>9</v>
      </c>
      <c r="V40" s="17" t="s">
        <v>35</v>
      </c>
      <c r="W40">
        <v>14</v>
      </c>
      <c r="X40">
        <v>3</v>
      </c>
      <c r="Y40">
        <v>4</v>
      </c>
      <c r="Z40">
        <v>1</v>
      </c>
      <c r="AA40">
        <v>6</v>
      </c>
      <c r="AB40">
        <v>3</v>
      </c>
      <c r="AC40">
        <v>4</v>
      </c>
      <c r="AD40" s="14">
        <v>1</v>
      </c>
      <c r="AE40" t="str">
        <f t="shared" si="1"/>
        <v>0-2 years</v>
      </c>
      <c r="AF40" s="14">
        <v>1</v>
      </c>
      <c r="AG40" s="14">
        <v>0</v>
      </c>
      <c r="AH40" s="14">
        <v>0</v>
      </c>
    </row>
    <row r="41" spans="1:34" x14ac:dyDescent="0.3">
      <c r="A41" s="14">
        <v>33</v>
      </c>
      <c r="B41" s="17" t="s">
        <v>43</v>
      </c>
      <c r="C41" t="s">
        <v>44</v>
      </c>
      <c r="D41">
        <v>1141</v>
      </c>
      <c r="E41" s="17" t="s">
        <v>37</v>
      </c>
      <c r="F41">
        <v>1</v>
      </c>
      <c r="G41">
        <v>3</v>
      </c>
      <c r="H41" t="s">
        <v>38</v>
      </c>
      <c r="I41">
        <v>52</v>
      </c>
      <c r="J41">
        <v>3</v>
      </c>
      <c r="K41" s="17" t="s">
        <v>39</v>
      </c>
      <c r="L41">
        <v>42</v>
      </c>
      <c r="M41">
        <v>4</v>
      </c>
      <c r="N41">
        <v>2</v>
      </c>
      <c r="O41" s="17" t="s">
        <v>40</v>
      </c>
      <c r="P41" s="14">
        <v>1</v>
      </c>
      <c r="Q41" t="s">
        <v>48</v>
      </c>
      <c r="R41" s="14">
        <v>5376</v>
      </c>
      <c r="S41" s="17" t="str">
        <f t="shared" si="0"/>
        <v>medium</v>
      </c>
      <c r="T41">
        <v>3193</v>
      </c>
      <c r="U41">
        <v>2</v>
      </c>
      <c r="V41" s="17" t="s">
        <v>43</v>
      </c>
      <c r="W41">
        <v>19</v>
      </c>
      <c r="X41">
        <v>3</v>
      </c>
      <c r="Y41">
        <v>1</v>
      </c>
      <c r="Z41">
        <v>2</v>
      </c>
      <c r="AA41">
        <v>10</v>
      </c>
      <c r="AB41">
        <v>3</v>
      </c>
      <c r="AC41">
        <v>3</v>
      </c>
      <c r="AD41" s="14">
        <v>5</v>
      </c>
      <c r="AE41" t="str">
        <f t="shared" si="1"/>
        <v>3-5 years</v>
      </c>
      <c r="AF41" s="14">
        <v>3</v>
      </c>
      <c r="AG41" s="14">
        <v>1</v>
      </c>
      <c r="AH41" s="14">
        <v>3</v>
      </c>
    </row>
    <row r="42" spans="1:34" x14ac:dyDescent="0.3">
      <c r="A42" s="14">
        <v>35</v>
      </c>
      <c r="B42" s="17" t="s">
        <v>43</v>
      </c>
      <c r="C42" t="s">
        <v>36</v>
      </c>
      <c r="D42">
        <v>464</v>
      </c>
      <c r="E42" s="17" t="s">
        <v>45</v>
      </c>
      <c r="F42">
        <v>4</v>
      </c>
      <c r="G42">
        <v>2</v>
      </c>
      <c r="H42" t="s">
        <v>49</v>
      </c>
      <c r="I42">
        <v>53</v>
      </c>
      <c r="J42">
        <v>3</v>
      </c>
      <c r="K42" s="17" t="s">
        <v>46</v>
      </c>
      <c r="L42">
        <v>75</v>
      </c>
      <c r="M42">
        <v>3</v>
      </c>
      <c r="N42">
        <v>1</v>
      </c>
      <c r="O42" s="17" t="s">
        <v>50</v>
      </c>
      <c r="P42" s="14">
        <v>4</v>
      </c>
      <c r="Q42" t="s">
        <v>52</v>
      </c>
      <c r="R42" s="14">
        <v>1951</v>
      </c>
      <c r="S42" s="17" t="str">
        <f t="shared" si="0"/>
        <v>low</v>
      </c>
      <c r="T42">
        <v>10910</v>
      </c>
      <c r="U42">
        <v>1</v>
      </c>
      <c r="V42" s="17" t="s">
        <v>43</v>
      </c>
      <c r="W42">
        <v>12</v>
      </c>
      <c r="X42">
        <v>3</v>
      </c>
      <c r="Y42">
        <v>3</v>
      </c>
      <c r="Z42">
        <v>1</v>
      </c>
      <c r="AA42">
        <v>1</v>
      </c>
      <c r="AB42">
        <v>3</v>
      </c>
      <c r="AC42">
        <v>3</v>
      </c>
      <c r="AD42" s="14">
        <v>1</v>
      </c>
      <c r="AE42" t="str">
        <f t="shared" si="1"/>
        <v>0-2 years</v>
      </c>
      <c r="AF42" s="14">
        <v>0</v>
      </c>
      <c r="AG42" s="14">
        <v>0</v>
      </c>
      <c r="AH42" s="14">
        <v>0</v>
      </c>
    </row>
    <row r="43" spans="1:34" x14ac:dyDescent="0.3">
      <c r="A43" s="14">
        <v>27</v>
      </c>
      <c r="B43" s="17" t="s">
        <v>43</v>
      </c>
      <c r="C43" t="s">
        <v>36</v>
      </c>
      <c r="D43">
        <v>1240</v>
      </c>
      <c r="E43" s="17" t="s">
        <v>45</v>
      </c>
      <c r="F43">
        <v>2</v>
      </c>
      <c r="G43">
        <v>4</v>
      </c>
      <c r="H43" t="s">
        <v>38</v>
      </c>
      <c r="I43">
        <v>54</v>
      </c>
      <c r="J43">
        <v>4</v>
      </c>
      <c r="K43" s="17" t="s">
        <v>39</v>
      </c>
      <c r="L43">
        <v>33</v>
      </c>
      <c r="M43">
        <v>3</v>
      </c>
      <c r="N43">
        <v>1</v>
      </c>
      <c r="O43" s="17" t="s">
        <v>50</v>
      </c>
      <c r="P43" s="14">
        <v>1</v>
      </c>
      <c r="Q43" t="s">
        <v>52</v>
      </c>
      <c r="R43" s="14">
        <v>2341</v>
      </c>
      <c r="S43" s="17" t="str">
        <f t="shared" si="0"/>
        <v>low</v>
      </c>
      <c r="T43">
        <v>19715</v>
      </c>
      <c r="U43">
        <v>1</v>
      </c>
      <c r="V43" s="17" t="s">
        <v>43</v>
      </c>
      <c r="W43">
        <v>13</v>
      </c>
      <c r="X43">
        <v>3</v>
      </c>
      <c r="Y43">
        <v>4</v>
      </c>
      <c r="Z43">
        <v>1</v>
      </c>
      <c r="AA43">
        <v>1</v>
      </c>
      <c r="AB43">
        <v>6</v>
      </c>
      <c r="AC43">
        <v>3</v>
      </c>
      <c r="AD43" s="14">
        <v>1</v>
      </c>
      <c r="AE43" t="str">
        <f t="shared" si="1"/>
        <v>0-2 years</v>
      </c>
      <c r="AF43" s="14">
        <v>0</v>
      </c>
      <c r="AG43" s="14">
        <v>0</v>
      </c>
      <c r="AH43" s="14">
        <v>0</v>
      </c>
    </row>
    <row r="44" spans="1:34" x14ac:dyDescent="0.3">
      <c r="A44" s="14">
        <v>26</v>
      </c>
      <c r="B44" s="17" t="s">
        <v>35</v>
      </c>
      <c r="C44" t="s">
        <v>36</v>
      </c>
      <c r="D44">
        <v>1357</v>
      </c>
      <c r="E44" s="17" t="s">
        <v>45</v>
      </c>
      <c r="F44">
        <v>25</v>
      </c>
      <c r="G44">
        <v>3</v>
      </c>
      <c r="H44" t="s">
        <v>38</v>
      </c>
      <c r="I44">
        <v>55</v>
      </c>
      <c r="J44">
        <v>1</v>
      </c>
      <c r="K44" s="17" t="s">
        <v>46</v>
      </c>
      <c r="L44">
        <v>48</v>
      </c>
      <c r="M44">
        <v>1</v>
      </c>
      <c r="N44">
        <v>1</v>
      </c>
      <c r="O44" s="17" t="s">
        <v>50</v>
      </c>
      <c r="P44" s="14">
        <v>3</v>
      </c>
      <c r="Q44" t="s">
        <v>41</v>
      </c>
      <c r="R44" s="14">
        <v>2293</v>
      </c>
      <c r="S44" s="17" t="str">
        <f t="shared" si="0"/>
        <v>low</v>
      </c>
      <c r="T44">
        <v>10558</v>
      </c>
      <c r="U44">
        <v>1</v>
      </c>
      <c r="V44" s="17" t="s">
        <v>43</v>
      </c>
      <c r="W44">
        <v>12</v>
      </c>
      <c r="X44">
        <v>3</v>
      </c>
      <c r="Y44">
        <v>3</v>
      </c>
      <c r="Z44">
        <v>0</v>
      </c>
      <c r="AA44">
        <v>1</v>
      </c>
      <c r="AB44">
        <v>2</v>
      </c>
      <c r="AC44">
        <v>2</v>
      </c>
      <c r="AD44" s="14">
        <v>1</v>
      </c>
      <c r="AE44" t="str">
        <f t="shared" si="1"/>
        <v>0-2 years</v>
      </c>
      <c r="AF44" s="14">
        <v>0</v>
      </c>
      <c r="AG44" s="14">
        <v>0</v>
      </c>
      <c r="AH44" s="14">
        <v>1</v>
      </c>
    </row>
    <row r="45" spans="1:34" x14ac:dyDescent="0.3">
      <c r="A45" s="14">
        <v>27</v>
      </c>
      <c r="B45" s="17" t="s">
        <v>43</v>
      </c>
      <c r="C45" t="s">
        <v>44</v>
      </c>
      <c r="D45">
        <v>994</v>
      </c>
      <c r="E45" s="17" t="s">
        <v>37</v>
      </c>
      <c r="F45">
        <v>8</v>
      </c>
      <c r="G45">
        <v>3</v>
      </c>
      <c r="H45" t="s">
        <v>38</v>
      </c>
      <c r="I45">
        <v>56</v>
      </c>
      <c r="J45">
        <v>4</v>
      </c>
      <c r="K45" s="17" t="s">
        <v>46</v>
      </c>
      <c r="L45">
        <v>37</v>
      </c>
      <c r="M45">
        <v>3</v>
      </c>
      <c r="N45">
        <v>3</v>
      </c>
      <c r="O45" s="17" t="s">
        <v>40</v>
      </c>
      <c r="P45" s="14">
        <v>3</v>
      </c>
      <c r="Q45" t="s">
        <v>41</v>
      </c>
      <c r="R45" s="14">
        <v>8726</v>
      </c>
      <c r="S45" s="17" t="str">
        <f t="shared" si="0"/>
        <v>high</v>
      </c>
      <c r="T45">
        <v>2975</v>
      </c>
      <c r="U45">
        <v>1</v>
      </c>
      <c r="V45" s="17" t="s">
        <v>43</v>
      </c>
      <c r="W45">
        <v>15</v>
      </c>
      <c r="X45">
        <v>3</v>
      </c>
      <c r="Y45">
        <v>4</v>
      </c>
      <c r="Z45">
        <v>0</v>
      </c>
      <c r="AA45">
        <v>9</v>
      </c>
      <c r="AB45">
        <v>0</v>
      </c>
      <c r="AC45">
        <v>3</v>
      </c>
      <c r="AD45" s="14">
        <v>9</v>
      </c>
      <c r="AE45" t="str">
        <f t="shared" si="1"/>
        <v>6-10 years</v>
      </c>
      <c r="AF45" s="14">
        <v>8</v>
      </c>
      <c r="AG45" s="14">
        <v>1</v>
      </c>
      <c r="AH45" s="14">
        <v>7</v>
      </c>
    </row>
    <row r="46" spans="1:34" x14ac:dyDescent="0.3">
      <c r="A46" s="14">
        <v>30</v>
      </c>
      <c r="B46" s="17" t="s">
        <v>43</v>
      </c>
      <c r="C46" t="s">
        <v>44</v>
      </c>
      <c r="D46">
        <v>721</v>
      </c>
      <c r="E46" s="17" t="s">
        <v>45</v>
      </c>
      <c r="F46">
        <v>1</v>
      </c>
      <c r="G46">
        <v>2</v>
      </c>
      <c r="H46" t="s">
        <v>51</v>
      </c>
      <c r="I46">
        <v>57</v>
      </c>
      <c r="J46">
        <v>3</v>
      </c>
      <c r="K46" s="17" t="s">
        <v>39</v>
      </c>
      <c r="L46">
        <v>58</v>
      </c>
      <c r="M46">
        <v>3</v>
      </c>
      <c r="N46">
        <v>2</v>
      </c>
      <c r="O46" s="17" t="s">
        <v>50</v>
      </c>
      <c r="P46" s="14">
        <v>4</v>
      </c>
      <c r="Q46" t="s">
        <v>41</v>
      </c>
      <c r="R46" s="14">
        <v>4011</v>
      </c>
      <c r="S46" s="17" t="str">
        <f t="shared" si="0"/>
        <v>medium</v>
      </c>
      <c r="T46">
        <v>10781</v>
      </c>
      <c r="U46">
        <v>1</v>
      </c>
      <c r="V46" s="17" t="s">
        <v>43</v>
      </c>
      <c r="W46">
        <v>23</v>
      </c>
      <c r="X46">
        <v>4</v>
      </c>
      <c r="Y46">
        <v>4</v>
      </c>
      <c r="Z46">
        <v>0</v>
      </c>
      <c r="AA46">
        <v>12</v>
      </c>
      <c r="AB46">
        <v>2</v>
      </c>
      <c r="AC46">
        <v>3</v>
      </c>
      <c r="AD46" s="14">
        <v>12</v>
      </c>
      <c r="AE46" t="str">
        <f t="shared" si="1"/>
        <v>10+ years</v>
      </c>
      <c r="AF46" s="14">
        <v>8</v>
      </c>
      <c r="AG46" s="14">
        <v>3</v>
      </c>
      <c r="AH46" s="14">
        <v>7</v>
      </c>
    </row>
    <row r="47" spans="1:34" x14ac:dyDescent="0.3">
      <c r="A47" s="14">
        <v>41</v>
      </c>
      <c r="B47" s="17" t="s">
        <v>35</v>
      </c>
      <c r="C47" t="s">
        <v>36</v>
      </c>
      <c r="D47">
        <v>1360</v>
      </c>
      <c r="E47" s="17" t="s">
        <v>45</v>
      </c>
      <c r="F47">
        <v>12</v>
      </c>
      <c r="G47">
        <v>3</v>
      </c>
      <c r="H47" t="s">
        <v>60</v>
      </c>
      <c r="I47">
        <v>58</v>
      </c>
      <c r="J47">
        <v>2</v>
      </c>
      <c r="K47" s="17" t="s">
        <v>39</v>
      </c>
      <c r="L47">
        <v>49</v>
      </c>
      <c r="M47">
        <v>3</v>
      </c>
      <c r="N47">
        <v>5</v>
      </c>
      <c r="O47" s="17" t="s">
        <v>58</v>
      </c>
      <c r="P47" s="14">
        <v>3</v>
      </c>
      <c r="Q47" t="s">
        <v>48</v>
      </c>
      <c r="R47" s="14">
        <v>19545</v>
      </c>
      <c r="S47" s="17" t="str">
        <f t="shared" si="0"/>
        <v>high</v>
      </c>
      <c r="T47">
        <v>16280</v>
      </c>
      <c r="U47">
        <v>1</v>
      </c>
      <c r="V47" s="17" t="s">
        <v>43</v>
      </c>
      <c r="W47">
        <v>12</v>
      </c>
      <c r="X47">
        <v>3</v>
      </c>
      <c r="Y47">
        <v>4</v>
      </c>
      <c r="Z47">
        <v>0</v>
      </c>
      <c r="AA47">
        <v>23</v>
      </c>
      <c r="AB47">
        <v>0</v>
      </c>
      <c r="AC47">
        <v>3</v>
      </c>
      <c r="AD47" s="14">
        <v>22</v>
      </c>
      <c r="AE47" t="str">
        <f t="shared" si="1"/>
        <v>10+ years</v>
      </c>
      <c r="AF47" s="14">
        <v>15</v>
      </c>
      <c r="AG47" s="14">
        <v>15</v>
      </c>
      <c r="AH47" s="14">
        <v>8</v>
      </c>
    </row>
    <row r="48" spans="1:34" x14ac:dyDescent="0.3">
      <c r="A48" s="14">
        <v>34</v>
      </c>
      <c r="B48" s="17" t="s">
        <v>43</v>
      </c>
      <c r="C48" t="s">
        <v>55</v>
      </c>
      <c r="D48">
        <v>1065</v>
      </c>
      <c r="E48" s="17" t="s">
        <v>37</v>
      </c>
      <c r="F48">
        <v>23</v>
      </c>
      <c r="G48">
        <v>4</v>
      </c>
      <c r="H48" t="s">
        <v>59</v>
      </c>
      <c r="I48">
        <v>60</v>
      </c>
      <c r="J48">
        <v>2</v>
      </c>
      <c r="K48" s="17" t="s">
        <v>46</v>
      </c>
      <c r="L48">
        <v>72</v>
      </c>
      <c r="M48">
        <v>3</v>
      </c>
      <c r="N48">
        <v>2</v>
      </c>
      <c r="O48" s="17" t="s">
        <v>40</v>
      </c>
      <c r="P48" s="14">
        <v>3</v>
      </c>
      <c r="Q48" t="s">
        <v>41</v>
      </c>
      <c r="R48" s="14">
        <v>4568</v>
      </c>
      <c r="S48" s="17" t="str">
        <f t="shared" si="0"/>
        <v>medium</v>
      </c>
      <c r="T48">
        <v>10034</v>
      </c>
      <c r="U48">
        <v>0</v>
      </c>
      <c r="V48" s="17" t="s">
        <v>43</v>
      </c>
      <c r="W48">
        <v>20</v>
      </c>
      <c r="X48">
        <v>4</v>
      </c>
      <c r="Y48">
        <v>3</v>
      </c>
      <c r="Z48">
        <v>0</v>
      </c>
      <c r="AA48">
        <v>10</v>
      </c>
      <c r="AB48">
        <v>2</v>
      </c>
      <c r="AC48">
        <v>3</v>
      </c>
      <c r="AD48" s="14">
        <v>9</v>
      </c>
      <c r="AE48" t="str">
        <f t="shared" si="1"/>
        <v>6-10 years</v>
      </c>
      <c r="AF48" s="14">
        <v>5</v>
      </c>
      <c r="AG48" s="14">
        <v>8</v>
      </c>
      <c r="AH48" s="14">
        <v>7</v>
      </c>
    </row>
    <row r="49" spans="1:34" x14ac:dyDescent="0.3">
      <c r="A49" s="14">
        <v>37</v>
      </c>
      <c r="B49" s="17" t="s">
        <v>43</v>
      </c>
      <c r="C49" t="s">
        <v>36</v>
      </c>
      <c r="D49">
        <v>408</v>
      </c>
      <c r="E49" s="17" t="s">
        <v>45</v>
      </c>
      <c r="F49">
        <v>19</v>
      </c>
      <c r="G49">
        <v>2</v>
      </c>
      <c r="H49" t="s">
        <v>38</v>
      </c>
      <c r="I49">
        <v>61</v>
      </c>
      <c r="J49">
        <v>2</v>
      </c>
      <c r="K49" s="17" t="s">
        <v>46</v>
      </c>
      <c r="L49">
        <v>73</v>
      </c>
      <c r="M49">
        <v>3</v>
      </c>
      <c r="N49">
        <v>1</v>
      </c>
      <c r="O49" s="17" t="s">
        <v>47</v>
      </c>
      <c r="P49" s="14">
        <v>2</v>
      </c>
      <c r="Q49" t="s">
        <v>48</v>
      </c>
      <c r="R49" s="14">
        <v>3022</v>
      </c>
      <c r="S49" s="17" t="str">
        <f t="shared" si="0"/>
        <v>medium</v>
      </c>
      <c r="T49">
        <v>10227</v>
      </c>
      <c r="U49">
        <v>4</v>
      </c>
      <c r="V49" s="17" t="s">
        <v>43</v>
      </c>
      <c r="W49">
        <v>21</v>
      </c>
      <c r="X49">
        <v>4</v>
      </c>
      <c r="Y49">
        <v>1</v>
      </c>
      <c r="Z49">
        <v>0</v>
      </c>
      <c r="AA49">
        <v>8</v>
      </c>
      <c r="AB49">
        <v>1</v>
      </c>
      <c r="AC49">
        <v>3</v>
      </c>
      <c r="AD49" s="14">
        <v>1</v>
      </c>
      <c r="AE49" t="str">
        <f t="shared" si="1"/>
        <v>0-2 years</v>
      </c>
      <c r="AF49" s="14">
        <v>0</v>
      </c>
      <c r="AG49" s="14">
        <v>0</v>
      </c>
      <c r="AH49" s="14">
        <v>0</v>
      </c>
    </row>
    <row r="50" spans="1:34" x14ac:dyDescent="0.3">
      <c r="A50" s="14">
        <v>46</v>
      </c>
      <c r="B50" s="17" t="s">
        <v>43</v>
      </c>
      <c r="C50" t="s">
        <v>44</v>
      </c>
      <c r="D50">
        <v>1211</v>
      </c>
      <c r="E50" s="17" t="s">
        <v>37</v>
      </c>
      <c r="F50">
        <v>5</v>
      </c>
      <c r="G50">
        <v>4</v>
      </c>
      <c r="H50" t="s">
        <v>59</v>
      </c>
      <c r="I50">
        <v>62</v>
      </c>
      <c r="J50">
        <v>1</v>
      </c>
      <c r="K50" s="17" t="s">
        <v>46</v>
      </c>
      <c r="L50">
        <v>98</v>
      </c>
      <c r="M50">
        <v>3</v>
      </c>
      <c r="N50">
        <v>2</v>
      </c>
      <c r="O50" s="17" t="s">
        <v>40</v>
      </c>
      <c r="P50" s="14">
        <v>4</v>
      </c>
      <c r="Q50" t="s">
        <v>41</v>
      </c>
      <c r="R50" s="14">
        <v>5772</v>
      </c>
      <c r="S50" s="17" t="str">
        <f t="shared" si="0"/>
        <v>medium</v>
      </c>
      <c r="T50">
        <v>20445</v>
      </c>
      <c r="U50">
        <v>4</v>
      </c>
      <c r="V50" s="17" t="s">
        <v>35</v>
      </c>
      <c r="W50">
        <v>21</v>
      </c>
      <c r="X50">
        <v>4</v>
      </c>
      <c r="Y50">
        <v>3</v>
      </c>
      <c r="Z50">
        <v>0</v>
      </c>
      <c r="AA50">
        <v>14</v>
      </c>
      <c r="AB50">
        <v>4</v>
      </c>
      <c r="AC50">
        <v>3</v>
      </c>
      <c r="AD50" s="14">
        <v>9</v>
      </c>
      <c r="AE50" t="str">
        <f t="shared" si="1"/>
        <v>6-10 years</v>
      </c>
      <c r="AF50" s="14">
        <v>6</v>
      </c>
      <c r="AG50" s="14">
        <v>0</v>
      </c>
      <c r="AH50" s="14">
        <v>8</v>
      </c>
    </row>
    <row r="51" spans="1:34" x14ac:dyDescent="0.3">
      <c r="A51" s="14">
        <v>35</v>
      </c>
      <c r="B51" s="17" t="s">
        <v>43</v>
      </c>
      <c r="C51" t="s">
        <v>36</v>
      </c>
      <c r="D51">
        <v>1229</v>
      </c>
      <c r="E51" s="17" t="s">
        <v>45</v>
      </c>
      <c r="F51">
        <v>8</v>
      </c>
      <c r="G51">
        <v>1</v>
      </c>
      <c r="H51" t="s">
        <v>38</v>
      </c>
      <c r="I51">
        <v>63</v>
      </c>
      <c r="J51">
        <v>4</v>
      </c>
      <c r="K51" s="17" t="s">
        <v>46</v>
      </c>
      <c r="L51">
        <v>36</v>
      </c>
      <c r="M51">
        <v>4</v>
      </c>
      <c r="N51">
        <v>1</v>
      </c>
      <c r="O51" s="17" t="s">
        <v>50</v>
      </c>
      <c r="P51" s="14">
        <v>4</v>
      </c>
      <c r="Q51" t="s">
        <v>48</v>
      </c>
      <c r="R51" s="14">
        <v>2269</v>
      </c>
      <c r="S51" s="17" t="str">
        <f t="shared" si="0"/>
        <v>low</v>
      </c>
      <c r="T51">
        <v>4892</v>
      </c>
      <c r="U51">
        <v>1</v>
      </c>
      <c r="V51" s="17" t="s">
        <v>43</v>
      </c>
      <c r="W51">
        <v>19</v>
      </c>
      <c r="X51">
        <v>3</v>
      </c>
      <c r="Y51">
        <v>4</v>
      </c>
      <c r="Z51">
        <v>0</v>
      </c>
      <c r="AA51">
        <v>1</v>
      </c>
      <c r="AB51">
        <v>2</v>
      </c>
      <c r="AC51">
        <v>3</v>
      </c>
      <c r="AD51" s="14">
        <v>1</v>
      </c>
      <c r="AE51" t="str">
        <f t="shared" si="1"/>
        <v>0-2 years</v>
      </c>
      <c r="AF51" s="14">
        <v>0</v>
      </c>
      <c r="AG51" s="14">
        <v>0</v>
      </c>
      <c r="AH51" s="14">
        <v>1</v>
      </c>
    </row>
    <row r="52" spans="1:34" x14ac:dyDescent="0.3">
      <c r="A52" s="14">
        <v>48</v>
      </c>
      <c r="B52" s="17" t="s">
        <v>35</v>
      </c>
      <c r="C52" t="s">
        <v>36</v>
      </c>
      <c r="D52">
        <v>626</v>
      </c>
      <c r="E52" s="17" t="s">
        <v>45</v>
      </c>
      <c r="F52">
        <v>1</v>
      </c>
      <c r="G52">
        <v>2</v>
      </c>
      <c r="H52" t="s">
        <v>38</v>
      </c>
      <c r="I52">
        <v>64</v>
      </c>
      <c r="J52">
        <v>1</v>
      </c>
      <c r="K52" s="17" t="s">
        <v>46</v>
      </c>
      <c r="L52">
        <v>98</v>
      </c>
      <c r="M52">
        <v>2</v>
      </c>
      <c r="N52">
        <v>3</v>
      </c>
      <c r="O52" s="17" t="s">
        <v>50</v>
      </c>
      <c r="P52" s="14">
        <v>3</v>
      </c>
      <c r="Q52" t="s">
        <v>41</v>
      </c>
      <c r="R52" s="14">
        <v>5381</v>
      </c>
      <c r="S52" s="17" t="str">
        <f t="shared" si="0"/>
        <v>medium</v>
      </c>
      <c r="T52">
        <v>19294</v>
      </c>
      <c r="U52">
        <v>9</v>
      </c>
      <c r="V52" s="17" t="s">
        <v>35</v>
      </c>
      <c r="W52">
        <v>13</v>
      </c>
      <c r="X52">
        <v>3</v>
      </c>
      <c r="Y52">
        <v>4</v>
      </c>
      <c r="Z52">
        <v>0</v>
      </c>
      <c r="AA52">
        <v>23</v>
      </c>
      <c r="AB52">
        <v>2</v>
      </c>
      <c r="AC52">
        <v>3</v>
      </c>
      <c r="AD52" s="14">
        <v>1</v>
      </c>
      <c r="AE52" t="str">
        <f t="shared" si="1"/>
        <v>0-2 years</v>
      </c>
      <c r="AF52" s="14">
        <v>0</v>
      </c>
      <c r="AG52" s="14">
        <v>0</v>
      </c>
      <c r="AH52" s="14">
        <v>0</v>
      </c>
    </row>
    <row r="53" spans="1:34" x14ac:dyDescent="0.3">
      <c r="A53" s="14">
        <v>28</v>
      </c>
      <c r="B53" s="17" t="s">
        <v>35</v>
      </c>
      <c r="C53" t="s">
        <v>36</v>
      </c>
      <c r="D53">
        <v>1434</v>
      </c>
      <c r="E53" s="17" t="s">
        <v>45</v>
      </c>
      <c r="F53">
        <v>5</v>
      </c>
      <c r="G53">
        <v>4</v>
      </c>
      <c r="H53" t="s">
        <v>60</v>
      </c>
      <c r="I53">
        <v>65</v>
      </c>
      <c r="J53">
        <v>3</v>
      </c>
      <c r="K53" s="17" t="s">
        <v>46</v>
      </c>
      <c r="L53">
        <v>50</v>
      </c>
      <c r="M53">
        <v>3</v>
      </c>
      <c r="N53">
        <v>1</v>
      </c>
      <c r="O53" s="17" t="s">
        <v>50</v>
      </c>
      <c r="P53" s="14">
        <v>3</v>
      </c>
      <c r="Q53" t="s">
        <v>41</v>
      </c>
      <c r="R53" s="14">
        <v>3441</v>
      </c>
      <c r="S53" s="17" t="str">
        <f t="shared" si="0"/>
        <v>medium</v>
      </c>
      <c r="T53">
        <v>11179</v>
      </c>
      <c r="U53">
        <v>1</v>
      </c>
      <c r="V53" s="17" t="s">
        <v>35</v>
      </c>
      <c r="W53">
        <v>13</v>
      </c>
      <c r="X53">
        <v>3</v>
      </c>
      <c r="Y53">
        <v>3</v>
      </c>
      <c r="Z53">
        <v>0</v>
      </c>
      <c r="AA53">
        <v>2</v>
      </c>
      <c r="AB53">
        <v>3</v>
      </c>
      <c r="AC53">
        <v>2</v>
      </c>
      <c r="AD53" s="14">
        <v>2</v>
      </c>
      <c r="AE53" t="str">
        <f t="shared" si="1"/>
        <v>0-2 years</v>
      </c>
      <c r="AF53" s="14">
        <v>2</v>
      </c>
      <c r="AG53" s="14">
        <v>2</v>
      </c>
      <c r="AH53" s="14">
        <v>2</v>
      </c>
    </row>
    <row r="54" spans="1:34" x14ac:dyDescent="0.3">
      <c r="A54" s="14">
        <v>44</v>
      </c>
      <c r="B54" s="17" t="s">
        <v>43</v>
      </c>
      <c r="C54" t="s">
        <v>36</v>
      </c>
      <c r="D54">
        <v>1488</v>
      </c>
      <c r="E54" s="17" t="s">
        <v>37</v>
      </c>
      <c r="F54">
        <v>1</v>
      </c>
      <c r="G54">
        <v>5</v>
      </c>
      <c r="H54" t="s">
        <v>59</v>
      </c>
      <c r="I54">
        <v>68</v>
      </c>
      <c r="J54">
        <v>2</v>
      </c>
      <c r="K54" s="17" t="s">
        <v>39</v>
      </c>
      <c r="L54">
        <v>75</v>
      </c>
      <c r="M54">
        <v>3</v>
      </c>
      <c r="N54">
        <v>2</v>
      </c>
      <c r="O54" s="17" t="s">
        <v>40</v>
      </c>
      <c r="P54" s="14">
        <v>1</v>
      </c>
      <c r="Q54" t="s">
        <v>52</v>
      </c>
      <c r="R54" s="14">
        <v>5454</v>
      </c>
      <c r="S54" s="17" t="str">
        <f t="shared" si="0"/>
        <v>medium</v>
      </c>
      <c r="T54">
        <v>4009</v>
      </c>
      <c r="U54">
        <v>5</v>
      </c>
      <c r="V54" s="17" t="s">
        <v>35</v>
      </c>
      <c r="W54">
        <v>21</v>
      </c>
      <c r="X54">
        <v>4</v>
      </c>
      <c r="Y54">
        <v>3</v>
      </c>
      <c r="Z54">
        <v>1</v>
      </c>
      <c r="AA54">
        <v>9</v>
      </c>
      <c r="AB54">
        <v>2</v>
      </c>
      <c r="AC54">
        <v>2</v>
      </c>
      <c r="AD54" s="14">
        <v>4</v>
      </c>
      <c r="AE54" t="str">
        <f t="shared" si="1"/>
        <v>3-5 years</v>
      </c>
      <c r="AF54" s="14">
        <v>3</v>
      </c>
      <c r="AG54" s="14">
        <v>1</v>
      </c>
      <c r="AH54" s="14">
        <v>3</v>
      </c>
    </row>
    <row r="55" spans="1:34" x14ac:dyDescent="0.3">
      <c r="A55" s="14">
        <v>35</v>
      </c>
      <c r="B55" s="17" t="s">
        <v>43</v>
      </c>
      <c r="C55" t="s">
        <v>55</v>
      </c>
      <c r="D55">
        <v>1097</v>
      </c>
      <c r="E55" s="17" t="s">
        <v>45</v>
      </c>
      <c r="F55">
        <v>11</v>
      </c>
      <c r="G55">
        <v>2</v>
      </c>
      <c r="H55" t="s">
        <v>51</v>
      </c>
      <c r="I55">
        <v>70</v>
      </c>
      <c r="J55">
        <v>3</v>
      </c>
      <c r="K55" s="17" t="s">
        <v>46</v>
      </c>
      <c r="L55">
        <v>79</v>
      </c>
      <c r="M55">
        <v>2</v>
      </c>
      <c r="N55">
        <v>3</v>
      </c>
      <c r="O55" s="17" t="s">
        <v>54</v>
      </c>
      <c r="P55" s="14">
        <v>1</v>
      </c>
      <c r="Q55" t="s">
        <v>48</v>
      </c>
      <c r="R55" s="14">
        <v>9884</v>
      </c>
      <c r="S55" s="17" t="str">
        <f t="shared" si="0"/>
        <v>high</v>
      </c>
      <c r="T55">
        <v>8302</v>
      </c>
      <c r="U55">
        <v>2</v>
      </c>
      <c r="V55" s="17" t="s">
        <v>35</v>
      </c>
      <c r="W55">
        <v>13</v>
      </c>
      <c r="X55">
        <v>3</v>
      </c>
      <c r="Y55">
        <v>3</v>
      </c>
      <c r="Z55">
        <v>1</v>
      </c>
      <c r="AA55">
        <v>10</v>
      </c>
      <c r="AB55">
        <v>3</v>
      </c>
      <c r="AC55">
        <v>3</v>
      </c>
      <c r="AD55" s="14">
        <v>4</v>
      </c>
      <c r="AE55" t="str">
        <f t="shared" si="1"/>
        <v>3-5 years</v>
      </c>
      <c r="AF55" s="14">
        <v>0</v>
      </c>
      <c r="AG55" s="14">
        <v>2</v>
      </c>
      <c r="AH55" s="14">
        <v>3</v>
      </c>
    </row>
    <row r="56" spans="1:34" x14ac:dyDescent="0.3">
      <c r="A56" s="14">
        <v>26</v>
      </c>
      <c r="B56" s="17" t="s">
        <v>43</v>
      </c>
      <c r="C56" t="s">
        <v>36</v>
      </c>
      <c r="D56">
        <v>1443</v>
      </c>
      <c r="E56" s="17" t="s">
        <v>37</v>
      </c>
      <c r="F56">
        <v>23</v>
      </c>
      <c r="G56">
        <v>3</v>
      </c>
      <c r="H56" t="s">
        <v>59</v>
      </c>
      <c r="I56">
        <v>72</v>
      </c>
      <c r="J56">
        <v>3</v>
      </c>
      <c r="K56" s="17" t="s">
        <v>39</v>
      </c>
      <c r="L56">
        <v>47</v>
      </c>
      <c r="M56">
        <v>2</v>
      </c>
      <c r="N56">
        <v>2</v>
      </c>
      <c r="O56" s="17" t="s">
        <v>40</v>
      </c>
      <c r="P56" s="14">
        <v>4</v>
      </c>
      <c r="Q56" t="s">
        <v>48</v>
      </c>
      <c r="R56" s="14">
        <v>4157</v>
      </c>
      <c r="S56" s="17" t="str">
        <f t="shared" si="0"/>
        <v>medium</v>
      </c>
      <c r="T56">
        <v>21436</v>
      </c>
      <c r="U56">
        <v>7</v>
      </c>
      <c r="V56" s="17" t="s">
        <v>35</v>
      </c>
      <c r="W56">
        <v>19</v>
      </c>
      <c r="X56">
        <v>3</v>
      </c>
      <c r="Y56">
        <v>3</v>
      </c>
      <c r="Z56">
        <v>1</v>
      </c>
      <c r="AA56">
        <v>5</v>
      </c>
      <c r="AB56">
        <v>2</v>
      </c>
      <c r="AC56">
        <v>2</v>
      </c>
      <c r="AD56" s="14">
        <v>2</v>
      </c>
      <c r="AE56" t="str">
        <f t="shared" si="1"/>
        <v>0-2 years</v>
      </c>
      <c r="AF56" s="14">
        <v>2</v>
      </c>
      <c r="AG56" s="14">
        <v>0</v>
      </c>
      <c r="AH56" s="14">
        <v>0</v>
      </c>
    </row>
    <row r="57" spans="1:34" x14ac:dyDescent="0.3">
      <c r="A57" s="14">
        <v>33</v>
      </c>
      <c r="B57" s="17" t="s">
        <v>43</v>
      </c>
      <c r="C57" t="s">
        <v>44</v>
      </c>
      <c r="D57">
        <v>515</v>
      </c>
      <c r="E57" s="17" t="s">
        <v>45</v>
      </c>
      <c r="F57">
        <v>1</v>
      </c>
      <c r="G57">
        <v>2</v>
      </c>
      <c r="H57" t="s">
        <v>38</v>
      </c>
      <c r="I57">
        <v>73</v>
      </c>
      <c r="J57">
        <v>1</v>
      </c>
      <c r="K57" s="17" t="s">
        <v>39</v>
      </c>
      <c r="L57">
        <v>98</v>
      </c>
      <c r="M57">
        <v>3</v>
      </c>
      <c r="N57">
        <v>3</v>
      </c>
      <c r="O57" s="17" t="s">
        <v>58</v>
      </c>
      <c r="P57" s="14">
        <v>4</v>
      </c>
      <c r="Q57" t="s">
        <v>41</v>
      </c>
      <c r="R57" s="14">
        <v>13458</v>
      </c>
      <c r="S57" s="17" t="str">
        <f t="shared" si="0"/>
        <v>high</v>
      </c>
      <c r="T57">
        <v>15146</v>
      </c>
      <c r="U57">
        <v>1</v>
      </c>
      <c r="V57" s="17" t="s">
        <v>35</v>
      </c>
      <c r="W57">
        <v>12</v>
      </c>
      <c r="X57">
        <v>3</v>
      </c>
      <c r="Y57">
        <v>3</v>
      </c>
      <c r="Z57">
        <v>0</v>
      </c>
      <c r="AA57">
        <v>15</v>
      </c>
      <c r="AB57">
        <v>1</v>
      </c>
      <c r="AC57">
        <v>3</v>
      </c>
      <c r="AD57" s="14">
        <v>15</v>
      </c>
      <c r="AE57" t="str">
        <f t="shared" si="1"/>
        <v>10+ years</v>
      </c>
      <c r="AF57" s="14">
        <v>14</v>
      </c>
      <c r="AG57" s="14">
        <v>8</v>
      </c>
      <c r="AH57" s="14">
        <v>12</v>
      </c>
    </row>
    <row r="58" spans="1:34" x14ac:dyDescent="0.3">
      <c r="A58" s="14">
        <v>35</v>
      </c>
      <c r="B58" s="17" t="s">
        <v>43</v>
      </c>
      <c r="C58" t="s">
        <v>44</v>
      </c>
      <c r="D58">
        <v>853</v>
      </c>
      <c r="E58" s="17" t="s">
        <v>37</v>
      </c>
      <c r="F58">
        <v>18</v>
      </c>
      <c r="G58">
        <v>5</v>
      </c>
      <c r="H58" t="s">
        <v>38</v>
      </c>
      <c r="I58">
        <v>74</v>
      </c>
      <c r="J58">
        <v>2</v>
      </c>
      <c r="K58" s="17" t="s">
        <v>46</v>
      </c>
      <c r="L58">
        <v>71</v>
      </c>
      <c r="M58">
        <v>3</v>
      </c>
      <c r="N58">
        <v>3</v>
      </c>
      <c r="O58" s="17" t="s">
        <v>40</v>
      </c>
      <c r="P58" s="14">
        <v>1</v>
      </c>
      <c r="Q58" t="s">
        <v>48</v>
      </c>
      <c r="R58" s="14">
        <v>9069</v>
      </c>
      <c r="S58" s="17" t="str">
        <f t="shared" si="0"/>
        <v>high</v>
      </c>
      <c r="T58">
        <v>11031</v>
      </c>
      <c r="U58">
        <v>1</v>
      </c>
      <c r="V58" s="17" t="s">
        <v>43</v>
      </c>
      <c r="W58">
        <v>22</v>
      </c>
      <c r="X58">
        <v>4</v>
      </c>
      <c r="Y58">
        <v>4</v>
      </c>
      <c r="Z58">
        <v>1</v>
      </c>
      <c r="AA58">
        <v>9</v>
      </c>
      <c r="AB58">
        <v>3</v>
      </c>
      <c r="AC58">
        <v>2</v>
      </c>
      <c r="AD58" s="14">
        <v>9</v>
      </c>
      <c r="AE58" t="str">
        <f t="shared" si="1"/>
        <v>6-10 years</v>
      </c>
      <c r="AF58" s="14">
        <v>8</v>
      </c>
      <c r="AG58" s="14">
        <v>1</v>
      </c>
      <c r="AH58" s="14">
        <v>8</v>
      </c>
    </row>
    <row r="59" spans="1:34" x14ac:dyDescent="0.3">
      <c r="A59" s="14">
        <v>35</v>
      </c>
      <c r="B59" s="17" t="s">
        <v>43</v>
      </c>
      <c r="C59" t="s">
        <v>36</v>
      </c>
      <c r="D59">
        <v>1142</v>
      </c>
      <c r="E59" s="17" t="s">
        <v>45</v>
      </c>
      <c r="F59">
        <v>23</v>
      </c>
      <c r="G59">
        <v>4</v>
      </c>
      <c r="H59" t="s">
        <v>51</v>
      </c>
      <c r="I59">
        <v>75</v>
      </c>
      <c r="J59">
        <v>3</v>
      </c>
      <c r="K59" s="17" t="s">
        <v>39</v>
      </c>
      <c r="L59">
        <v>30</v>
      </c>
      <c r="M59">
        <v>3</v>
      </c>
      <c r="N59">
        <v>1</v>
      </c>
      <c r="O59" s="17" t="s">
        <v>50</v>
      </c>
      <c r="P59" s="14">
        <v>1</v>
      </c>
      <c r="Q59" t="s">
        <v>48</v>
      </c>
      <c r="R59" s="14">
        <v>4014</v>
      </c>
      <c r="S59" s="17" t="str">
        <f t="shared" si="0"/>
        <v>medium</v>
      </c>
      <c r="T59">
        <v>16002</v>
      </c>
      <c r="U59">
        <v>3</v>
      </c>
      <c r="V59" s="17" t="s">
        <v>35</v>
      </c>
      <c r="W59">
        <v>15</v>
      </c>
      <c r="X59">
        <v>3</v>
      </c>
      <c r="Y59">
        <v>3</v>
      </c>
      <c r="Z59">
        <v>1</v>
      </c>
      <c r="AA59">
        <v>4</v>
      </c>
      <c r="AB59">
        <v>3</v>
      </c>
      <c r="AC59">
        <v>3</v>
      </c>
      <c r="AD59" s="14">
        <v>2</v>
      </c>
      <c r="AE59" t="str">
        <f t="shared" si="1"/>
        <v>0-2 years</v>
      </c>
      <c r="AF59" s="14">
        <v>2</v>
      </c>
      <c r="AG59" s="14">
        <v>2</v>
      </c>
      <c r="AH59" s="14">
        <v>2</v>
      </c>
    </row>
    <row r="60" spans="1:34" x14ac:dyDescent="0.3">
      <c r="A60" s="14">
        <v>31</v>
      </c>
      <c r="B60" s="17" t="s">
        <v>43</v>
      </c>
      <c r="C60" t="s">
        <v>36</v>
      </c>
      <c r="D60">
        <v>655</v>
      </c>
      <c r="E60" s="17" t="s">
        <v>45</v>
      </c>
      <c r="F60">
        <v>7</v>
      </c>
      <c r="G60">
        <v>4</v>
      </c>
      <c r="H60" t="s">
        <v>38</v>
      </c>
      <c r="I60">
        <v>76</v>
      </c>
      <c r="J60">
        <v>4</v>
      </c>
      <c r="K60" s="17" t="s">
        <v>46</v>
      </c>
      <c r="L60">
        <v>48</v>
      </c>
      <c r="M60">
        <v>3</v>
      </c>
      <c r="N60">
        <v>2</v>
      </c>
      <c r="O60" s="17" t="s">
        <v>50</v>
      </c>
      <c r="P60" s="14">
        <v>4</v>
      </c>
      <c r="Q60" t="s">
        <v>52</v>
      </c>
      <c r="R60" s="14">
        <v>5915</v>
      </c>
      <c r="S60" s="17" t="str">
        <f t="shared" si="0"/>
        <v>medium</v>
      </c>
      <c r="T60">
        <v>9528</v>
      </c>
      <c r="U60">
        <v>3</v>
      </c>
      <c r="V60" s="17" t="s">
        <v>43</v>
      </c>
      <c r="W60">
        <v>22</v>
      </c>
      <c r="X60">
        <v>4</v>
      </c>
      <c r="Y60">
        <v>4</v>
      </c>
      <c r="Z60">
        <v>1</v>
      </c>
      <c r="AA60">
        <v>10</v>
      </c>
      <c r="AB60">
        <v>3</v>
      </c>
      <c r="AC60">
        <v>2</v>
      </c>
      <c r="AD60" s="14">
        <v>7</v>
      </c>
      <c r="AE60" t="str">
        <f t="shared" si="1"/>
        <v>6-10 years</v>
      </c>
      <c r="AF60" s="14">
        <v>7</v>
      </c>
      <c r="AG60" s="14">
        <v>1</v>
      </c>
      <c r="AH60" s="14">
        <v>7</v>
      </c>
    </row>
    <row r="61" spans="1:34" x14ac:dyDescent="0.3">
      <c r="A61" s="14">
        <v>37</v>
      </c>
      <c r="B61" s="17" t="s">
        <v>43</v>
      </c>
      <c r="C61" t="s">
        <v>36</v>
      </c>
      <c r="D61">
        <v>1115</v>
      </c>
      <c r="E61" s="17" t="s">
        <v>45</v>
      </c>
      <c r="F61">
        <v>1</v>
      </c>
      <c r="G61">
        <v>4</v>
      </c>
      <c r="H61" t="s">
        <v>38</v>
      </c>
      <c r="I61">
        <v>77</v>
      </c>
      <c r="J61">
        <v>1</v>
      </c>
      <c r="K61" s="17" t="s">
        <v>46</v>
      </c>
      <c r="L61">
        <v>51</v>
      </c>
      <c r="M61">
        <v>2</v>
      </c>
      <c r="N61">
        <v>2</v>
      </c>
      <c r="O61" s="17" t="s">
        <v>53</v>
      </c>
      <c r="P61" s="14">
        <v>3</v>
      </c>
      <c r="Q61" t="s">
        <v>52</v>
      </c>
      <c r="R61" s="14">
        <v>5993</v>
      </c>
      <c r="S61" s="17" t="str">
        <f t="shared" si="0"/>
        <v>medium</v>
      </c>
      <c r="T61">
        <v>2689</v>
      </c>
      <c r="U61">
        <v>1</v>
      </c>
      <c r="V61" s="17" t="s">
        <v>43</v>
      </c>
      <c r="W61">
        <v>18</v>
      </c>
      <c r="X61">
        <v>3</v>
      </c>
      <c r="Y61">
        <v>3</v>
      </c>
      <c r="Z61">
        <v>1</v>
      </c>
      <c r="AA61">
        <v>7</v>
      </c>
      <c r="AB61">
        <v>2</v>
      </c>
      <c r="AC61">
        <v>4</v>
      </c>
      <c r="AD61" s="14">
        <v>7</v>
      </c>
      <c r="AE61" t="str">
        <f t="shared" si="1"/>
        <v>6-10 years</v>
      </c>
      <c r="AF61" s="14">
        <v>5</v>
      </c>
      <c r="AG61" s="14">
        <v>0</v>
      </c>
      <c r="AH61" s="14">
        <v>7</v>
      </c>
    </row>
    <row r="62" spans="1:34" x14ac:dyDescent="0.3">
      <c r="A62" s="14">
        <v>32</v>
      </c>
      <c r="B62" s="17" t="s">
        <v>43</v>
      </c>
      <c r="C62" t="s">
        <v>36</v>
      </c>
      <c r="D62">
        <v>427</v>
      </c>
      <c r="E62" s="17" t="s">
        <v>45</v>
      </c>
      <c r="F62">
        <v>1</v>
      </c>
      <c r="G62">
        <v>3</v>
      </c>
      <c r="H62" t="s">
        <v>51</v>
      </c>
      <c r="I62">
        <v>78</v>
      </c>
      <c r="J62">
        <v>1</v>
      </c>
      <c r="K62" s="17" t="s">
        <v>46</v>
      </c>
      <c r="L62">
        <v>33</v>
      </c>
      <c r="M62">
        <v>3</v>
      </c>
      <c r="N62">
        <v>2</v>
      </c>
      <c r="O62" s="17" t="s">
        <v>53</v>
      </c>
      <c r="P62" s="14">
        <v>4</v>
      </c>
      <c r="Q62" t="s">
        <v>48</v>
      </c>
      <c r="R62" s="14">
        <v>6162</v>
      </c>
      <c r="S62" s="17" t="str">
        <f t="shared" si="0"/>
        <v>medium</v>
      </c>
      <c r="T62">
        <v>10877</v>
      </c>
      <c r="U62">
        <v>1</v>
      </c>
      <c r="V62" s="17" t="s">
        <v>35</v>
      </c>
      <c r="W62">
        <v>22</v>
      </c>
      <c r="X62">
        <v>4</v>
      </c>
      <c r="Y62">
        <v>2</v>
      </c>
      <c r="Z62">
        <v>1</v>
      </c>
      <c r="AA62">
        <v>9</v>
      </c>
      <c r="AB62">
        <v>3</v>
      </c>
      <c r="AC62">
        <v>3</v>
      </c>
      <c r="AD62" s="14">
        <v>9</v>
      </c>
      <c r="AE62" t="str">
        <f t="shared" si="1"/>
        <v>6-10 years</v>
      </c>
      <c r="AF62" s="14">
        <v>8</v>
      </c>
      <c r="AG62" s="14">
        <v>7</v>
      </c>
      <c r="AH62" s="14">
        <v>8</v>
      </c>
    </row>
    <row r="63" spans="1:34" x14ac:dyDescent="0.3">
      <c r="A63" s="14">
        <v>38</v>
      </c>
      <c r="B63" s="17" t="s">
        <v>43</v>
      </c>
      <c r="C63" t="s">
        <v>44</v>
      </c>
      <c r="D63">
        <v>653</v>
      </c>
      <c r="E63" s="17" t="s">
        <v>45</v>
      </c>
      <c r="F63">
        <v>29</v>
      </c>
      <c r="G63">
        <v>5</v>
      </c>
      <c r="H63" t="s">
        <v>38</v>
      </c>
      <c r="I63">
        <v>79</v>
      </c>
      <c r="J63">
        <v>4</v>
      </c>
      <c r="K63" s="17" t="s">
        <v>39</v>
      </c>
      <c r="L63">
        <v>50</v>
      </c>
      <c r="M63">
        <v>3</v>
      </c>
      <c r="N63">
        <v>2</v>
      </c>
      <c r="O63" s="17" t="s">
        <v>50</v>
      </c>
      <c r="P63" s="14">
        <v>4</v>
      </c>
      <c r="Q63" t="s">
        <v>41</v>
      </c>
      <c r="R63" s="14">
        <v>2406</v>
      </c>
      <c r="S63" s="17" t="str">
        <f t="shared" si="0"/>
        <v>low</v>
      </c>
      <c r="T63">
        <v>5456</v>
      </c>
      <c r="U63">
        <v>1</v>
      </c>
      <c r="V63" s="17" t="s">
        <v>43</v>
      </c>
      <c r="W63">
        <v>11</v>
      </c>
      <c r="X63">
        <v>3</v>
      </c>
      <c r="Y63">
        <v>4</v>
      </c>
      <c r="Z63">
        <v>0</v>
      </c>
      <c r="AA63">
        <v>10</v>
      </c>
      <c r="AB63">
        <v>2</v>
      </c>
      <c r="AC63">
        <v>3</v>
      </c>
      <c r="AD63" s="14">
        <v>10</v>
      </c>
      <c r="AE63" t="str">
        <f t="shared" si="1"/>
        <v>6-10 years</v>
      </c>
      <c r="AF63" s="14">
        <v>3</v>
      </c>
      <c r="AG63" s="14">
        <v>9</v>
      </c>
      <c r="AH63" s="14">
        <v>9</v>
      </c>
    </row>
    <row r="64" spans="1:34" x14ac:dyDescent="0.3">
      <c r="A64" s="14">
        <v>50</v>
      </c>
      <c r="B64" s="17" t="s">
        <v>43</v>
      </c>
      <c r="C64" t="s">
        <v>36</v>
      </c>
      <c r="D64">
        <v>989</v>
      </c>
      <c r="E64" s="17" t="s">
        <v>45</v>
      </c>
      <c r="F64">
        <v>7</v>
      </c>
      <c r="G64">
        <v>2</v>
      </c>
      <c r="H64" t="s">
        <v>51</v>
      </c>
      <c r="I64">
        <v>80</v>
      </c>
      <c r="J64">
        <v>2</v>
      </c>
      <c r="K64" s="17" t="s">
        <v>39</v>
      </c>
      <c r="L64">
        <v>43</v>
      </c>
      <c r="M64">
        <v>2</v>
      </c>
      <c r="N64">
        <v>5</v>
      </c>
      <c r="O64" s="17" t="s">
        <v>58</v>
      </c>
      <c r="P64" s="14">
        <v>3</v>
      </c>
      <c r="Q64" t="s">
        <v>52</v>
      </c>
      <c r="R64" s="14">
        <v>18740</v>
      </c>
      <c r="S64" s="17" t="str">
        <f t="shared" si="0"/>
        <v>high</v>
      </c>
      <c r="T64">
        <v>16701</v>
      </c>
      <c r="U64">
        <v>5</v>
      </c>
      <c r="V64" s="17" t="s">
        <v>35</v>
      </c>
      <c r="W64">
        <v>12</v>
      </c>
      <c r="X64">
        <v>3</v>
      </c>
      <c r="Y64">
        <v>4</v>
      </c>
      <c r="Z64">
        <v>1</v>
      </c>
      <c r="AA64">
        <v>29</v>
      </c>
      <c r="AB64">
        <v>2</v>
      </c>
      <c r="AC64">
        <v>2</v>
      </c>
      <c r="AD64" s="14">
        <v>27</v>
      </c>
      <c r="AE64" t="str">
        <f t="shared" si="1"/>
        <v>10+ years</v>
      </c>
      <c r="AF64" s="14">
        <v>3</v>
      </c>
      <c r="AG64" s="14">
        <v>13</v>
      </c>
      <c r="AH64" s="14">
        <v>8</v>
      </c>
    </row>
    <row r="65" spans="1:34" x14ac:dyDescent="0.3">
      <c r="A65" s="14">
        <v>59</v>
      </c>
      <c r="B65" s="17" t="s">
        <v>43</v>
      </c>
      <c r="C65" t="s">
        <v>36</v>
      </c>
      <c r="D65">
        <v>1435</v>
      </c>
      <c r="E65" s="17" t="s">
        <v>37</v>
      </c>
      <c r="F65">
        <v>25</v>
      </c>
      <c r="G65">
        <v>3</v>
      </c>
      <c r="H65" t="s">
        <v>38</v>
      </c>
      <c r="I65">
        <v>81</v>
      </c>
      <c r="J65">
        <v>1</v>
      </c>
      <c r="K65" s="17" t="s">
        <v>39</v>
      </c>
      <c r="L65">
        <v>99</v>
      </c>
      <c r="M65">
        <v>3</v>
      </c>
      <c r="N65">
        <v>3</v>
      </c>
      <c r="O65" s="17" t="s">
        <v>40</v>
      </c>
      <c r="P65" s="14">
        <v>1</v>
      </c>
      <c r="Q65" t="s">
        <v>41</v>
      </c>
      <c r="R65" s="14">
        <v>7637</v>
      </c>
      <c r="S65" s="17" t="str">
        <f t="shared" si="0"/>
        <v>high</v>
      </c>
      <c r="T65">
        <v>2354</v>
      </c>
      <c r="U65">
        <v>7</v>
      </c>
      <c r="V65" s="17" t="s">
        <v>43</v>
      </c>
      <c r="W65">
        <v>11</v>
      </c>
      <c r="X65">
        <v>3</v>
      </c>
      <c r="Y65">
        <v>4</v>
      </c>
      <c r="Z65">
        <v>0</v>
      </c>
      <c r="AA65">
        <v>28</v>
      </c>
      <c r="AB65">
        <v>3</v>
      </c>
      <c r="AC65">
        <v>2</v>
      </c>
      <c r="AD65" s="14">
        <v>21</v>
      </c>
      <c r="AE65" t="str">
        <f t="shared" si="1"/>
        <v>10+ years</v>
      </c>
      <c r="AF65" s="14">
        <v>16</v>
      </c>
      <c r="AG65" s="14">
        <v>7</v>
      </c>
      <c r="AH65" s="14">
        <v>9</v>
      </c>
    </row>
    <row r="66" spans="1:34" x14ac:dyDescent="0.3">
      <c r="A66" s="14">
        <v>36</v>
      </c>
      <c r="B66" s="17" t="s">
        <v>43</v>
      </c>
      <c r="C66" t="s">
        <v>36</v>
      </c>
      <c r="D66">
        <v>1223</v>
      </c>
      <c r="E66" s="17" t="s">
        <v>45</v>
      </c>
      <c r="F66">
        <v>8</v>
      </c>
      <c r="G66">
        <v>3</v>
      </c>
      <c r="H66" t="s">
        <v>60</v>
      </c>
      <c r="I66">
        <v>83</v>
      </c>
      <c r="J66">
        <v>3</v>
      </c>
      <c r="K66" s="17" t="s">
        <v>39</v>
      </c>
      <c r="L66">
        <v>59</v>
      </c>
      <c r="M66">
        <v>3</v>
      </c>
      <c r="N66">
        <v>3</v>
      </c>
      <c r="O66" s="17" t="s">
        <v>54</v>
      </c>
      <c r="P66" s="14">
        <v>3</v>
      </c>
      <c r="Q66" t="s">
        <v>52</v>
      </c>
      <c r="R66" s="14">
        <v>10096</v>
      </c>
      <c r="S66" s="17" t="str">
        <f t="shared" ref="S66:S129" si="2">IF(R66&lt;=3000, "low",IF(R66&lt;=7000,"medium","high"))</f>
        <v>high</v>
      </c>
      <c r="T66">
        <v>8202</v>
      </c>
      <c r="U66">
        <v>1</v>
      </c>
      <c r="V66" s="17" t="s">
        <v>43</v>
      </c>
      <c r="W66">
        <v>13</v>
      </c>
      <c r="X66">
        <v>3</v>
      </c>
      <c r="Y66">
        <v>2</v>
      </c>
      <c r="Z66">
        <v>3</v>
      </c>
      <c r="AA66">
        <v>17</v>
      </c>
      <c r="AB66">
        <v>2</v>
      </c>
      <c r="AC66">
        <v>3</v>
      </c>
      <c r="AD66" s="14">
        <v>17</v>
      </c>
      <c r="AE66" t="str">
        <f t="shared" ref="AE66:AE129" si="3">IF(AD66&lt;=2,"0-2 years", IF(AD66&lt;=5,"3-5 years", IF(AD66&lt;=10,"6-10 years","10+ years")))</f>
        <v>10+ years</v>
      </c>
      <c r="AF66" s="14">
        <v>14</v>
      </c>
      <c r="AG66" s="14">
        <v>12</v>
      </c>
      <c r="AH66" s="14">
        <v>8</v>
      </c>
    </row>
    <row r="67" spans="1:34" x14ac:dyDescent="0.3">
      <c r="A67" s="14">
        <v>55</v>
      </c>
      <c r="B67" s="17" t="s">
        <v>43</v>
      </c>
      <c r="C67" t="s">
        <v>36</v>
      </c>
      <c r="D67">
        <v>836</v>
      </c>
      <c r="E67" s="17" t="s">
        <v>45</v>
      </c>
      <c r="F67">
        <v>8</v>
      </c>
      <c r="G67">
        <v>3</v>
      </c>
      <c r="H67" t="s">
        <v>51</v>
      </c>
      <c r="I67">
        <v>84</v>
      </c>
      <c r="J67">
        <v>4</v>
      </c>
      <c r="K67" s="17" t="s">
        <v>39</v>
      </c>
      <c r="L67">
        <v>33</v>
      </c>
      <c r="M67">
        <v>3</v>
      </c>
      <c r="N67">
        <v>4</v>
      </c>
      <c r="O67" s="17" t="s">
        <v>56</v>
      </c>
      <c r="P67" s="14">
        <v>3</v>
      </c>
      <c r="Q67" t="s">
        <v>52</v>
      </c>
      <c r="R67" s="14">
        <v>14756</v>
      </c>
      <c r="S67" s="17" t="str">
        <f t="shared" si="2"/>
        <v>high</v>
      </c>
      <c r="T67">
        <v>19730</v>
      </c>
      <c r="U67">
        <v>2</v>
      </c>
      <c r="V67" s="17" t="s">
        <v>35</v>
      </c>
      <c r="W67">
        <v>14</v>
      </c>
      <c r="X67">
        <v>3</v>
      </c>
      <c r="Y67">
        <v>3</v>
      </c>
      <c r="Z67">
        <v>3</v>
      </c>
      <c r="AA67">
        <v>21</v>
      </c>
      <c r="AB67">
        <v>2</v>
      </c>
      <c r="AC67">
        <v>3</v>
      </c>
      <c r="AD67" s="14">
        <v>5</v>
      </c>
      <c r="AE67" t="str">
        <f t="shared" si="3"/>
        <v>3-5 years</v>
      </c>
      <c r="AF67" s="14">
        <v>0</v>
      </c>
      <c r="AG67" s="14">
        <v>0</v>
      </c>
      <c r="AH67" s="14">
        <v>2</v>
      </c>
    </row>
    <row r="68" spans="1:34" x14ac:dyDescent="0.3">
      <c r="A68" s="14">
        <v>36</v>
      </c>
      <c r="B68" s="17" t="s">
        <v>43</v>
      </c>
      <c r="C68" t="s">
        <v>44</v>
      </c>
      <c r="D68">
        <v>1195</v>
      </c>
      <c r="E68" s="17" t="s">
        <v>45</v>
      </c>
      <c r="F68">
        <v>11</v>
      </c>
      <c r="G68">
        <v>3</v>
      </c>
      <c r="H68" t="s">
        <v>38</v>
      </c>
      <c r="I68">
        <v>85</v>
      </c>
      <c r="J68">
        <v>2</v>
      </c>
      <c r="K68" s="17" t="s">
        <v>46</v>
      </c>
      <c r="L68">
        <v>95</v>
      </c>
      <c r="M68">
        <v>2</v>
      </c>
      <c r="N68">
        <v>2</v>
      </c>
      <c r="O68" s="17" t="s">
        <v>53</v>
      </c>
      <c r="P68" s="14">
        <v>2</v>
      </c>
      <c r="Q68" t="s">
        <v>41</v>
      </c>
      <c r="R68" s="14">
        <v>6499</v>
      </c>
      <c r="S68" s="17" t="str">
        <f t="shared" si="2"/>
        <v>medium</v>
      </c>
      <c r="T68">
        <v>22656</v>
      </c>
      <c r="U68">
        <v>1</v>
      </c>
      <c r="V68" s="17" t="s">
        <v>43</v>
      </c>
      <c r="W68">
        <v>13</v>
      </c>
      <c r="X68">
        <v>3</v>
      </c>
      <c r="Y68">
        <v>3</v>
      </c>
      <c r="Z68">
        <v>0</v>
      </c>
      <c r="AA68">
        <v>6</v>
      </c>
      <c r="AB68">
        <v>3</v>
      </c>
      <c r="AC68">
        <v>3</v>
      </c>
      <c r="AD68" s="14">
        <v>6</v>
      </c>
      <c r="AE68" t="str">
        <f t="shared" si="3"/>
        <v>6-10 years</v>
      </c>
      <c r="AF68" s="14">
        <v>5</v>
      </c>
      <c r="AG68" s="14">
        <v>0</v>
      </c>
      <c r="AH68" s="14">
        <v>3</v>
      </c>
    </row>
    <row r="69" spans="1:34" x14ac:dyDescent="0.3">
      <c r="A69" s="14">
        <v>45</v>
      </c>
      <c r="B69" s="17" t="s">
        <v>43</v>
      </c>
      <c r="C69" t="s">
        <v>36</v>
      </c>
      <c r="D69">
        <v>1339</v>
      </c>
      <c r="E69" s="17" t="s">
        <v>45</v>
      </c>
      <c r="F69">
        <v>7</v>
      </c>
      <c r="G69">
        <v>3</v>
      </c>
      <c r="H69" t="s">
        <v>38</v>
      </c>
      <c r="I69">
        <v>86</v>
      </c>
      <c r="J69">
        <v>2</v>
      </c>
      <c r="K69" s="17" t="s">
        <v>46</v>
      </c>
      <c r="L69">
        <v>59</v>
      </c>
      <c r="M69">
        <v>3</v>
      </c>
      <c r="N69">
        <v>3</v>
      </c>
      <c r="O69" s="17" t="s">
        <v>47</v>
      </c>
      <c r="P69" s="14">
        <v>1</v>
      </c>
      <c r="Q69" t="s">
        <v>52</v>
      </c>
      <c r="R69" s="14">
        <v>9724</v>
      </c>
      <c r="S69" s="17" t="str">
        <f t="shared" si="2"/>
        <v>high</v>
      </c>
      <c r="T69">
        <v>18787</v>
      </c>
      <c r="U69">
        <v>2</v>
      </c>
      <c r="V69" s="17" t="s">
        <v>43</v>
      </c>
      <c r="W69">
        <v>17</v>
      </c>
      <c r="X69">
        <v>3</v>
      </c>
      <c r="Y69">
        <v>3</v>
      </c>
      <c r="Z69">
        <v>1</v>
      </c>
      <c r="AA69">
        <v>25</v>
      </c>
      <c r="AB69">
        <v>2</v>
      </c>
      <c r="AC69">
        <v>3</v>
      </c>
      <c r="AD69" s="14">
        <v>1</v>
      </c>
      <c r="AE69" t="str">
        <f t="shared" si="3"/>
        <v>0-2 years</v>
      </c>
      <c r="AF69" s="14">
        <v>0</v>
      </c>
      <c r="AG69" s="14">
        <v>0</v>
      </c>
      <c r="AH69" s="14">
        <v>0</v>
      </c>
    </row>
    <row r="70" spans="1:34" x14ac:dyDescent="0.3">
      <c r="A70" s="14">
        <v>35</v>
      </c>
      <c r="B70" s="17" t="s">
        <v>43</v>
      </c>
      <c r="C70" t="s">
        <v>44</v>
      </c>
      <c r="D70">
        <v>664</v>
      </c>
      <c r="E70" s="17" t="s">
        <v>45</v>
      </c>
      <c r="F70">
        <v>1</v>
      </c>
      <c r="G70">
        <v>3</v>
      </c>
      <c r="H70" t="s">
        <v>51</v>
      </c>
      <c r="I70">
        <v>88</v>
      </c>
      <c r="J70">
        <v>2</v>
      </c>
      <c r="K70" s="17" t="s">
        <v>46</v>
      </c>
      <c r="L70">
        <v>79</v>
      </c>
      <c r="M70">
        <v>3</v>
      </c>
      <c r="N70">
        <v>1</v>
      </c>
      <c r="O70" s="17" t="s">
        <v>47</v>
      </c>
      <c r="P70" s="14">
        <v>1</v>
      </c>
      <c r="Q70" t="s">
        <v>48</v>
      </c>
      <c r="R70" s="14">
        <v>2194</v>
      </c>
      <c r="S70" s="17" t="str">
        <f t="shared" si="2"/>
        <v>low</v>
      </c>
      <c r="T70">
        <v>5868</v>
      </c>
      <c r="U70">
        <v>4</v>
      </c>
      <c r="V70" s="17" t="s">
        <v>43</v>
      </c>
      <c r="W70">
        <v>13</v>
      </c>
      <c r="X70">
        <v>3</v>
      </c>
      <c r="Y70">
        <v>4</v>
      </c>
      <c r="Z70">
        <v>1</v>
      </c>
      <c r="AA70">
        <v>5</v>
      </c>
      <c r="AB70">
        <v>2</v>
      </c>
      <c r="AC70">
        <v>2</v>
      </c>
      <c r="AD70" s="14">
        <v>3</v>
      </c>
      <c r="AE70" t="str">
        <f t="shared" si="3"/>
        <v>3-5 years</v>
      </c>
      <c r="AF70" s="14">
        <v>2</v>
      </c>
      <c r="AG70" s="14">
        <v>1</v>
      </c>
      <c r="AH70" s="14">
        <v>2</v>
      </c>
    </row>
    <row r="71" spans="1:34" x14ac:dyDescent="0.3">
      <c r="A71" s="14">
        <v>36</v>
      </c>
      <c r="B71" s="17" t="s">
        <v>35</v>
      </c>
      <c r="C71" t="s">
        <v>36</v>
      </c>
      <c r="D71">
        <v>318</v>
      </c>
      <c r="E71" s="17" t="s">
        <v>45</v>
      </c>
      <c r="F71">
        <v>9</v>
      </c>
      <c r="G71">
        <v>3</v>
      </c>
      <c r="H71" t="s">
        <v>51</v>
      </c>
      <c r="I71">
        <v>90</v>
      </c>
      <c r="J71">
        <v>4</v>
      </c>
      <c r="K71" s="17" t="s">
        <v>46</v>
      </c>
      <c r="L71">
        <v>79</v>
      </c>
      <c r="M71">
        <v>2</v>
      </c>
      <c r="N71">
        <v>1</v>
      </c>
      <c r="O71" s="17" t="s">
        <v>47</v>
      </c>
      <c r="P71" s="14">
        <v>3</v>
      </c>
      <c r="Q71" t="s">
        <v>48</v>
      </c>
      <c r="R71" s="14">
        <v>3388</v>
      </c>
      <c r="S71" s="17" t="str">
        <f t="shared" si="2"/>
        <v>medium</v>
      </c>
      <c r="T71">
        <v>21777</v>
      </c>
      <c r="U71">
        <v>0</v>
      </c>
      <c r="V71" s="17" t="s">
        <v>35</v>
      </c>
      <c r="W71">
        <v>17</v>
      </c>
      <c r="X71">
        <v>3</v>
      </c>
      <c r="Y71">
        <v>1</v>
      </c>
      <c r="Z71">
        <v>1</v>
      </c>
      <c r="AA71">
        <v>2</v>
      </c>
      <c r="AB71">
        <v>0</v>
      </c>
      <c r="AC71">
        <v>2</v>
      </c>
      <c r="AD71" s="14">
        <v>1</v>
      </c>
      <c r="AE71" t="str">
        <f t="shared" si="3"/>
        <v>0-2 years</v>
      </c>
      <c r="AF71" s="14">
        <v>0</v>
      </c>
      <c r="AG71" s="14">
        <v>0</v>
      </c>
      <c r="AH71" s="14">
        <v>0</v>
      </c>
    </row>
    <row r="72" spans="1:34" x14ac:dyDescent="0.3">
      <c r="A72" s="14">
        <v>59</v>
      </c>
      <c r="B72" s="17" t="s">
        <v>43</v>
      </c>
      <c r="C72" t="s">
        <v>44</v>
      </c>
      <c r="D72">
        <v>1225</v>
      </c>
      <c r="E72" s="17" t="s">
        <v>37</v>
      </c>
      <c r="F72">
        <v>1</v>
      </c>
      <c r="G72">
        <v>1</v>
      </c>
      <c r="H72" t="s">
        <v>38</v>
      </c>
      <c r="I72">
        <v>91</v>
      </c>
      <c r="J72">
        <v>1</v>
      </c>
      <c r="K72" s="17" t="s">
        <v>39</v>
      </c>
      <c r="L72">
        <v>57</v>
      </c>
      <c r="M72">
        <v>2</v>
      </c>
      <c r="N72">
        <v>2</v>
      </c>
      <c r="O72" s="17" t="s">
        <v>40</v>
      </c>
      <c r="P72" s="14">
        <v>3</v>
      </c>
      <c r="Q72" t="s">
        <v>41</v>
      </c>
      <c r="R72" s="14">
        <v>5473</v>
      </c>
      <c r="S72" s="17" t="str">
        <f t="shared" si="2"/>
        <v>medium</v>
      </c>
      <c r="T72">
        <v>24668</v>
      </c>
      <c r="U72">
        <v>7</v>
      </c>
      <c r="V72" s="17" t="s">
        <v>43</v>
      </c>
      <c r="W72">
        <v>11</v>
      </c>
      <c r="X72">
        <v>3</v>
      </c>
      <c r="Y72">
        <v>4</v>
      </c>
      <c r="Z72">
        <v>0</v>
      </c>
      <c r="AA72">
        <v>20</v>
      </c>
      <c r="AB72">
        <v>2</v>
      </c>
      <c r="AC72">
        <v>2</v>
      </c>
      <c r="AD72" s="14">
        <v>4</v>
      </c>
      <c r="AE72" t="str">
        <f t="shared" si="3"/>
        <v>3-5 years</v>
      </c>
      <c r="AF72" s="14">
        <v>3</v>
      </c>
      <c r="AG72" s="14">
        <v>1</v>
      </c>
      <c r="AH72" s="14">
        <v>3</v>
      </c>
    </row>
    <row r="73" spans="1:34" x14ac:dyDescent="0.3">
      <c r="A73" s="14">
        <v>29</v>
      </c>
      <c r="B73" s="17" t="s">
        <v>43</v>
      </c>
      <c r="C73" t="s">
        <v>36</v>
      </c>
      <c r="D73">
        <v>1328</v>
      </c>
      <c r="E73" s="17" t="s">
        <v>45</v>
      </c>
      <c r="F73">
        <v>2</v>
      </c>
      <c r="G73">
        <v>3</v>
      </c>
      <c r="H73" t="s">
        <v>38</v>
      </c>
      <c r="I73">
        <v>94</v>
      </c>
      <c r="J73">
        <v>3</v>
      </c>
      <c r="K73" s="17" t="s">
        <v>46</v>
      </c>
      <c r="L73">
        <v>76</v>
      </c>
      <c r="M73">
        <v>3</v>
      </c>
      <c r="N73">
        <v>1</v>
      </c>
      <c r="O73" s="17" t="s">
        <v>47</v>
      </c>
      <c r="P73" s="14">
        <v>2</v>
      </c>
      <c r="Q73" t="s">
        <v>48</v>
      </c>
      <c r="R73" s="14">
        <v>2703</v>
      </c>
      <c r="S73" s="17" t="str">
        <f t="shared" si="2"/>
        <v>low</v>
      </c>
      <c r="T73">
        <v>4956</v>
      </c>
      <c r="U73">
        <v>0</v>
      </c>
      <c r="V73" s="17" t="s">
        <v>43</v>
      </c>
      <c r="W73">
        <v>23</v>
      </c>
      <c r="X73">
        <v>4</v>
      </c>
      <c r="Y73">
        <v>4</v>
      </c>
      <c r="Z73">
        <v>1</v>
      </c>
      <c r="AA73">
        <v>6</v>
      </c>
      <c r="AB73">
        <v>3</v>
      </c>
      <c r="AC73">
        <v>3</v>
      </c>
      <c r="AD73" s="14">
        <v>5</v>
      </c>
      <c r="AE73" t="str">
        <f t="shared" si="3"/>
        <v>3-5 years</v>
      </c>
      <c r="AF73" s="14">
        <v>4</v>
      </c>
      <c r="AG73" s="14">
        <v>0</v>
      </c>
      <c r="AH73" s="14">
        <v>4</v>
      </c>
    </row>
    <row r="74" spans="1:34" x14ac:dyDescent="0.3">
      <c r="A74" s="14">
        <v>31</v>
      </c>
      <c r="B74" s="17" t="s">
        <v>43</v>
      </c>
      <c r="C74" t="s">
        <v>36</v>
      </c>
      <c r="D74">
        <v>1082</v>
      </c>
      <c r="E74" s="17" t="s">
        <v>45</v>
      </c>
      <c r="F74">
        <v>1</v>
      </c>
      <c r="G74">
        <v>4</v>
      </c>
      <c r="H74" t="s">
        <v>51</v>
      </c>
      <c r="I74">
        <v>95</v>
      </c>
      <c r="J74">
        <v>3</v>
      </c>
      <c r="K74" s="17" t="s">
        <v>46</v>
      </c>
      <c r="L74">
        <v>87</v>
      </c>
      <c r="M74">
        <v>3</v>
      </c>
      <c r="N74">
        <v>1</v>
      </c>
      <c r="O74" s="17" t="s">
        <v>47</v>
      </c>
      <c r="P74" s="14">
        <v>2</v>
      </c>
      <c r="Q74" t="s">
        <v>41</v>
      </c>
      <c r="R74" s="14">
        <v>2501</v>
      </c>
      <c r="S74" s="17" t="str">
        <f t="shared" si="2"/>
        <v>low</v>
      </c>
      <c r="T74">
        <v>18775</v>
      </c>
      <c r="U74">
        <v>1</v>
      </c>
      <c r="V74" s="17" t="s">
        <v>43</v>
      </c>
      <c r="W74">
        <v>17</v>
      </c>
      <c r="X74">
        <v>3</v>
      </c>
      <c r="Y74">
        <v>2</v>
      </c>
      <c r="Z74">
        <v>0</v>
      </c>
      <c r="AA74">
        <v>1</v>
      </c>
      <c r="AB74">
        <v>4</v>
      </c>
      <c r="AC74">
        <v>3</v>
      </c>
      <c r="AD74" s="14">
        <v>1</v>
      </c>
      <c r="AE74" t="str">
        <f t="shared" si="3"/>
        <v>0-2 years</v>
      </c>
      <c r="AF74" s="14">
        <v>1</v>
      </c>
      <c r="AG74" s="14">
        <v>1</v>
      </c>
      <c r="AH74" s="14">
        <v>0</v>
      </c>
    </row>
    <row r="75" spans="1:34" x14ac:dyDescent="0.3">
      <c r="A75" s="14">
        <v>32</v>
      </c>
      <c r="B75" s="17" t="s">
        <v>43</v>
      </c>
      <c r="C75" t="s">
        <v>36</v>
      </c>
      <c r="D75">
        <v>548</v>
      </c>
      <c r="E75" s="17" t="s">
        <v>45</v>
      </c>
      <c r="F75">
        <v>1</v>
      </c>
      <c r="G75">
        <v>3</v>
      </c>
      <c r="H75" t="s">
        <v>38</v>
      </c>
      <c r="I75">
        <v>96</v>
      </c>
      <c r="J75">
        <v>2</v>
      </c>
      <c r="K75" s="17" t="s">
        <v>46</v>
      </c>
      <c r="L75">
        <v>66</v>
      </c>
      <c r="M75">
        <v>3</v>
      </c>
      <c r="N75">
        <v>2</v>
      </c>
      <c r="O75" s="17" t="s">
        <v>47</v>
      </c>
      <c r="P75" s="14">
        <v>2</v>
      </c>
      <c r="Q75" t="s">
        <v>48</v>
      </c>
      <c r="R75" s="14">
        <v>6220</v>
      </c>
      <c r="S75" s="17" t="str">
        <f t="shared" si="2"/>
        <v>medium</v>
      </c>
      <c r="T75">
        <v>7346</v>
      </c>
      <c r="U75">
        <v>1</v>
      </c>
      <c r="V75" s="17" t="s">
        <v>43</v>
      </c>
      <c r="W75">
        <v>17</v>
      </c>
      <c r="X75">
        <v>3</v>
      </c>
      <c r="Y75">
        <v>2</v>
      </c>
      <c r="Z75">
        <v>2</v>
      </c>
      <c r="AA75">
        <v>10</v>
      </c>
      <c r="AB75">
        <v>3</v>
      </c>
      <c r="AC75">
        <v>3</v>
      </c>
      <c r="AD75" s="14">
        <v>10</v>
      </c>
      <c r="AE75" t="str">
        <f t="shared" si="3"/>
        <v>6-10 years</v>
      </c>
      <c r="AF75" s="14">
        <v>4</v>
      </c>
      <c r="AG75" s="14">
        <v>0</v>
      </c>
      <c r="AH75" s="14">
        <v>9</v>
      </c>
    </row>
    <row r="76" spans="1:34" x14ac:dyDescent="0.3">
      <c r="A76" s="14">
        <v>36</v>
      </c>
      <c r="B76" s="17" t="s">
        <v>43</v>
      </c>
      <c r="C76" t="s">
        <v>36</v>
      </c>
      <c r="D76">
        <v>132</v>
      </c>
      <c r="E76" s="17" t="s">
        <v>45</v>
      </c>
      <c r="F76">
        <v>6</v>
      </c>
      <c r="G76">
        <v>3</v>
      </c>
      <c r="H76" t="s">
        <v>38</v>
      </c>
      <c r="I76">
        <v>97</v>
      </c>
      <c r="J76">
        <v>2</v>
      </c>
      <c r="K76" s="17" t="s">
        <v>39</v>
      </c>
      <c r="L76">
        <v>55</v>
      </c>
      <c r="M76">
        <v>4</v>
      </c>
      <c r="N76">
        <v>1</v>
      </c>
      <c r="O76" s="17" t="s">
        <v>50</v>
      </c>
      <c r="P76" s="14">
        <v>4</v>
      </c>
      <c r="Q76" t="s">
        <v>48</v>
      </c>
      <c r="R76" s="14">
        <v>3038</v>
      </c>
      <c r="S76" s="17" t="str">
        <f t="shared" si="2"/>
        <v>medium</v>
      </c>
      <c r="T76">
        <v>22002</v>
      </c>
      <c r="U76">
        <v>3</v>
      </c>
      <c r="V76" s="17" t="s">
        <v>43</v>
      </c>
      <c r="W76">
        <v>12</v>
      </c>
      <c r="X76">
        <v>3</v>
      </c>
      <c r="Y76">
        <v>2</v>
      </c>
      <c r="Z76">
        <v>0</v>
      </c>
      <c r="AA76">
        <v>5</v>
      </c>
      <c r="AB76">
        <v>3</v>
      </c>
      <c r="AC76">
        <v>3</v>
      </c>
      <c r="AD76" s="14">
        <v>1</v>
      </c>
      <c r="AE76" t="str">
        <f t="shared" si="3"/>
        <v>0-2 years</v>
      </c>
      <c r="AF76" s="14">
        <v>0</v>
      </c>
      <c r="AG76" s="14">
        <v>0</v>
      </c>
      <c r="AH76" s="14">
        <v>0</v>
      </c>
    </row>
    <row r="77" spans="1:34" x14ac:dyDescent="0.3">
      <c r="A77" s="14">
        <v>31</v>
      </c>
      <c r="B77" s="17" t="s">
        <v>43</v>
      </c>
      <c r="C77" t="s">
        <v>36</v>
      </c>
      <c r="D77">
        <v>746</v>
      </c>
      <c r="E77" s="17" t="s">
        <v>45</v>
      </c>
      <c r="F77">
        <v>8</v>
      </c>
      <c r="G77">
        <v>4</v>
      </c>
      <c r="H77" t="s">
        <v>38</v>
      </c>
      <c r="I77">
        <v>98</v>
      </c>
      <c r="J77">
        <v>3</v>
      </c>
      <c r="K77" s="17" t="s">
        <v>39</v>
      </c>
      <c r="L77">
        <v>61</v>
      </c>
      <c r="M77">
        <v>3</v>
      </c>
      <c r="N77">
        <v>2</v>
      </c>
      <c r="O77" s="17" t="s">
        <v>53</v>
      </c>
      <c r="P77" s="14">
        <v>4</v>
      </c>
      <c r="Q77" t="s">
        <v>41</v>
      </c>
      <c r="R77" s="14">
        <v>4424</v>
      </c>
      <c r="S77" s="17" t="str">
        <f t="shared" si="2"/>
        <v>medium</v>
      </c>
      <c r="T77">
        <v>20682</v>
      </c>
      <c r="U77">
        <v>1</v>
      </c>
      <c r="V77" s="17" t="s">
        <v>43</v>
      </c>
      <c r="W77">
        <v>23</v>
      </c>
      <c r="X77">
        <v>4</v>
      </c>
      <c r="Y77">
        <v>4</v>
      </c>
      <c r="Z77">
        <v>0</v>
      </c>
      <c r="AA77">
        <v>11</v>
      </c>
      <c r="AB77">
        <v>2</v>
      </c>
      <c r="AC77">
        <v>3</v>
      </c>
      <c r="AD77" s="14">
        <v>11</v>
      </c>
      <c r="AE77" t="str">
        <f t="shared" si="3"/>
        <v>10+ years</v>
      </c>
      <c r="AF77" s="14">
        <v>7</v>
      </c>
      <c r="AG77" s="14">
        <v>1</v>
      </c>
      <c r="AH77" s="14">
        <v>8</v>
      </c>
    </row>
    <row r="78" spans="1:34" x14ac:dyDescent="0.3">
      <c r="A78" s="14">
        <v>35</v>
      </c>
      <c r="B78" s="17" t="s">
        <v>43</v>
      </c>
      <c r="C78" t="s">
        <v>36</v>
      </c>
      <c r="D78">
        <v>776</v>
      </c>
      <c r="E78" s="17" t="s">
        <v>37</v>
      </c>
      <c r="F78">
        <v>1</v>
      </c>
      <c r="G78">
        <v>4</v>
      </c>
      <c r="H78" t="s">
        <v>59</v>
      </c>
      <c r="I78">
        <v>100</v>
      </c>
      <c r="J78">
        <v>3</v>
      </c>
      <c r="K78" s="17" t="s">
        <v>46</v>
      </c>
      <c r="L78">
        <v>32</v>
      </c>
      <c r="M78">
        <v>2</v>
      </c>
      <c r="N78">
        <v>2</v>
      </c>
      <c r="O78" s="17" t="s">
        <v>40</v>
      </c>
      <c r="P78" s="14">
        <v>1</v>
      </c>
      <c r="Q78" t="s">
        <v>41</v>
      </c>
      <c r="R78" s="14">
        <v>4312</v>
      </c>
      <c r="S78" s="17" t="str">
        <f t="shared" si="2"/>
        <v>medium</v>
      </c>
      <c r="T78">
        <v>23016</v>
      </c>
      <c r="U78">
        <v>0</v>
      </c>
      <c r="V78" s="17" t="s">
        <v>43</v>
      </c>
      <c r="W78">
        <v>14</v>
      </c>
      <c r="X78">
        <v>3</v>
      </c>
      <c r="Y78">
        <v>2</v>
      </c>
      <c r="Z78">
        <v>0</v>
      </c>
      <c r="AA78">
        <v>16</v>
      </c>
      <c r="AB78">
        <v>2</v>
      </c>
      <c r="AC78">
        <v>3</v>
      </c>
      <c r="AD78" s="14">
        <v>15</v>
      </c>
      <c r="AE78" t="str">
        <f t="shared" si="3"/>
        <v>10+ years</v>
      </c>
      <c r="AF78" s="14">
        <v>13</v>
      </c>
      <c r="AG78" s="14">
        <v>2</v>
      </c>
      <c r="AH78" s="14">
        <v>8</v>
      </c>
    </row>
    <row r="79" spans="1:34" x14ac:dyDescent="0.3">
      <c r="A79" s="14">
        <v>45</v>
      </c>
      <c r="B79" s="17" t="s">
        <v>43</v>
      </c>
      <c r="C79" t="s">
        <v>36</v>
      </c>
      <c r="D79">
        <v>193</v>
      </c>
      <c r="E79" s="17" t="s">
        <v>45</v>
      </c>
      <c r="F79">
        <v>6</v>
      </c>
      <c r="G79">
        <v>4</v>
      </c>
      <c r="H79" t="s">
        <v>49</v>
      </c>
      <c r="I79">
        <v>101</v>
      </c>
      <c r="J79">
        <v>4</v>
      </c>
      <c r="K79" s="17" t="s">
        <v>46</v>
      </c>
      <c r="L79">
        <v>52</v>
      </c>
      <c r="M79">
        <v>3</v>
      </c>
      <c r="N79">
        <v>3</v>
      </c>
      <c r="O79" s="17" t="s">
        <v>58</v>
      </c>
      <c r="P79" s="14">
        <v>1</v>
      </c>
      <c r="Q79" t="s">
        <v>48</v>
      </c>
      <c r="R79" s="14">
        <v>13245</v>
      </c>
      <c r="S79" s="17" t="str">
        <f t="shared" si="2"/>
        <v>high</v>
      </c>
      <c r="T79">
        <v>15067</v>
      </c>
      <c r="U79">
        <v>4</v>
      </c>
      <c r="V79" s="17" t="s">
        <v>35</v>
      </c>
      <c r="W79">
        <v>14</v>
      </c>
      <c r="X79">
        <v>3</v>
      </c>
      <c r="Y79">
        <v>2</v>
      </c>
      <c r="Z79">
        <v>0</v>
      </c>
      <c r="AA79">
        <v>17</v>
      </c>
      <c r="AB79">
        <v>3</v>
      </c>
      <c r="AC79">
        <v>4</v>
      </c>
      <c r="AD79" s="14">
        <v>0</v>
      </c>
      <c r="AE79" t="str">
        <f t="shared" si="3"/>
        <v>0-2 years</v>
      </c>
      <c r="AF79" s="14">
        <v>0</v>
      </c>
      <c r="AG79" s="14">
        <v>0</v>
      </c>
      <c r="AH79" s="14">
        <v>0</v>
      </c>
    </row>
    <row r="80" spans="1:34" x14ac:dyDescent="0.3">
      <c r="A80" s="14">
        <v>37</v>
      </c>
      <c r="B80" s="17" t="s">
        <v>43</v>
      </c>
      <c r="C80" t="s">
        <v>36</v>
      </c>
      <c r="D80">
        <v>397</v>
      </c>
      <c r="E80" s="17" t="s">
        <v>45</v>
      </c>
      <c r="F80">
        <v>7</v>
      </c>
      <c r="G80">
        <v>4</v>
      </c>
      <c r="H80" t="s">
        <v>51</v>
      </c>
      <c r="I80">
        <v>102</v>
      </c>
      <c r="J80">
        <v>1</v>
      </c>
      <c r="K80" s="17" t="s">
        <v>46</v>
      </c>
      <c r="L80">
        <v>30</v>
      </c>
      <c r="M80">
        <v>3</v>
      </c>
      <c r="N80">
        <v>3</v>
      </c>
      <c r="O80" s="17" t="s">
        <v>58</v>
      </c>
      <c r="P80" s="14">
        <v>3</v>
      </c>
      <c r="Q80" t="s">
        <v>41</v>
      </c>
      <c r="R80" s="14">
        <v>13664</v>
      </c>
      <c r="S80" s="17" t="str">
        <f t="shared" si="2"/>
        <v>high</v>
      </c>
      <c r="T80">
        <v>25258</v>
      </c>
      <c r="U80">
        <v>4</v>
      </c>
      <c r="V80" s="17" t="s">
        <v>43</v>
      </c>
      <c r="W80">
        <v>13</v>
      </c>
      <c r="X80">
        <v>3</v>
      </c>
      <c r="Y80">
        <v>1</v>
      </c>
      <c r="Z80">
        <v>0</v>
      </c>
      <c r="AA80">
        <v>16</v>
      </c>
      <c r="AB80">
        <v>3</v>
      </c>
      <c r="AC80">
        <v>4</v>
      </c>
      <c r="AD80" s="14">
        <v>5</v>
      </c>
      <c r="AE80" t="str">
        <f t="shared" si="3"/>
        <v>3-5 years</v>
      </c>
      <c r="AF80" s="14">
        <v>2</v>
      </c>
      <c r="AG80" s="14">
        <v>0</v>
      </c>
      <c r="AH80" s="14">
        <v>2</v>
      </c>
    </row>
    <row r="81" spans="1:34" x14ac:dyDescent="0.3">
      <c r="A81" s="14">
        <v>46</v>
      </c>
      <c r="B81" s="17" t="s">
        <v>43</v>
      </c>
      <c r="C81" t="s">
        <v>36</v>
      </c>
      <c r="D81">
        <v>945</v>
      </c>
      <c r="E81" s="17" t="s">
        <v>61</v>
      </c>
      <c r="F81">
        <v>5</v>
      </c>
      <c r="G81">
        <v>2</v>
      </c>
      <c r="H81" t="s">
        <v>51</v>
      </c>
      <c r="I81">
        <v>103</v>
      </c>
      <c r="J81">
        <v>2</v>
      </c>
      <c r="K81" s="17" t="s">
        <v>46</v>
      </c>
      <c r="L81">
        <v>80</v>
      </c>
      <c r="M81">
        <v>3</v>
      </c>
      <c r="N81">
        <v>2</v>
      </c>
      <c r="O81" s="17" t="s">
        <v>61</v>
      </c>
      <c r="P81" s="14">
        <v>2</v>
      </c>
      <c r="Q81" t="s">
        <v>52</v>
      </c>
      <c r="R81" s="14">
        <v>5021</v>
      </c>
      <c r="S81" s="17" t="str">
        <f t="shared" si="2"/>
        <v>medium</v>
      </c>
      <c r="T81">
        <v>10425</v>
      </c>
      <c r="U81">
        <v>8</v>
      </c>
      <c r="V81" s="17" t="s">
        <v>35</v>
      </c>
      <c r="W81">
        <v>22</v>
      </c>
      <c r="X81">
        <v>4</v>
      </c>
      <c r="Y81">
        <v>4</v>
      </c>
      <c r="Z81">
        <v>1</v>
      </c>
      <c r="AA81">
        <v>16</v>
      </c>
      <c r="AB81">
        <v>2</v>
      </c>
      <c r="AC81">
        <v>3</v>
      </c>
      <c r="AD81" s="14">
        <v>4</v>
      </c>
      <c r="AE81" t="str">
        <f t="shared" si="3"/>
        <v>3-5 years</v>
      </c>
      <c r="AF81" s="14">
        <v>2</v>
      </c>
      <c r="AG81" s="14">
        <v>0</v>
      </c>
      <c r="AH81" s="14">
        <v>2</v>
      </c>
    </row>
    <row r="82" spans="1:34" x14ac:dyDescent="0.3">
      <c r="A82" s="14">
        <v>30</v>
      </c>
      <c r="B82" s="17" t="s">
        <v>43</v>
      </c>
      <c r="C82" t="s">
        <v>36</v>
      </c>
      <c r="D82">
        <v>852</v>
      </c>
      <c r="E82" s="17" t="s">
        <v>45</v>
      </c>
      <c r="F82">
        <v>1</v>
      </c>
      <c r="G82">
        <v>1</v>
      </c>
      <c r="H82" t="s">
        <v>38</v>
      </c>
      <c r="I82">
        <v>104</v>
      </c>
      <c r="J82">
        <v>4</v>
      </c>
      <c r="K82" s="17" t="s">
        <v>46</v>
      </c>
      <c r="L82">
        <v>55</v>
      </c>
      <c r="M82">
        <v>2</v>
      </c>
      <c r="N82">
        <v>2</v>
      </c>
      <c r="O82" s="17" t="s">
        <v>50</v>
      </c>
      <c r="P82" s="14">
        <v>4</v>
      </c>
      <c r="Q82" t="s">
        <v>48</v>
      </c>
      <c r="R82" s="14">
        <v>5126</v>
      </c>
      <c r="S82" s="17" t="str">
        <f t="shared" si="2"/>
        <v>medium</v>
      </c>
      <c r="T82">
        <v>15998</v>
      </c>
      <c r="U82">
        <v>1</v>
      </c>
      <c r="V82" s="17" t="s">
        <v>35</v>
      </c>
      <c r="W82">
        <v>12</v>
      </c>
      <c r="X82">
        <v>3</v>
      </c>
      <c r="Y82">
        <v>3</v>
      </c>
      <c r="Z82">
        <v>2</v>
      </c>
      <c r="AA82">
        <v>10</v>
      </c>
      <c r="AB82">
        <v>1</v>
      </c>
      <c r="AC82">
        <v>2</v>
      </c>
      <c r="AD82" s="14">
        <v>10</v>
      </c>
      <c r="AE82" t="str">
        <f t="shared" si="3"/>
        <v>6-10 years</v>
      </c>
      <c r="AF82" s="14">
        <v>8</v>
      </c>
      <c r="AG82" s="14">
        <v>3</v>
      </c>
      <c r="AH82" s="14">
        <v>0</v>
      </c>
    </row>
    <row r="83" spans="1:34" x14ac:dyDescent="0.3">
      <c r="A83" s="14">
        <v>35</v>
      </c>
      <c r="B83" s="17" t="s">
        <v>43</v>
      </c>
      <c r="C83" t="s">
        <v>36</v>
      </c>
      <c r="D83">
        <v>1214</v>
      </c>
      <c r="E83" s="17" t="s">
        <v>45</v>
      </c>
      <c r="F83">
        <v>1</v>
      </c>
      <c r="G83">
        <v>3</v>
      </c>
      <c r="H83" t="s">
        <v>51</v>
      </c>
      <c r="I83">
        <v>105</v>
      </c>
      <c r="J83">
        <v>2</v>
      </c>
      <c r="K83" s="17" t="s">
        <v>46</v>
      </c>
      <c r="L83">
        <v>30</v>
      </c>
      <c r="M83">
        <v>2</v>
      </c>
      <c r="N83">
        <v>1</v>
      </c>
      <c r="O83" s="17" t="s">
        <v>47</v>
      </c>
      <c r="P83" s="14">
        <v>3</v>
      </c>
      <c r="Q83" t="s">
        <v>41</v>
      </c>
      <c r="R83" s="14">
        <v>2859</v>
      </c>
      <c r="S83" s="17" t="str">
        <f t="shared" si="2"/>
        <v>low</v>
      </c>
      <c r="T83">
        <v>26278</v>
      </c>
      <c r="U83">
        <v>1</v>
      </c>
      <c r="V83" s="17" t="s">
        <v>43</v>
      </c>
      <c r="W83">
        <v>18</v>
      </c>
      <c r="X83">
        <v>3</v>
      </c>
      <c r="Y83">
        <v>1</v>
      </c>
      <c r="Z83">
        <v>0</v>
      </c>
      <c r="AA83">
        <v>6</v>
      </c>
      <c r="AB83">
        <v>3</v>
      </c>
      <c r="AC83">
        <v>3</v>
      </c>
      <c r="AD83" s="14">
        <v>6</v>
      </c>
      <c r="AE83" t="str">
        <f t="shared" si="3"/>
        <v>6-10 years</v>
      </c>
      <c r="AF83" s="14">
        <v>4</v>
      </c>
      <c r="AG83" s="14">
        <v>0</v>
      </c>
      <c r="AH83" s="14">
        <v>4</v>
      </c>
    </row>
    <row r="84" spans="1:34" x14ac:dyDescent="0.3">
      <c r="A84" s="14">
        <v>55</v>
      </c>
      <c r="B84" s="17" t="s">
        <v>43</v>
      </c>
      <c r="C84" t="s">
        <v>36</v>
      </c>
      <c r="D84">
        <v>111</v>
      </c>
      <c r="E84" s="17" t="s">
        <v>37</v>
      </c>
      <c r="F84">
        <v>1</v>
      </c>
      <c r="G84">
        <v>2</v>
      </c>
      <c r="H84" t="s">
        <v>38</v>
      </c>
      <c r="I84">
        <v>106</v>
      </c>
      <c r="J84">
        <v>1</v>
      </c>
      <c r="K84" s="17" t="s">
        <v>46</v>
      </c>
      <c r="L84">
        <v>70</v>
      </c>
      <c r="M84">
        <v>3</v>
      </c>
      <c r="N84">
        <v>3</v>
      </c>
      <c r="O84" s="17" t="s">
        <v>40</v>
      </c>
      <c r="P84" s="14">
        <v>4</v>
      </c>
      <c r="Q84" t="s">
        <v>48</v>
      </c>
      <c r="R84" s="14">
        <v>10239</v>
      </c>
      <c r="S84" s="17" t="str">
        <f t="shared" si="2"/>
        <v>high</v>
      </c>
      <c r="T84">
        <v>18092</v>
      </c>
      <c r="U84">
        <v>3</v>
      </c>
      <c r="V84" s="17" t="s">
        <v>43</v>
      </c>
      <c r="W84">
        <v>14</v>
      </c>
      <c r="X84">
        <v>3</v>
      </c>
      <c r="Y84">
        <v>4</v>
      </c>
      <c r="Z84">
        <v>1</v>
      </c>
      <c r="AA84">
        <v>24</v>
      </c>
      <c r="AB84">
        <v>4</v>
      </c>
      <c r="AC84">
        <v>3</v>
      </c>
      <c r="AD84" s="14">
        <v>1</v>
      </c>
      <c r="AE84" t="str">
        <f t="shared" si="3"/>
        <v>0-2 years</v>
      </c>
      <c r="AF84" s="14">
        <v>0</v>
      </c>
      <c r="AG84" s="14">
        <v>1</v>
      </c>
      <c r="AH84" s="14">
        <v>0</v>
      </c>
    </row>
    <row r="85" spans="1:34" x14ac:dyDescent="0.3">
      <c r="A85" s="14">
        <v>38</v>
      </c>
      <c r="B85" s="17" t="s">
        <v>43</v>
      </c>
      <c r="C85" t="s">
        <v>55</v>
      </c>
      <c r="D85">
        <v>573</v>
      </c>
      <c r="E85" s="17" t="s">
        <v>45</v>
      </c>
      <c r="F85">
        <v>6</v>
      </c>
      <c r="G85">
        <v>3</v>
      </c>
      <c r="H85" t="s">
        <v>51</v>
      </c>
      <c r="I85">
        <v>107</v>
      </c>
      <c r="J85">
        <v>2</v>
      </c>
      <c r="K85" s="17" t="s">
        <v>39</v>
      </c>
      <c r="L85">
        <v>79</v>
      </c>
      <c r="M85">
        <v>1</v>
      </c>
      <c r="N85">
        <v>2</v>
      </c>
      <c r="O85" s="17" t="s">
        <v>47</v>
      </c>
      <c r="P85" s="14">
        <v>4</v>
      </c>
      <c r="Q85" t="s">
        <v>52</v>
      </c>
      <c r="R85" s="14">
        <v>5329</v>
      </c>
      <c r="S85" s="17" t="str">
        <f t="shared" si="2"/>
        <v>medium</v>
      </c>
      <c r="T85">
        <v>15717</v>
      </c>
      <c r="U85">
        <v>7</v>
      </c>
      <c r="V85" s="17" t="s">
        <v>35</v>
      </c>
      <c r="W85">
        <v>12</v>
      </c>
      <c r="X85">
        <v>3</v>
      </c>
      <c r="Y85">
        <v>4</v>
      </c>
      <c r="Z85">
        <v>3</v>
      </c>
      <c r="AA85">
        <v>17</v>
      </c>
      <c r="AB85">
        <v>3</v>
      </c>
      <c r="AC85">
        <v>3</v>
      </c>
      <c r="AD85" s="14">
        <v>13</v>
      </c>
      <c r="AE85" t="str">
        <f t="shared" si="3"/>
        <v>10+ years</v>
      </c>
      <c r="AF85" s="14">
        <v>11</v>
      </c>
      <c r="AG85" s="14">
        <v>1</v>
      </c>
      <c r="AH85" s="14">
        <v>9</v>
      </c>
    </row>
    <row r="86" spans="1:34" x14ac:dyDescent="0.3">
      <c r="A86" s="14">
        <v>34</v>
      </c>
      <c r="B86" s="17" t="s">
        <v>43</v>
      </c>
      <c r="C86" t="s">
        <v>36</v>
      </c>
      <c r="D86">
        <v>1153</v>
      </c>
      <c r="E86" s="17" t="s">
        <v>45</v>
      </c>
      <c r="F86">
        <v>1</v>
      </c>
      <c r="G86">
        <v>2</v>
      </c>
      <c r="H86" t="s">
        <v>51</v>
      </c>
      <c r="I86">
        <v>110</v>
      </c>
      <c r="J86">
        <v>1</v>
      </c>
      <c r="K86" s="17" t="s">
        <v>46</v>
      </c>
      <c r="L86">
        <v>94</v>
      </c>
      <c r="M86">
        <v>3</v>
      </c>
      <c r="N86">
        <v>2</v>
      </c>
      <c r="O86" s="17" t="s">
        <v>53</v>
      </c>
      <c r="P86" s="14">
        <v>2</v>
      </c>
      <c r="Q86" t="s">
        <v>48</v>
      </c>
      <c r="R86" s="14">
        <v>4325</v>
      </c>
      <c r="S86" s="17" t="str">
        <f t="shared" si="2"/>
        <v>medium</v>
      </c>
      <c r="T86">
        <v>17736</v>
      </c>
      <c r="U86">
        <v>1</v>
      </c>
      <c r="V86" s="17" t="s">
        <v>43</v>
      </c>
      <c r="W86">
        <v>15</v>
      </c>
      <c r="X86">
        <v>3</v>
      </c>
      <c r="Y86">
        <v>3</v>
      </c>
      <c r="Z86">
        <v>0</v>
      </c>
      <c r="AA86">
        <v>5</v>
      </c>
      <c r="AB86">
        <v>2</v>
      </c>
      <c r="AC86">
        <v>3</v>
      </c>
      <c r="AD86" s="14">
        <v>5</v>
      </c>
      <c r="AE86" t="str">
        <f t="shared" si="3"/>
        <v>3-5 years</v>
      </c>
      <c r="AF86" s="14">
        <v>2</v>
      </c>
      <c r="AG86" s="14">
        <v>1</v>
      </c>
      <c r="AH86" s="14">
        <v>3</v>
      </c>
    </row>
    <row r="87" spans="1:34" x14ac:dyDescent="0.3">
      <c r="A87" s="14">
        <v>56</v>
      </c>
      <c r="B87" s="17" t="s">
        <v>43</v>
      </c>
      <c r="C87" t="s">
        <v>36</v>
      </c>
      <c r="D87">
        <v>1400</v>
      </c>
      <c r="E87" s="17" t="s">
        <v>45</v>
      </c>
      <c r="F87">
        <v>7</v>
      </c>
      <c r="G87">
        <v>3</v>
      </c>
      <c r="H87" t="s">
        <v>38</v>
      </c>
      <c r="I87">
        <v>112</v>
      </c>
      <c r="J87">
        <v>4</v>
      </c>
      <c r="K87" s="17" t="s">
        <v>46</v>
      </c>
      <c r="L87">
        <v>49</v>
      </c>
      <c r="M87">
        <v>1</v>
      </c>
      <c r="N87">
        <v>3</v>
      </c>
      <c r="O87" s="17" t="s">
        <v>53</v>
      </c>
      <c r="P87" s="14">
        <v>4</v>
      </c>
      <c r="Q87" t="s">
        <v>41</v>
      </c>
      <c r="R87" s="14">
        <v>7260</v>
      </c>
      <c r="S87" s="17" t="str">
        <f t="shared" si="2"/>
        <v>high</v>
      </c>
      <c r="T87">
        <v>21698</v>
      </c>
      <c r="U87">
        <v>4</v>
      </c>
      <c r="V87" s="17" t="s">
        <v>43</v>
      </c>
      <c r="W87">
        <v>11</v>
      </c>
      <c r="X87">
        <v>3</v>
      </c>
      <c r="Y87">
        <v>1</v>
      </c>
      <c r="Z87">
        <v>0</v>
      </c>
      <c r="AA87">
        <v>37</v>
      </c>
      <c r="AB87">
        <v>3</v>
      </c>
      <c r="AC87">
        <v>2</v>
      </c>
      <c r="AD87" s="14">
        <v>6</v>
      </c>
      <c r="AE87" t="str">
        <f t="shared" si="3"/>
        <v>6-10 years</v>
      </c>
      <c r="AF87" s="14">
        <v>4</v>
      </c>
      <c r="AG87" s="14">
        <v>0</v>
      </c>
      <c r="AH87" s="14">
        <v>2</v>
      </c>
    </row>
    <row r="88" spans="1:34" x14ac:dyDescent="0.3">
      <c r="A88" s="14">
        <v>23</v>
      </c>
      <c r="B88" s="17" t="s">
        <v>43</v>
      </c>
      <c r="C88" t="s">
        <v>36</v>
      </c>
      <c r="D88">
        <v>541</v>
      </c>
      <c r="E88" s="17" t="s">
        <v>37</v>
      </c>
      <c r="F88">
        <v>2</v>
      </c>
      <c r="G88">
        <v>1</v>
      </c>
      <c r="H88" t="s">
        <v>60</v>
      </c>
      <c r="I88">
        <v>113</v>
      </c>
      <c r="J88">
        <v>3</v>
      </c>
      <c r="K88" s="17" t="s">
        <v>46</v>
      </c>
      <c r="L88">
        <v>62</v>
      </c>
      <c r="M88">
        <v>3</v>
      </c>
      <c r="N88">
        <v>1</v>
      </c>
      <c r="O88" s="17" t="s">
        <v>57</v>
      </c>
      <c r="P88" s="14">
        <v>1</v>
      </c>
      <c r="Q88" t="s">
        <v>52</v>
      </c>
      <c r="R88" s="14">
        <v>2322</v>
      </c>
      <c r="S88" s="17" t="str">
        <f t="shared" si="2"/>
        <v>low</v>
      </c>
      <c r="T88">
        <v>9518</v>
      </c>
      <c r="U88">
        <v>3</v>
      </c>
      <c r="V88" s="17" t="s">
        <v>43</v>
      </c>
      <c r="W88">
        <v>13</v>
      </c>
      <c r="X88">
        <v>3</v>
      </c>
      <c r="Y88">
        <v>3</v>
      </c>
      <c r="Z88">
        <v>1</v>
      </c>
      <c r="AA88">
        <v>3</v>
      </c>
      <c r="AB88">
        <v>3</v>
      </c>
      <c r="AC88">
        <v>3</v>
      </c>
      <c r="AD88" s="14">
        <v>0</v>
      </c>
      <c r="AE88" t="str">
        <f t="shared" si="3"/>
        <v>0-2 years</v>
      </c>
      <c r="AF88" s="14">
        <v>0</v>
      </c>
      <c r="AG88" s="14">
        <v>0</v>
      </c>
      <c r="AH88" s="14">
        <v>0</v>
      </c>
    </row>
    <row r="89" spans="1:34" x14ac:dyDescent="0.3">
      <c r="A89" s="14">
        <v>51</v>
      </c>
      <c r="B89" s="17" t="s">
        <v>43</v>
      </c>
      <c r="C89" t="s">
        <v>36</v>
      </c>
      <c r="D89">
        <v>432</v>
      </c>
      <c r="E89" s="17" t="s">
        <v>45</v>
      </c>
      <c r="F89">
        <v>9</v>
      </c>
      <c r="G89">
        <v>4</v>
      </c>
      <c r="H89" t="s">
        <v>38</v>
      </c>
      <c r="I89">
        <v>116</v>
      </c>
      <c r="J89">
        <v>4</v>
      </c>
      <c r="K89" s="17" t="s">
        <v>46</v>
      </c>
      <c r="L89">
        <v>96</v>
      </c>
      <c r="M89">
        <v>3</v>
      </c>
      <c r="N89">
        <v>1</v>
      </c>
      <c r="O89" s="17" t="s">
        <v>50</v>
      </c>
      <c r="P89" s="14">
        <v>4</v>
      </c>
      <c r="Q89" t="s">
        <v>48</v>
      </c>
      <c r="R89" s="14">
        <v>2075</v>
      </c>
      <c r="S89" s="17" t="str">
        <f t="shared" si="2"/>
        <v>low</v>
      </c>
      <c r="T89">
        <v>18725</v>
      </c>
      <c r="U89">
        <v>3</v>
      </c>
      <c r="V89" s="17" t="s">
        <v>43</v>
      </c>
      <c r="W89">
        <v>23</v>
      </c>
      <c r="X89">
        <v>4</v>
      </c>
      <c r="Y89">
        <v>2</v>
      </c>
      <c r="Z89">
        <v>2</v>
      </c>
      <c r="AA89">
        <v>10</v>
      </c>
      <c r="AB89">
        <v>4</v>
      </c>
      <c r="AC89">
        <v>3</v>
      </c>
      <c r="AD89" s="14">
        <v>4</v>
      </c>
      <c r="AE89" t="str">
        <f t="shared" si="3"/>
        <v>3-5 years</v>
      </c>
      <c r="AF89" s="14">
        <v>2</v>
      </c>
      <c r="AG89" s="14">
        <v>0</v>
      </c>
      <c r="AH89" s="14">
        <v>3</v>
      </c>
    </row>
    <row r="90" spans="1:34" x14ac:dyDescent="0.3">
      <c r="A90" s="14">
        <v>30</v>
      </c>
      <c r="B90" s="17" t="s">
        <v>43</v>
      </c>
      <c r="C90" t="s">
        <v>36</v>
      </c>
      <c r="D90">
        <v>288</v>
      </c>
      <c r="E90" s="17" t="s">
        <v>45</v>
      </c>
      <c r="F90">
        <v>2</v>
      </c>
      <c r="G90">
        <v>3</v>
      </c>
      <c r="H90" t="s">
        <v>38</v>
      </c>
      <c r="I90">
        <v>117</v>
      </c>
      <c r="J90">
        <v>3</v>
      </c>
      <c r="K90" s="17" t="s">
        <v>46</v>
      </c>
      <c r="L90">
        <v>99</v>
      </c>
      <c r="M90">
        <v>2</v>
      </c>
      <c r="N90">
        <v>2</v>
      </c>
      <c r="O90" s="17" t="s">
        <v>54</v>
      </c>
      <c r="P90" s="14">
        <v>4</v>
      </c>
      <c r="Q90" t="s">
        <v>48</v>
      </c>
      <c r="R90" s="14">
        <v>4152</v>
      </c>
      <c r="S90" s="17" t="str">
        <f t="shared" si="2"/>
        <v>medium</v>
      </c>
      <c r="T90">
        <v>15830</v>
      </c>
      <c r="U90">
        <v>1</v>
      </c>
      <c r="V90" s="17" t="s">
        <v>43</v>
      </c>
      <c r="W90">
        <v>19</v>
      </c>
      <c r="X90">
        <v>3</v>
      </c>
      <c r="Y90">
        <v>1</v>
      </c>
      <c r="Z90">
        <v>3</v>
      </c>
      <c r="AA90">
        <v>11</v>
      </c>
      <c r="AB90">
        <v>3</v>
      </c>
      <c r="AC90">
        <v>3</v>
      </c>
      <c r="AD90" s="14">
        <v>11</v>
      </c>
      <c r="AE90" t="str">
        <f t="shared" si="3"/>
        <v>10+ years</v>
      </c>
      <c r="AF90" s="14">
        <v>10</v>
      </c>
      <c r="AG90" s="14">
        <v>10</v>
      </c>
      <c r="AH90" s="14">
        <v>8</v>
      </c>
    </row>
    <row r="91" spans="1:34" x14ac:dyDescent="0.3">
      <c r="A91" s="14">
        <v>46</v>
      </c>
      <c r="B91" s="17" t="s">
        <v>35</v>
      </c>
      <c r="C91" t="s">
        <v>36</v>
      </c>
      <c r="D91">
        <v>669</v>
      </c>
      <c r="E91" s="17" t="s">
        <v>37</v>
      </c>
      <c r="F91">
        <v>9</v>
      </c>
      <c r="G91">
        <v>2</v>
      </c>
      <c r="H91" t="s">
        <v>51</v>
      </c>
      <c r="I91">
        <v>118</v>
      </c>
      <c r="J91">
        <v>3</v>
      </c>
      <c r="K91" s="17" t="s">
        <v>46</v>
      </c>
      <c r="L91">
        <v>64</v>
      </c>
      <c r="M91">
        <v>2</v>
      </c>
      <c r="N91">
        <v>3</v>
      </c>
      <c r="O91" s="17" t="s">
        <v>40</v>
      </c>
      <c r="P91" s="14">
        <v>4</v>
      </c>
      <c r="Q91" t="s">
        <v>41</v>
      </c>
      <c r="R91" s="14">
        <v>9619</v>
      </c>
      <c r="S91" s="17" t="str">
        <f t="shared" si="2"/>
        <v>high</v>
      </c>
      <c r="T91">
        <v>13596</v>
      </c>
      <c r="U91">
        <v>1</v>
      </c>
      <c r="V91" s="17" t="s">
        <v>43</v>
      </c>
      <c r="W91">
        <v>16</v>
      </c>
      <c r="X91">
        <v>3</v>
      </c>
      <c r="Y91">
        <v>4</v>
      </c>
      <c r="Z91">
        <v>0</v>
      </c>
      <c r="AA91">
        <v>9</v>
      </c>
      <c r="AB91">
        <v>3</v>
      </c>
      <c r="AC91">
        <v>3</v>
      </c>
      <c r="AD91" s="14">
        <v>9</v>
      </c>
      <c r="AE91" t="str">
        <f t="shared" si="3"/>
        <v>6-10 years</v>
      </c>
      <c r="AF91" s="14">
        <v>8</v>
      </c>
      <c r="AG91" s="14">
        <v>4</v>
      </c>
      <c r="AH91" s="14">
        <v>7</v>
      </c>
    </row>
    <row r="92" spans="1:34" x14ac:dyDescent="0.3">
      <c r="A92" s="14">
        <v>40</v>
      </c>
      <c r="B92" s="17" t="s">
        <v>43</v>
      </c>
      <c r="C92" t="s">
        <v>44</v>
      </c>
      <c r="D92">
        <v>530</v>
      </c>
      <c r="E92" s="17" t="s">
        <v>45</v>
      </c>
      <c r="F92">
        <v>1</v>
      </c>
      <c r="G92">
        <v>4</v>
      </c>
      <c r="H92" t="s">
        <v>38</v>
      </c>
      <c r="I92">
        <v>119</v>
      </c>
      <c r="J92">
        <v>3</v>
      </c>
      <c r="K92" s="17" t="s">
        <v>46</v>
      </c>
      <c r="L92">
        <v>78</v>
      </c>
      <c r="M92">
        <v>2</v>
      </c>
      <c r="N92">
        <v>4</v>
      </c>
      <c r="O92" s="17" t="s">
        <v>54</v>
      </c>
      <c r="P92" s="14">
        <v>2</v>
      </c>
      <c r="Q92" t="s">
        <v>48</v>
      </c>
      <c r="R92" s="14">
        <v>13503</v>
      </c>
      <c r="S92" s="17" t="str">
        <f t="shared" si="2"/>
        <v>high</v>
      </c>
      <c r="T92">
        <v>14115</v>
      </c>
      <c r="U92">
        <v>1</v>
      </c>
      <c r="V92" s="17" t="s">
        <v>43</v>
      </c>
      <c r="W92">
        <v>22</v>
      </c>
      <c r="X92">
        <v>4</v>
      </c>
      <c r="Y92">
        <v>4</v>
      </c>
      <c r="Z92">
        <v>1</v>
      </c>
      <c r="AA92">
        <v>22</v>
      </c>
      <c r="AB92">
        <v>3</v>
      </c>
      <c r="AC92">
        <v>2</v>
      </c>
      <c r="AD92" s="14">
        <v>22</v>
      </c>
      <c r="AE92" t="str">
        <f t="shared" si="3"/>
        <v>10+ years</v>
      </c>
      <c r="AF92" s="14">
        <v>3</v>
      </c>
      <c r="AG92" s="14">
        <v>11</v>
      </c>
      <c r="AH92" s="14">
        <v>11</v>
      </c>
    </row>
    <row r="93" spans="1:34" x14ac:dyDescent="0.3">
      <c r="A93" s="14">
        <v>51</v>
      </c>
      <c r="B93" s="17" t="s">
        <v>43</v>
      </c>
      <c r="C93" t="s">
        <v>36</v>
      </c>
      <c r="D93">
        <v>632</v>
      </c>
      <c r="E93" s="17" t="s">
        <v>37</v>
      </c>
      <c r="F93">
        <v>21</v>
      </c>
      <c r="G93">
        <v>4</v>
      </c>
      <c r="H93" t="s">
        <v>59</v>
      </c>
      <c r="I93">
        <v>120</v>
      </c>
      <c r="J93">
        <v>3</v>
      </c>
      <c r="K93" s="17" t="s">
        <v>46</v>
      </c>
      <c r="L93">
        <v>71</v>
      </c>
      <c r="M93">
        <v>3</v>
      </c>
      <c r="N93">
        <v>2</v>
      </c>
      <c r="O93" s="17" t="s">
        <v>40</v>
      </c>
      <c r="P93" s="14">
        <v>4</v>
      </c>
      <c r="Q93" t="s">
        <v>41</v>
      </c>
      <c r="R93" s="14">
        <v>5441</v>
      </c>
      <c r="S93" s="17" t="str">
        <f t="shared" si="2"/>
        <v>medium</v>
      </c>
      <c r="T93">
        <v>8423</v>
      </c>
      <c r="U93">
        <v>0</v>
      </c>
      <c r="V93" s="17" t="s">
        <v>35</v>
      </c>
      <c r="W93">
        <v>22</v>
      </c>
      <c r="X93">
        <v>4</v>
      </c>
      <c r="Y93">
        <v>4</v>
      </c>
      <c r="Z93">
        <v>0</v>
      </c>
      <c r="AA93">
        <v>11</v>
      </c>
      <c r="AB93">
        <v>2</v>
      </c>
      <c r="AC93">
        <v>1</v>
      </c>
      <c r="AD93" s="14">
        <v>10</v>
      </c>
      <c r="AE93" t="str">
        <f t="shared" si="3"/>
        <v>6-10 years</v>
      </c>
      <c r="AF93" s="14">
        <v>7</v>
      </c>
      <c r="AG93" s="14">
        <v>1</v>
      </c>
      <c r="AH93" s="14">
        <v>0</v>
      </c>
    </row>
    <row r="94" spans="1:34" x14ac:dyDescent="0.3">
      <c r="A94" s="14">
        <v>30</v>
      </c>
      <c r="B94" s="17" t="s">
        <v>43</v>
      </c>
      <c r="C94" t="s">
        <v>36</v>
      </c>
      <c r="D94">
        <v>1334</v>
      </c>
      <c r="E94" s="17" t="s">
        <v>37</v>
      </c>
      <c r="F94">
        <v>4</v>
      </c>
      <c r="G94">
        <v>2</v>
      </c>
      <c r="H94" t="s">
        <v>51</v>
      </c>
      <c r="I94">
        <v>121</v>
      </c>
      <c r="J94">
        <v>3</v>
      </c>
      <c r="K94" s="17" t="s">
        <v>39</v>
      </c>
      <c r="L94">
        <v>63</v>
      </c>
      <c r="M94">
        <v>2</v>
      </c>
      <c r="N94">
        <v>2</v>
      </c>
      <c r="O94" s="17" t="s">
        <v>40</v>
      </c>
      <c r="P94" s="14">
        <v>2</v>
      </c>
      <c r="Q94" t="s">
        <v>52</v>
      </c>
      <c r="R94" s="14">
        <v>5209</v>
      </c>
      <c r="S94" s="17" t="str">
        <f t="shared" si="2"/>
        <v>medium</v>
      </c>
      <c r="T94">
        <v>19760</v>
      </c>
      <c r="U94">
        <v>1</v>
      </c>
      <c r="V94" s="17" t="s">
        <v>35</v>
      </c>
      <c r="W94">
        <v>12</v>
      </c>
      <c r="X94">
        <v>3</v>
      </c>
      <c r="Y94">
        <v>2</v>
      </c>
      <c r="Z94">
        <v>3</v>
      </c>
      <c r="AA94">
        <v>11</v>
      </c>
      <c r="AB94">
        <v>4</v>
      </c>
      <c r="AC94">
        <v>2</v>
      </c>
      <c r="AD94" s="14">
        <v>11</v>
      </c>
      <c r="AE94" t="str">
        <f t="shared" si="3"/>
        <v>10+ years</v>
      </c>
      <c r="AF94" s="14">
        <v>8</v>
      </c>
      <c r="AG94" s="14">
        <v>2</v>
      </c>
      <c r="AH94" s="14">
        <v>7</v>
      </c>
    </row>
    <row r="95" spans="1:34" x14ac:dyDescent="0.3">
      <c r="A95" s="14">
        <v>46</v>
      </c>
      <c r="B95" s="17" t="s">
        <v>43</v>
      </c>
      <c r="C95" t="s">
        <v>44</v>
      </c>
      <c r="D95">
        <v>638</v>
      </c>
      <c r="E95" s="17" t="s">
        <v>45</v>
      </c>
      <c r="F95">
        <v>1</v>
      </c>
      <c r="G95">
        <v>3</v>
      </c>
      <c r="H95" t="s">
        <v>51</v>
      </c>
      <c r="I95">
        <v>124</v>
      </c>
      <c r="J95">
        <v>3</v>
      </c>
      <c r="K95" s="17" t="s">
        <v>46</v>
      </c>
      <c r="L95">
        <v>40</v>
      </c>
      <c r="M95">
        <v>2</v>
      </c>
      <c r="N95">
        <v>3</v>
      </c>
      <c r="O95" s="17" t="s">
        <v>54</v>
      </c>
      <c r="P95" s="14">
        <v>1</v>
      </c>
      <c r="Q95" t="s">
        <v>48</v>
      </c>
      <c r="R95" s="14">
        <v>10673</v>
      </c>
      <c r="S95" s="17" t="str">
        <f t="shared" si="2"/>
        <v>high</v>
      </c>
      <c r="T95">
        <v>3142</v>
      </c>
      <c r="U95">
        <v>2</v>
      </c>
      <c r="V95" s="17" t="s">
        <v>35</v>
      </c>
      <c r="W95">
        <v>13</v>
      </c>
      <c r="X95">
        <v>3</v>
      </c>
      <c r="Y95">
        <v>3</v>
      </c>
      <c r="Z95">
        <v>1</v>
      </c>
      <c r="AA95">
        <v>21</v>
      </c>
      <c r="AB95">
        <v>5</v>
      </c>
      <c r="AC95">
        <v>2</v>
      </c>
      <c r="AD95" s="14">
        <v>10</v>
      </c>
      <c r="AE95" t="str">
        <f t="shared" si="3"/>
        <v>6-10 years</v>
      </c>
      <c r="AF95" s="14">
        <v>9</v>
      </c>
      <c r="AG95" s="14">
        <v>9</v>
      </c>
      <c r="AH95" s="14">
        <v>5</v>
      </c>
    </row>
    <row r="96" spans="1:34" x14ac:dyDescent="0.3">
      <c r="A96" s="14">
        <v>32</v>
      </c>
      <c r="B96" s="17" t="s">
        <v>43</v>
      </c>
      <c r="C96" t="s">
        <v>36</v>
      </c>
      <c r="D96">
        <v>1093</v>
      </c>
      <c r="E96" s="17" t="s">
        <v>37</v>
      </c>
      <c r="F96">
        <v>6</v>
      </c>
      <c r="G96">
        <v>4</v>
      </c>
      <c r="H96" t="s">
        <v>51</v>
      </c>
      <c r="I96">
        <v>125</v>
      </c>
      <c r="J96">
        <v>2</v>
      </c>
      <c r="K96" s="17" t="s">
        <v>46</v>
      </c>
      <c r="L96">
        <v>87</v>
      </c>
      <c r="M96">
        <v>3</v>
      </c>
      <c r="N96">
        <v>2</v>
      </c>
      <c r="O96" s="17" t="s">
        <v>40</v>
      </c>
      <c r="P96" s="14">
        <v>3</v>
      </c>
      <c r="Q96" t="s">
        <v>41</v>
      </c>
      <c r="R96" s="14">
        <v>5010</v>
      </c>
      <c r="S96" s="17" t="str">
        <f t="shared" si="2"/>
        <v>medium</v>
      </c>
      <c r="T96">
        <v>24301</v>
      </c>
      <c r="U96">
        <v>1</v>
      </c>
      <c r="V96" s="17" t="s">
        <v>43</v>
      </c>
      <c r="W96">
        <v>16</v>
      </c>
      <c r="X96">
        <v>3</v>
      </c>
      <c r="Y96">
        <v>1</v>
      </c>
      <c r="Z96">
        <v>0</v>
      </c>
      <c r="AA96">
        <v>12</v>
      </c>
      <c r="AB96">
        <v>0</v>
      </c>
      <c r="AC96">
        <v>3</v>
      </c>
      <c r="AD96" s="14">
        <v>11</v>
      </c>
      <c r="AE96" t="str">
        <f t="shared" si="3"/>
        <v>10+ years</v>
      </c>
      <c r="AF96" s="14">
        <v>8</v>
      </c>
      <c r="AG96" s="14">
        <v>5</v>
      </c>
      <c r="AH96" s="14">
        <v>7</v>
      </c>
    </row>
    <row r="97" spans="1:34" x14ac:dyDescent="0.3">
      <c r="A97" s="14">
        <v>54</v>
      </c>
      <c r="B97" s="17" t="s">
        <v>43</v>
      </c>
      <c r="C97" t="s">
        <v>36</v>
      </c>
      <c r="D97">
        <v>1217</v>
      </c>
      <c r="E97" s="17" t="s">
        <v>45</v>
      </c>
      <c r="F97">
        <v>2</v>
      </c>
      <c r="G97">
        <v>4</v>
      </c>
      <c r="H97" t="s">
        <v>60</v>
      </c>
      <c r="I97">
        <v>126</v>
      </c>
      <c r="J97">
        <v>1</v>
      </c>
      <c r="K97" s="17" t="s">
        <v>39</v>
      </c>
      <c r="L97">
        <v>60</v>
      </c>
      <c r="M97">
        <v>3</v>
      </c>
      <c r="N97">
        <v>3</v>
      </c>
      <c r="O97" s="17" t="s">
        <v>58</v>
      </c>
      <c r="P97" s="14">
        <v>3</v>
      </c>
      <c r="Q97" t="s">
        <v>48</v>
      </c>
      <c r="R97" s="14">
        <v>13549</v>
      </c>
      <c r="S97" s="17" t="str">
        <f t="shared" si="2"/>
        <v>high</v>
      </c>
      <c r="T97">
        <v>24001</v>
      </c>
      <c r="U97">
        <v>9</v>
      </c>
      <c r="V97" s="17" t="s">
        <v>43</v>
      </c>
      <c r="W97">
        <v>12</v>
      </c>
      <c r="X97">
        <v>3</v>
      </c>
      <c r="Y97">
        <v>1</v>
      </c>
      <c r="Z97">
        <v>1</v>
      </c>
      <c r="AA97">
        <v>16</v>
      </c>
      <c r="AB97">
        <v>5</v>
      </c>
      <c r="AC97">
        <v>1</v>
      </c>
      <c r="AD97" s="14">
        <v>4</v>
      </c>
      <c r="AE97" t="str">
        <f t="shared" si="3"/>
        <v>3-5 years</v>
      </c>
      <c r="AF97" s="14">
        <v>3</v>
      </c>
      <c r="AG97" s="14">
        <v>0</v>
      </c>
      <c r="AH97" s="14">
        <v>3</v>
      </c>
    </row>
    <row r="98" spans="1:34" x14ac:dyDescent="0.3">
      <c r="A98" s="14">
        <v>24</v>
      </c>
      <c r="B98" s="17" t="s">
        <v>43</v>
      </c>
      <c r="C98" t="s">
        <v>36</v>
      </c>
      <c r="D98">
        <v>1353</v>
      </c>
      <c r="E98" s="17" t="s">
        <v>37</v>
      </c>
      <c r="F98">
        <v>3</v>
      </c>
      <c r="G98">
        <v>2</v>
      </c>
      <c r="H98" t="s">
        <v>49</v>
      </c>
      <c r="I98">
        <v>128</v>
      </c>
      <c r="J98">
        <v>1</v>
      </c>
      <c r="K98" s="17" t="s">
        <v>39</v>
      </c>
      <c r="L98">
        <v>33</v>
      </c>
      <c r="M98">
        <v>3</v>
      </c>
      <c r="N98">
        <v>2</v>
      </c>
      <c r="O98" s="17" t="s">
        <v>40</v>
      </c>
      <c r="P98" s="14">
        <v>3</v>
      </c>
      <c r="Q98" t="s">
        <v>48</v>
      </c>
      <c r="R98" s="14">
        <v>4999</v>
      </c>
      <c r="S98" s="17" t="str">
        <f t="shared" si="2"/>
        <v>medium</v>
      </c>
      <c r="T98">
        <v>17519</v>
      </c>
      <c r="U98">
        <v>0</v>
      </c>
      <c r="V98" s="17" t="s">
        <v>43</v>
      </c>
      <c r="W98">
        <v>21</v>
      </c>
      <c r="X98">
        <v>4</v>
      </c>
      <c r="Y98">
        <v>1</v>
      </c>
      <c r="Z98">
        <v>1</v>
      </c>
      <c r="AA98">
        <v>4</v>
      </c>
      <c r="AB98">
        <v>2</v>
      </c>
      <c r="AC98">
        <v>2</v>
      </c>
      <c r="AD98" s="14">
        <v>3</v>
      </c>
      <c r="AE98" t="str">
        <f t="shared" si="3"/>
        <v>3-5 years</v>
      </c>
      <c r="AF98" s="14">
        <v>2</v>
      </c>
      <c r="AG98" s="14">
        <v>0</v>
      </c>
      <c r="AH98" s="14">
        <v>2</v>
      </c>
    </row>
    <row r="99" spans="1:34" x14ac:dyDescent="0.3">
      <c r="A99" s="14">
        <v>28</v>
      </c>
      <c r="B99" s="17" t="s">
        <v>43</v>
      </c>
      <c r="C99" t="s">
        <v>55</v>
      </c>
      <c r="D99">
        <v>120</v>
      </c>
      <c r="E99" s="17" t="s">
        <v>37</v>
      </c>
      <c r="F99">
        <v>4</v>
      </c>
      <c r="G99">
        <v>3</v>
      </c>
      <c r="H99" t="s">
        <v>51</v>
      </c>
      <c r="I99">
        <v>129</v>
      </c>
      <c r="J99">
        <v>2</v>
      </c>
      <c r="K99" s="17" t="s">
        <v>46</v>
      </c>
      <c r="L99">
        <v>43</v>
      </c>
      <c r="M99">
        <v>3</v>
      </c>
      <c r="N99">
        <v>2</v>
      </c>
      <c r="O99" s="17" t="s">
        <v>40</v>
      </c>
      <c r="P99" s="14">
        <v>3</v>
      </c>
      <c r="Q99" t="s">
        <v>48</v>
      </c>
      <c r="R99" s="14">
        <v>4221</v>
      </c>
      <c r="S99" s="17" t="str">
        <f t="shared" si="2"/>
        <v>medium</v>
      </c>
      <c r="T99">
        <v>8863</v>
      </c>
      <c r="U99">
        <v>1</v>
      </c>
      <c r="V99" s="17" t="s">
        <v>43</v>
      </c>
      <c r="W99">
        <v>15</v>
      </c>
      <c r="X99">
        <v>3</v>
      </c>
      <c r="Y99">
        <v>2</v>
      </c>
      <c r="Z99">
        <v>0</v>
      </c>
      <c r="AA99">
        <v>5</v>
      </c>
      <c r="AB99">
        <v>3</v>
      </c>
      <c r="AC99">
        <v>4</v>
      </c>
      <c r="AD99" s="14">
        <v>5</v>
      </c>
      <c r="AE99" t="str">
        <f t="shared" si="3"/>
        <v>3-5 years</v>
      </c>
      <c r="AF99" s="14">
        <v>4</v>
      </c>
      <c r="AG99" s="14">
        <v>0</v>
      </c>
      <c r="AH99" s="14">
        <v>4</v>
      </c>
    </row>
    <row r="100" spans="1:34" x14ac:dyDescent="0.3">
      <c r="A100" s="14">
        <v>58</v>
      </c>
      <c r="B100" s="17" t="s">
        <v>43</v>
      </c>
      <c r="C100" t="s">
        <v>36</v>
      </c>
      <c r="D100">
        <v>682</v>
      </c>
      <c r="E100" s="17" t="s">
        <v>37</v>
      </c>
      <c r="F100">
        <v>10</v>
      </c>
      <c r="G100">
        <v>4</v>
      </c>
      <c r="H100" t="s">
        <v>51</v>
      </c>
      <c r="I100">
        <v>131</v>
      </c>
      <c r="J100">
        <v>4</v>
      </c>
      <c r="K100" s="17" t="s">
        <v>46</v>
      </c>
      <c r="L100">
        <v>37</v>
      </c>
      <c r="M100">
        <v>3</v>
      </c>
      <c r="N100">
        <v>4</v>
      </c>
      <c r="O100" s="17" t="s">
        <v>40</v>
      </c>
      <c r="P100" s="14">
        <v>3</v>
      </c>
      <c r="Q100" t="s">
        <v>41</v>
      </c>
      <c r="R100" s="14">
        <v>13872</v>
      </c>
      <c r="S100" s="17" t="str">
        <f t="shared" si="2"/>
        <v>high</v>
      </c>
      <c r="T100">
        <v>24409</v>
      </c>
      <c r="U100">
        <v>0</v>
      </c>
      <c r="V100" s="17" t="s">
        <v>43</v>
      </c>
      <c r="W100">
        <v>13</v>
      </c>
      <c r="X100">
        <v>3</v>
      </c>
      <c r="Y100">
        <v>3</v>
      </c>
      <c r="Z100">
        <v>0</v>
      </c>
      <c r="AA100">
        <v>38</v>
      </c>
      <c r="AB100">
        <v>1</v>
      </c>
      <c r="AC100">
        <v>2</v>
      </c>
      <c r="AD100" s="14">
        <v>37</v>
      </c>
      <c r="AE100" t="str">
        <f t="shared" si="3"/>
        <v>10+ years</v>
      </c>
      <c r="AF100" s="14">
        <v>10</v>
      </c>
      <c r="AG100" s="14">
        <v>1</v>
      </c>
      <c r="AH100" s="14">
        <v>8</v>
      </c>
    </row>
    <row r="101" spans="1:34" x14ac:dyDescent="0.3">
      <c r="A101" s="14">
        <v>44</v>
      </c>
      <c r="B101" s="17" t="s">
        <v>43</v>
      </c>
      <c r="C101" t="s">
        <v>55</v>
      </c>
      <c r="D101">
        <v>489</v>
      </c>
      <c r="E101" s="17" t="s">
        <v>45</v>
      </c>
      <c r="F101">
        <v>23</v>
      </c>
      <c r="G101">
        <v>3</v>
      </c>
      <c r="H101" t="s">
        <v>51</v>
      </c>
      <c r="I101">
        <v>132</v>
      </c>
      <c r="J101">
        <v>2</v>
      </c>
      <c r="K101" s="17" t="s">
        <v>46</v>
      </c>
      <c r="L101">
        <v>67</v>
      </c>
      <c r="M101">
        <v>3</v>
      </c>
      <c r="N101">
        <v>2</v>
      </c>
      <c r="O101" s="17" t="s">
        <v>50</v>
      </c>
      <c r="P101" s="14">
        <v>2</v>
      </c>
      <c r="Q101" t="s">
        <v>48</v>
      </c>
      <c r="R101" s="14">
        <v>2042</v>
      </c>
      <c r="S101" s="17" t="str">
        <f t="shared" si="2"/>
        <v>low</v>
      </c>
      <c r="T101">
        <v>25043</v>
      </c>
      <c r="U101">
        <v>4</v>
      </c>
      <c r="V101" s="17" t="s">
        <v>43</v>
      </c>
      <c r="W101">
        <v>12</v>
      </c>
      <c r="X101">
        <v>3</v>
      </c>
      <c r="Y101">
        <v>3</v>
      </c>
      <c r="Z101">
        <v>1</v>
      </c>
      <c r="AA101">
        <v>17</v>
      </c>
      <c r="AB101">
        <v>3</v>
      </c>
      <c r="AC101">
        <v>4</v>
      </c>
      <c r="AD101" s="14">
        <v>3</v>
      </c>
      <c r="AE101" t="str">
        <f t="shared" si="3"/>
        <v>3-5 years</v>
      </c>
      <c r="AF101" s="14">
        <v>2</v>
      </c>
      <c r="AG101" s="14">
        <v>1</v>
      </c>
      <c r="AH101" s="14">
        <v>2</v>
      </c>
    </row>
    <row r="102" spans="1:34" x14ac:dyDescent="0.3">
      <c r="A102" s="14">
        <v>37</v>
      </c>
      <c r="B102" s="17" t="s">
        <v>35</v>
      </c>
      <c r="C102" t="s">
        <v>36</v>
      </c>
      <c r="D102">
        <v>807</v>
      </c>
      <c r="E102" s="17" t="s">
        <v>61</v>
      </c>
      <c r="F102">
        <v>6</v>
      </c>
      <c r="G102">
        <v>4</v>
      </c>
      <c r="H102" t="s">
        <v>61</v>
      </c>
      <c r="I102">
        <v>133</v>
      </c>
      <c r="J102">
        <v>3</v>
      </c>
      <c r="K102" s="17" t="s">
        <v>46</v>
      </c>
      <c r="L102">
        <v>63</v>
      </c>
      <c r="M102">
        <v>3</v>
      </c>
      <c r="N102">
        <v>1</v>
      </c>
      <c r="O102" s="17" t="s">
        <v>61</v>
      </c>
      <c r="P102" s="14">
        <v>1</v>
      </c>
      <c r="Q102" t="s">
        <v>52</v>
      </c>
      <c r="R102" s="14">
        <v>2073</v>
      </c>
      <c r="S102" s="17" t="str">
        <f t="shared" si="2"/>
        <v>low</v>
      </c>
      <c r="T102">
        <v>23648</v>
      </c>
      <c r="U102">
        <v>4</v>
      </c>
      <c r="V102" s="17" t="s">
        <v>35</v>
      </c>
      <c r="W102">
        <v>22</v>
      </c>
      <c r="X102">
        <v>4</v>
      </c>
      <c r="Y102">
        <v>4</v>
      </c>
      <c r="Z102">
        <v>0</v>
      </c>
      <c r="AA102">
        <v>7</v>
      </c>
      <c r="AB102">
        <v>3</v>
      </c>
      <c r="AC102">
        <v>3</v>
      </c>
      <c r="AD102" s="14">
        <v>3</v>
      </c>
      <c r="AE102" t="str">
        <f t="shared" si="3"/>
        <v>3-5 years</v>
      </c>
      <c r="AF102" s="14">
        <v>2</v>
      </c>
      <c r="AG102" s="14">
        <v>0</v>
      </c>
      <c r="AH102" s="14">
        <v>2</v>
      </c>
    </row>
    <row r="103" spans="1:34" x14ac:dyDescent="0.3">
      <c r="A103" s="14">
        <v>32</v>
      </c>
      <c r="B103" s="17" t="s">
        <v>43</v>
      </c>
      <c r="C103" t="s">
        <v>36</v>
      </c>
      <c r="D103">
        <v>827</v>
      </c>
      <c r="E103" s="17" t="s">
        <v>45</v>
      </c>
      <c r="F103">
        <v>1</v>
      </c>
      <c r="G103">
        <v>1</v>
      </c>
      <c r="H103" t="s">
        <v>38</v>
      </c>
      <c r="I103">
        <v>134</v>
      </c>
      <c r="J103">
        <v>4</v>
      </c>
      <c r="K103" s="17" t="s">
        <v>46</v>
      </c>
      <c r="L103">
        <v>71</v>
      </c>
      <c r="M103">
        <v>3</v>
      </c>
      <c r="N103">
        <v>1</v>
      </c>
      <c r="O103" s="17" t="s">
        <v>47</v>
      </c>
      <c r="P103" s="14">
        <v>1</v>
      </c>
      <c r="Q103" t="s">
        <v>41</v>
      </c>
      <c r="R103" s="14">
        <v>2956</v>
      </c>
      <c r="S103" s="17" t="str">
        <f t="shared" si="2"/>
        <v>low</v>
      </c>
      <c r="T103">
        <v>15178</v>
      </c>
      <c r="U103">
        <v>1</v>
      </c>
      <c r="V103" s="17" t="s">
        <v>43</v>
      </c>
      <c r="W103">
        <v>13</v>
      </c>
      <c r="X103">
        <v>3</v>
      </c>
      <c r="Y103">
        <v>4</v>
      </c>
      <c r="Z103">
        <v>0</v>
      </c>
      <c r="AA103">
        <v>1</v>
      </c>
      <c r="AB103">
        <v>2</v>
      </c>
      <c r="AC103">
        <v>3</v>
      </c>
      <c r="AD103" s="14">
        <v>1</v>
      </c>
      <c r="AE103" t="str">
        <f t="shared" si="3"/>
        <v>0-2 years</v>
      </c>
      <c r="AF103" s="14">
        <v>0</v>
      </c>
      <c r="AG103" s="14">
        <v>0</v>
      </c>
      <c r="AH103" s="14">
        <v>0</v>
      </c>
    </row>
    <row r="104" spans="1:34" x14ac:dyDescent="0.3">
      <c r="A104" s="14">
        <v>20</v>
      </c>
      <c r="B104" s="17" t="s">
        <v>35</v>
      </c>
      <c r="C104" t="s">
        <v>44</v>
      </c>
      <c r="D104">
        <v>871</v>
      </c>
      <c r="E104" s="17" t="s">
        <v>45</v>
      </c>
      <c r="F104">
        <v>6</v>
      </c>
      <c r="G104">
        <v>3</v>
      </c>
      <c r="H104" t="s">
        <v>38</v>
      </c>
      <c r="I104">
        <v>137</v>
      </c>
      <c r="J104">
        <v>4</v>
      </c>
      <c r="K104" s="17" t="s">
        <v>39</v>
      </c>
      <c r="L104">
        <v>66</v>
      </c>
      <c r="M104">
        <v>2</v>
      </c>
      <c r="N104">
        <v>1</v>
      </c>
      <c r="O104" s="17" t="s">
        <v>50</v>
      </c>
      <c r="P104" s="14">
        <v>4</v>
      </c>
      <c r="Q104" t="s">
        <v>41</v>
      </c>
      <c r="R104" s="14">
        <v>2926</v>
      </c>
      <c r="S104" s="17" t="str">
        <f t="shared" si="2"/>
        <v>low</v>
      </c>
      <c r="T104">
        <v>19783</v>
      </c>
      <c r="U104">
        <v>1</v>
      </c>
      <c r="V104" s="17" t="s">
        <v>35</v>
      </c>
      <c r="W104">
        <v>18</v>
      </c>
      <c r="X104">
        <v>3</v>
      </c>
      <c r="Y104">
        <v>2</v>
      </c>
      <c r="Z104">
        <v>0</v>
      </c>
      <c r="AA104">
        <v>1</v>
      </c>
      <c r="AB104">
        <v>5</v>
      </c>
      <c r="AC104">
        <v>3</v>
      </c>
      <c r="AD104" s="14">
        <v>1</v>
      </c>
      <c r="AE104" t="str">
        <f t="shared" si="3"/>
        <v>0-2 years</v>
      </c>
      <c r="AF104" s="14">
        <v>0</v>
      </c>
      <c r="AG104" s="14">
        <v>1</v>
      </c>
      <c r="AH104" s="14">
        <v>0</v>
      </c>
    </row>
    <row r="105" spans="1:34" x14ac:dyDescent="0.3">
      <c r="A105" s="14">
        <v>34</v>
      </c>
      <c r="B105" s="17" t="s">
        <v>43</v>
      </c>
      <c r="C105" t="s">
        <v>36</v>
      </c>
      <c r="D105">
        <v>665</v>
      </c>
      <c r="E105" s="17" t="s">
        <v>45</v>
      </c>
      <c r="F105">
        <v>6</v>
      </c>
      <c r="G105">
        <v>4</v>
      </c>
      <c r="H105" t="s">
        <v>49</v>
      </c>
      <c r="I105">
        <v>138</v>
      </c>
      <c r="J105">
        <v>1</v>
      </c>
      <c r="K105" s="17" t="s">
        <v>39</v>
      </c>
      <c r="L105">
        <v>41</v>
      </c>
      <c r="M105">
        <v>3</v>
      </c>
      <c r="N105">
        <v>2</v>
      </c>
      <c r="O105" s="17" t="s">
        <v>47</v>
      </c>
      <c r="P105" s="14">
        <v>3</v>
      </c>
      <c r="Q105" t="s">
        <v>41</v>
      </c>
      <c r="R105" s="14">
        <v>4809</v>
      </c>
      <c r="S105" s="17" t="str">
        <f t="shared" si="2"/>
        <v>medium</v>
      </c>
      <c r="T105">
        <v>12482</v>
      </c>
      <c r="U105">
        <v>1</v>
      </c>
      <c r="V105" s="17" t="s">
        <v>43</v>
      </c>
      <c r="W105">
        <v>14</v>
      </c>
      <c r="X105">
        <v>3</v>
      </c>
      <c r="Y105">
        <v>3</v>
      </c>
      <c r="Z105">
        <v>0</v>
      </c>
      <c r="AA105">
        <v>16</v>
      </c>
      <c r="AB105">
        <v>3</v>
      </c>
      <c r="AC105">
        <v>3</v>
      </c>
      <c r="AD105" s="14">
        <v>16</v>
      </c>
      <c r="AE105" t="str">
        <f t="shared" si="3"/>
        <v>10+ years</v>
      </c>
      <c r="AF105" s="14">
        <v>13</v>
      </c>
      <c r="AG105" s="14">
        <v>2</v>
      </c>
      <c r="AH105" s="14">
        <v>10</v>
      </c>
    </row>
    <row r="106" spans="1:34" x14ac:dyDescent="0.3">
      <c r="A106" s="14">
        <v>37</v>
      </c>
      <c r="B106" s="17" t="s">
        <v>43</v>
      </c>
      <c r="C106" t="s">
        <v>55</v>
      </c>
      <c r="D106">
        <v>1040</v>
      </c>
      <c r="E106" s="17" t="s">
        <v>45</v>
      </c>
      <c r="F106">
        <v>2</v>
      </c>
      <c r="G106">
        <v>2</v>
      </c>
      <c r="H106" t="s">
        <v>38</v>
      </c>
      <c r="I106">
        <v>139</v>
      </c>
      <c r="J106">
        <v>3</v>
      </c>
      <c r="K106" s="17" t="s">
        <v>46</v>
      </c>
      <c r="L106">
        <v>100</v>
      </c>
      <c r="M106">
        <v>2</v>
      </c>
      <c r="N106">
        <v>2</v>
      </c>
      <c r="O106" s="17" t="s">
        <v>54</v>
      </c>
      <c r="P106" s="14">
        <v>4</v>
      </c>
      <c r="Q106" t="s">
        <v>52</v>
      </c>
      <c r="R106" s="14">
        <v>5163</v>
      </c>
      <c r="S106" s="17" t="str">
        <f t="shared" si="2"/>
        <v>medium</v>
      </c>
      <c r="T106">
        <v>15850</v>
      </c>
      <c r="U106">
        <v>5</v>
      </c>
      <c r="V106" s="17" t="s">
        <v>43</v>
      </c>
      <c r="W106">
        <v>14</v>
      </c>
      <c r="X106">
        <v>3</v>
      </c>
      <c r="Y106">
        <v>4</v>
      </c>
      <c r="Z106">
        <v>1</v>
      </c>
      <c r="AA106">
        <v>17</v>
      </c>
      <c r="AB106">
        <v>2</v>
      </c>
      <c r="AC106">
        <v>4</v>
      </c>
      <c r="AD106" s="14">
        <v>1</v>
      </c>
      <c r="AE106" t="str">
        <f t="shared" si="3"/>
        <v>0-2 years</v>
      </c>
      <c r="AF106" s="14">
        <v>0</v>
      </c>
      <c r="AG106" s="14">
        <v>0</v>
      </c>
      <c r="AH106" s="14">
        <v>0</v>
      </c>
    </row>
    <row r="107" spans="1:34" x14ac:dyDescent="0.3">
      <c r="A107" s="14">
        <v>59</v>
      </c>
      <c r="B107" s="17" t="s">
        <v>43</v>
      </c>
      <c r="C107" t="s">
        <v>55</v>
      </c>
      <c r="D107">
        <v>1420</v>
      </c>
      <c r="E107" s="17" t="s">
        <v>61</v>
      </c>
      <c r="F107">
        <v>2</v>
      </c>
      <c r="G107">
        <v>4</v>
      </c>
      <c r="H107" t="s">
        <v>61</v>
      </c>
      <c r="I107">
        <v>140</v>
      </c>
      <c r="J107">
        <v>3</v>
      </c>
      <c r="K107" s="17" t="s">
        <v>39</v>
      </c>
      <c r="L107">
        <v>32</v>
      </c>
      <c r="M107">
        <v>2</v>
      </c>
      <c r="N107">
        <v>5</v>
      </c>
      <c r="O107" s="17" t="s">
        <v>56</v>
      </c>
      <c r="P107" s="14">
        <v>4</v>
      </c>
      <c r="Q107" t="s">
        <v>48</v>
      </c>
      <c r="R107" s="14">
        <v>18844</v>
      </c>
      <c r="S107" s="17" t="str">
        <f t="shared" si="2"/>
        <v>high</v>
      </c>
      <c r="T107">
        <v>21922</v>
      </c>
      <c r="U107">
        <v>9</v>
      </c>
      <c r="V107" s="17" t="s">
        <v>43</v>
      </c>
      <c r="W107">
        <v>21</v>
      </c>
      <c r="X107">
        <v>4</v>
      </c>
      <c r="Y107">
        <v>4</v>
      </c>
      <c r="Z107">
        <v>1</v>
      </c>
      <c r="AA107">
        <v>30</v>
      </c>
      <c r="AB107">
        <v>3</v>
      </c>
      <c r="AC107">
        <v>3</v>
      </c>
      <c r="AD107" s="14">
        <v>3</v>
      </c>
      <c r="AE107" t="str">
        <f t="shared" si="3"/>
        <v>3-5 years</v>
      </c>
      <c r="AF107" s="14">
        <v>2</v>
      </c>
      <c r="AG107" s="14">
        <v>2</v>
      </c>
      <c r="AH107" s="14">
        <v>2</v>
      </c>
    </row>
    <row r="108" spans="1:34" x14ac:dyDescent="0.3">
      <c r="A108" s="14">
        <v>50</v>
      </c>
      <c r="B108" s="17" t="s">
        <v>43</v>
      </c>
      <c r="C108" t="s">
        <v>44</v>
      </c>
      <c r="D108">
        <v>1115</v>
      </c>
      <c r="E108" s="17" t="s">
        <v>45</v>
      </c>
      <c r="F108">
        <v>1</v>
      </c>
      <c r="G108">
        <v>3</v>
      </c>
      <c r="H108" t="s">
        <v>38</v>
      </c>
      <c r="I108">
        <v>141</v>
      </c>
      <c r="J108">
        <v>1</v>
      </c>
      <c r="K108" s="17" t="s">
        <v>39</v>
      </c>
      <c r="L108">
        <v>73</v>
      </c>
      <c r="M108">
        <v>3</v>
      </c>
      <c r="N108">
        <v>5</v>
      </c>
      <c r="O108" s="17" t="s">
        <v>58</v>
      </c>
      <c r="P108" s="14">
        <v>2</v>
      </c>
      <c r="Q108" t="s">
        <v>48</v>
      </c>
      <c r="R108" s="14">
        <v>18172</v>
      </c>
      <c r="S108" s="17" t="str">
        <f t="shared" si="2"/>
        <v>high</v>
      </c>
      <c r="T108">
        <v>9755</v>
      </c>
      <c r="U108">
        <v>3</v>
      </c>
      <c r="V108" s="17" t="s">
        <v>35</v>
      </c>
      <c r="W108">
        <v>19</v>
      </c>
      <c r="X108">
        <v>3</v>
      </c>
      <c r="Y108">
        <v>1</v>
      </c>
      <c r="Z108">
        <v>0</v>
      </c>
      <c r="AA108">
        <v>28</v>
      </c>
      <c r="AB108">
        <v>1</v>
      </c>
      <c r="AC108">
        <v>2</v>
      </c>
      <c r="AD108" s="14">
        <v>8</v>
      </c>
      <c r="AE108" t="str">
        <f t="shared" si="3"/>
        <v>6-10 years</v>
      </c>
      <c r="AF108" s="14">
        <v>3</v>
      </c>
      <c r="AG108" s="14">
        <v>0</v>
      </c>
      <c r="AH108" s="14">
        <v>7</v>
      </c>
    </row>
    <row r="109" spans="1:34" x14ac:dyDescent="0.3">
      <c r="A109" s="14">
        <v>25</v>
      </c>
      <c r="B109" s="17" t="s">
        <v>35</v>
      </c>
      <c r="C109" t="s">
        <v>36</v>
      </c>
      <c r="D109">
        <v>240</v>
      </c>
      <c r="E109" s="17" t="s">
        <v>37</v>
      </c>
      <c r="F109">
        <v>5</v>
      </c>
      <c r="G109">
        <v>3</v>
      </c>
      <c r="H109" t="s">
        <v>59</v>
      </c>
      <c r="I109">
        <v>142</v>
      </c>
      <c r="J109">
        <v>3</v>
      </c>
      <c r="K109" s="17" t="s">
        <v>46</v>
      </c>
      <c r="L109">
        <v>46</v>
      </c>
      <c r="M109">
        <v>2</v>
      </c>
      <c r="N109">
        <v>2</v>
      </c>
      <c r="O109" s="17" t="s">
        <v>40</v>
      </c>
      <c r="P109" s="14">
        <v>3</v>
      </c>
      <c r="Q109" t="s">
        <v>41</v>
      </c>
      <c r="R109" s="14">
        <v>5744</v>
      </c>
      <c r="S109" s="17" t="str">
        <f t="shared" si="2"/>
        <v>medium</v>
      </c>
      <c r="T109">
        <v>26959</v>
      </c>
      <c r="U109">
        <v>1</v>
      </c>
      <c r="V109" s="17" t="s">
        <v>35</v>
      </c>
      <c r="W109">
        <v>11</v>
      </c>
      <c r="X109">
        <v>3</v>
      </c>
      <c r="Y109">
        <v>4</v>
      </c>
      <c r="Z109">
        <v>0</v>
      </c>
      <c r="AA109">
        <v>6</v>
      </c>
      <c r="AB109">
        <v>1</v>
      </c>
      <c r="AC109">
        <v>3</v>
      </c>
      <c r="AD109" s="14">
        <v>6</v>
      </c>
      <c r="AE109" t="str">
        <f t="shared" si="3"/>
        <v>6-10 years</v>
      </c>
      <c r="AF109" s="14">
        <v>4</v>
      </c>
      <c r="AG109" s="14">
        <v>0</v>
      </c>
      <c r="AH109" s="14">
        <v>3</v>
      </c>
    </row>
    <row r="110" spans="1:34" x14ac:dyDescent="0.3">
      <c r="A110" s="14">
        <v>25</v>
      </c>
      <c r="B110" s="17" t="s">
        <v>43</v>
      </c>
      <c r="C110" t="s">
        <v>36</v>
      </c>
      <c r="D110">
        <v>1280</v>
      </c>
      <c r="E110" s="17" t="s">
        <v>45</v>
      </c>
      <c r="F110">
        <v>7</v>
      </c>
      <c r="G110">
        <v>1</v>
      </c>
      <c r="H110" t="s">
        <v>51</v>
      </c>
      <c r="I110">
        <v>143</v>
      </c>
      <c r="J110">
        <v>4</v>
      </c>
      <c r="K110" s="17" t="s">
        <v>46</v>
      </c>
      <c r="L110">
        <v>64</v>
      </c>
      <c r="M110">
        <v>2</v>
      </c>
      <c r="N110">
        <v>1</v>
      </c>
      <c r="O110" s="17" t="s">
        <v>47</v>
      </c>
      <c r="P110" s="14">
        <v>4</v>
      </c>
      <c r="Q110" t="s">
        <v>48</v>
      </c>
      <c r="R110" s="14">
        <v>2889</v>
      </c>
      <c r="S110" s="17" t="str">
        <f t="shared" si="2"/>
        <v>low</v>
      </c>
      <c r="T110">
        <v>26897</v>
      </c>
      <c r="U110">
        <v>1</v>
      </c>
      <c r="V110" s="17" t="s">
        <v>43</v>
      </c>
      <c r="W110">
        <v>11</v>
      </c>
      <c r="X110">
        <v>3</v>
      </c>
      <c r="Y110">
        <v>3</v>
      </c>
      <c r="Z110">
        <v>2</v>
      </c>
      <c r="AA110">
        <v>2</v>
      </c>
      <c r="AB110">
        <v>2</v>
      </c>
      <c r="AC110">
        <v>3</v>
      </c>
      <c r="AD110" s="14">
        <v>2</v>
      </c>
      <c r="AE110" t="str">
        <f t="shared" si="3"/>
        <v>0-2 years</v>
      </c>
      <c r="AF110" s="14">
        <v>2</v>
      </c>
      <c r="AG110" s="14">
        <v>2</v>
      </c>
      <c r="AH110" s="14">
        <v>1</v>
      </c>
    </row>
    <row r="111" spans="1:34" x14ac:dyDescent="0.3">
      <c r="A111" s="14">
        <v>22</v>
      </c>
      <c r="B111" s="17" t="s">
        <v>43</v>
      </c>
      <c r="C111" t="s">
        <v>36</v>
      </c>
      <c r="D111">
        <v>534</v>
      </c>
      <c r="E111" s="17" t="s">
        <v>45</v>
      </c>
      <c r="F111">
        <v>15</v>
      </c>
      <c r="G111">
        <v>3</v>
      </c>
      <c r="H111" t="s">
        <v>51</v>
      </c>
      <c r="I111">
        <v>144</v>
      </c>
      <c r="J111">
        <v>2</v>
      </c>
      <c r="K111" s="17" t="s">
        <v>39</v>
      </c>
      <c r="L111">
        <v>59</v>
      </c>
      <c r="M111">
        <v>3</v>
      </c>
      <c r="N111">
        <v>1</v>
      </c>
      <c r="O111" s="17" t="s">
        <v>50</v>
      </c>
      <c r="P111" s="14">
        <v>4</v>
      </c>
      <c r="Q111" t="s">
        <v>41</v>
      </c>
      <c r="R111" s="14">
        <v>2871</v>
      </c>
      <c r="S111" s="17" t="str">
        <f t="shared" si="2"/>
        <v>low</v>
      </c>
      <c r="T111">
        <v>23785</v>
      </c>
      <c r="U111">
        <v>1</v>
      </c>
      <c r="V111" s="17" t="s">
        <v>43</v>
      </c>
      <c r="W111">
        <v>15</v>
      </c>
      <c r="X111">
        <v>3</v>
      </c>
      <c r="Y111">
        <v>3</v>
      </c>
      <c r="Z111">
        <v>0</v>
      </c>
      <c r="AA111">
        <v>1</v>
      </c>
      <c r="AB111">
        <v>5</v>
      </c>
      <c r="AC111">
        <v>3</v>
      </c>
      <c r="AD111" s="14">
        <v>0</v>
      </c>
      <c r="AE111" t="str">
        <f t="shared" si="3"/>
        <v>0-2 years</v>
      </c>
      <c r="AF111" s="14">
        <v>0</v>
      </c>
      <c r="AG111" s="14">
        <v>0</v>
      </c>
      <c r="AH111" s="14">
        <v>0</v>
      </c>
    </row>
    <row r="112" spans="1:34" x14ac:dyDescent="0.3">
      <c r="A112" s="14">
        <v>51</v>
      </c>
      <c r="B112" s="17" t="s">
        <v>43</v>
      </c>
      <c r="C112" t="s">
        <v>44</v>
      </c>
      <c r="D112">
        <v>1456</v>
      </c>
      <c r="E112" s="17" t="s">
        <v>45</v>
      </c>
      <c r="F112">
        <v>1</v>
      </c>
      <c r="G112">
        <v>4</v>
      </c>
      <c r="H112" t="s">
        <v>51</v>
      </c>
      <c r="I112">
        <v>145</v>
      </c>
      <c r="J112">
        <v>1</v>
      </c>
      <c r="K112" s="17" t="s">
        <v>39</v>
      </c>
      <c r="L112">
        <v>30</v>
      </c>
      <c r="M112">
        <v>2</v>
      </c>
      <c r="N112">
        <v>3</v>
      </c>
      <c r="O112" s="17" t="s">
        <v>54</v>
      </c>
      <c r="P112" s="14">
        <v>1</v>
      </c>
      <c r="Q112" t="s">
        <v>41</v>
      </c>
      <c r="R112" s="14">
        <v>7484</v>
      </c>
      <c r="S112" s="17" t="str">
        <f t="shared" si="2"/>
        <v>high</v>
      </c>
      <c r="T112">
        <v>25796</v>
      </c>
      <c r="U112">
        <v>3</v>
      </c>
      <c r="V112" s="17" t="s">
        <v>43</v>
      </c>
      <c r="W112">
        <v>20</v>
      </c>
      <c r="X112">
        <v>4</v>
      </c>
      <c r="Y112">
        <v>3</v>
      </c>
      <c r="Z112">
        <v>0</v>
      </c>
      <c r="AA112">
        <v>23</v>
      </c>
      <c r="AB112">
        <v>1</v>
      </c>
      <c r="AC112">
        <v>2</v>
      </c>
      <c r="AD112" s="14">
        <v>13</v>
      </c>
      <c r="AE112" t="str">
        <f t="shared" si="3"/>
        <v>10+ years</v>
      </c>
      <c r="AF112" s="14">
        <v>12</v>
      </c>
      <c r="AG112" s="14">
        <v>12</v>
      </c>
      <c r="AH112" s="14">
        <v>8</v>
      </c>
    </row>
    <row r="113" spans="1:34" x14ac:dyDescent="0.3">
      <c r="A113" s="14">
        <v>34</v>
      </c>
      <c r="B113" s="17" t="s">
        <v>35</v>
      </c>
      <c r="C113" t="s">
        <v>44</v>
      </c>
      <c r="D113">
        <v>658</v>
      </c>
      <c r="E113" s="17" t="s">
        <v>45</v>
      </c>
      <c r="F113">
        <v>7</v>
      </c>
      <c r="G113">
        <v>3</v>
      </c>
      <c r="H113" t="s">
        <v>38</v>
      </c>
      <c r="I113">
        <v>147</v>
      </c>
      <c r="J113">
        <v>1</v>
      </c>
      <c r="K113" s="17" t="s">
        <v>46</v>
      </c>
      <c r="L113">
        <v>66</v>
      </c>
      <c r="M113">
        <v>1</v>
      </c>
      <c r="N113">
        <v>2</v>
      </c>
      <c r="O113" s="17" t="s">
        <v>50</v>
      </c>
      <c r="P113" s="14">
        <v>3</v>
      </c>
      <c r="Q113" t="s">
        <v>41</v>
      </c>
      <c r="R113" s="14">
        <v>6074</v>
      </c>
      <c r="S113" s="17" t="str">
        <f t="shared" si="2"/>
        <v>medium</v>
      </c>
      <c r="T113">
        <v>22887</v>
      </c>
      <c r="U113">
        <v>1</v>
      </c>
      <c r="V113" s="17" t="s">
        <v>35</v>
      </c>
      <c r="W113">
        <v>24</v>
      </c>
      <c r="X113">
        <v>4</v>
      </c>
      <c r="Y113">
        <v>4</v>
      </c>
      <c r="Z113">
        <v>0</v>
      </c>
      <c r="AA113">
        <v>9</v>
      </c>
      <c r="AB113">
        <v>3</v>
      </c>
      <c r="AC113">
        <v>3</v>
      </c>
      <c r="AD113" s="14">
        <v>9</v>
      </c>
      <c r="AE113" t="str">
        <f t="shared" si="3"/>
        <v>6-10 years</v>
      </c>
      <c r="AF113" s="14">
        <v>7</v>
      </c>
      <c r="AG113" s="14">
        <v>0</v>
      </c>
      <c r="AH113" s="14">
        <v>6</v>
      </c>
    </row>
    <row r="114" spans="1:34" x14ac:dyDescent="0.3">
      <c r="A114" s="14">
        <v>54</v>
      </c>
      <c r="B114" s="17" t="s">
        <v>43</v>
      </c>
      <c r="C114" t="s">
        <v>55</v>
      </c>
      <c r="D114">
        <v>142</v>
      </c>
      <c r="E114" s="17" t="s">
        <v>61</v>
      </c>
      <c r="F114">
        <v>26</v>
      </c>
      <c r="G114">
        <v>3</v>
      </c>
      <c r="H114" t="s">
        <v>61</v>
      </c>
      <c r="I114">
        <v>148</v>
      </c>
      <c r="J114">
        <v>4</v>
      </c>
      <c r="K114" s="17" t="s">
        <v>39</v>
      </c>
      <c r="L114">
        <v>30</v>
      </c>
      <c r="M114">
        <v>4</v>
      </c>
      <c r="N114">
        <v>4</v>
      </c>
      <c r="O114" s="17" t="s">
        <v>56</v>
      </c>
      <c r="P114" s="14">
        <v>4</v>
      </c>
      <c r="Q114" t="s">
        <v>41</v>
      </c>
      <c r="R114" s="14">
        <v>17328</v>
      </c>
      <c r="S114" s="17" t="str">
        <f t="shared" si="2"/>
        <v>high</v>
      </c>
      <c r="T114">
        <v>13871</v>
      </c>
      <c r="U114">
        <v>2</v>
      </c>
      <c r="V114" s="17" t="s">
        <v>35</v>
      </c>
      <c r="W114">
        <v>12</v>
      </c>
      <c r="X114">
        <v>3</v>
      </c>
      <c r="Y114">
        <v>3</v>
      </c>
      <c r="Z114">
        <v>0</v>
      </c>
      <c r="AA114">
        <v>23</v>
      </c>
      <c r="AB114">
        <v>3</v>
      </c>
      <c r="AC114">
        <v>3</v>
      </c>
      <c r="AD114" s="14">
        <v>5</v>
      </c>
      <c r="AE114" t="str">
        <f t="shared" si="3"/>
        <v>3-5 years</v>
      </c>
      <c r="AF114" s="14">
        <v>3</v>
      </c>
      <c r="AG114" s="14">
        <v>4</v>
      </c>
      <c r="AH114" s="14">
        <v>4</v>
      </c>
    </row>
    <row r="115" spans="1:34" x14ac:dyDescent="0.3">
      <c r="A115" s="14">
        <v>24</v>
      </c>
      <c r="B115" s="17" t="s">
        <v>43</v>
      </c>
      <c r="C115" t="s">
        <v>36</v>
      </c>
      <c r="D115">
        <v>1127</v>
      </c>
      <c r="E115" s="17" t="s">
        <v>45</v>
      </c>
      <c r="F115">
        <v>18</v>
      </c>
      <c r="G115">
        <v>1</v>
      </c>
      <c r="H115" t="s">
        <v>38</v>
      </c>
      <c r="I115">
        <v>150</v>
      </c>
      <c r="J115">
        <v>2</v>
      </c>
      <c r="K115" s="17" t="s">
        <v>46</v>
      </c>
      <c r="L115">
        <v>52</v>
      </c>
      <c r="M115">
        <v>3</v>
      </c>
      <c r="N115">
        <v>1</v>
      </c>
      <c r="O115" s="17" t="s">
        <v>50</v>
      </c>
      <c r="P115" s="14">
        <v>3</v>
      </c>
      <c r="Q115" t="s">
        <v>48</v>
      </c>
      <c r="R115" s="14">
        <v>2774</v>
      </c>
      <c r="S115" s="17" t="str">
        <f t="shared" si="2"/>
        <v>low</v>
      </c>
      <c r="T115">
        <v>13257</v>
      </c>
      <c r="U115">
        <v>0</v>
      </c>
      <c r="V115" s="17" t="s">
        <v>43</v>
      </c>
      <c r="W115">
        <v>12</v>
      </c>
      <c r="X115">
        <v>3</v>
      </c>
      <c r="Y115">
        <v>3</v>
      </c>
      <c r="Z115">
        <v>1</v>
      </c>
      <c r="AA115">
        <v>6</v>
      </c>
      <c r="AB115">
        <v>2</v>
      </c>
      <c r="AC115">
        <v>3</v>
      </c>
      <c r="AD115" s="14">
        <v>5</v>
      </c>
      <c r="AE115" t="str">
        <f t="shared" si="3"/>
        <v>3-5 years</v>
      </c>
      <c r="AF115" s="14">
        <v>3</v>
      </c>
      <c r="AG115" s="14">
        <v>1</v>
      </c>
      <c r="AH115" s="14">
        <v>2</v>
      </c>
    </row>
    <row r="116" spans="1:34" x14ac:dyDescent="0.3">
      <c r="A116" s="14">
        <v>34</v>
      </c>
      <c r="B116" s="17" t="s">
        <v>43</v>
      </c>
      <c r="C116" t="s">
        <v>36</v>
      </c>
      <c r="D116">
        <v>1031</v>
      </c>
      <c r="E116" s="17" t="s">
        <v>45</v>
      </c>
      <c r="F116">
        <v>6</v>
      </c>
      <c r="G116">
        <v>4</v>
      </c>
      <c r="H116" t="s">
        <v>38</v>
      </c>
      <c r="I116">
        <v>151</v>
      </c>
      <c r="J116">
        <v>3</v>
      </c>
      <c r="K116" s="17" t="s">
        <v>39</v>
      </c>
      <c r="L116">
        <v>45</v>
      </c>
      <c r="M116">
        <v>2</v>
      </c>
      <c r="N116">
        <v>2</v>
      </c>
      <c r="O116" s="17" t="s">
        <v>47</v>
      </c>
      <c r="P116" s="14">
        <v>2</v>
      </c>
      <c r="Q116" t="s">
        <v>52</v>
      </c>
      <c r="R116" s="14">
        <v>4505</v>
      </c>
      <c r="S116" s="17" t="str">
        <f t="shared" si="2"/>
        <v>medium</v>
      </c>
      <c r="T116">
        <v>15000</v>
      </c>
      <c r="U116">
        <v>6</v>
      </c>
      <c r="V116" s="17" t="s">
        <v>43</v>
      </c>
      <c r="W116">
        <v>15</v>
      </c>
      <c r="X116">
        <v>3</v>
      </c>
      <c r="Y116">
        <v>3</v>
      </c>
      <c r="Z116">
        <v>1</v>
      </c>
      <c r="AA116">
        <v>12</v>
      </c>
      <c r="AB116">
        <v>3</v>
      </c>
      <c r="AC116">
        <v>3</v>
      </c>
      <c r="AD116" s="14">
        <v>1</v>
      </c>
      <c r="AE116" t="str">
        <f t="shared" si="3"/>
        <v>0-2 years</v>
      </c>
      <c r="AF116" s="14">
        <v>0</v>
      </c>
      <c r="AG116" s="14">
        <v>0</v>
      </c>
      <c r="AH116" s="14">
        <v>0</v>
      </c>
    </row>
    <row r="117" spans="1:34" x14ac:dyDescent="0.3">
      <c r="A117" s="14">
        <v>37</v>
      </c>
      <c r="B117" s="17" t="s">
        <v>43</v>
      </c>
      <c r="C117" t="s">
        <v>36</v>
      </c>
      <c r="D117">
        <v>1189</v>
      </c>
      <c r="E117" s="17" t="s">
        <v>37</v>
      </c>
      <c r="F117">
        <v>3</v>
      </c>
      <c r="G117">
        <v>3</v>
      </c>
      <c r="H117" t="s">
        <v>38</v>
      </c>
      <c r="I117">
        <v>152</v>
      </c>
      <c r="J117">
        <v>3</v>
      </c>
      <c r="K117" s="17" t="s">
        <v>46</v>
      </c>
      <c r="L117">
        <v>87</v>
      </c>
      <c r="M117">
        <v>3</v>
      </c>
      <c r="N117">
        <v>3</v>
      </c>
      <c r="O117" s="17" t="s">
        <v>40</v>
      </c>
      <c r="P117" s="14">
        <v>4</v>
      </c>
      <c r="Q117" t="s">
        <v>41</v>
      </c>
      <c r="R117" s="14">
        <v>7428</v>
      </c>
      <c r="S117" s="17" t="str">
        <f t="shared" si="2"/>
        <v>high</v>
      </c>
      <c r="T117">
        <v>14506</v>
      </c>
      <c r="U117">
        <v>2</v>
      </c>
      <c r="V117" s="17" t="s">
        <v>43</v>
      </c>
      <c r="W117">
        <v>12</v>
      </c>
      <c r="X117">
        <v>3</v>
      </c>
      <c r="Y117">
        <v>1</v>
      </c>
      <c r="Z117">
        <v>0</v>
      </c>
      <c r="AA117">
        <v>12</v>
      </c>
      <c r="AB117">
        <v>3</v>
      </c>
      <c r="AC117">
        <v>3</v>
      </c>
      <c r="AD117" s="14">
        <v>5</v>
      </c>
      <c r="AE117" t="str">
        <f t="shared" si="3"/>
        <v>3-5 years</v>
      </c>
      <c r="AF117" s="14">
        <v>3</v>
      </c>
      <c r="AG117" s="14">
        <v>1</v>
      </c>
      <c r="AH117" s="14">
        <v>3</v>
      </c>
    </row>
    <row r="118" spans="1:34" x14ac:dyDescent="0.3">
      <c r="A118" s="14">
        <v>34</v>
      </c>
      <c r="B118" s="17" t="s">
        <v>43</v>
      </c>
      <c r="C118" t="s">
        <v>36</v>
      </c>
      <c r="D118">
        <v>1354</v>
      </c>
      <c r="E118" s="17" t="s">
        <v>45</v>
      </c>
      <c r="F118">
        <v>5</v>
      </c>
      <c r="G118">
        <v>3</v>
      </c>
      <c r="H118" t="s">
        <v>51</v>
      </c>
      <c r="I118">
        <v>153</v>
      </c>
      <c r="J118">
        <v>3</v>
      </c>
      <c r="K118" s="17" t="s">
        <v>39</v>
      </c>
      <c r="L118">
        <v>45</v>
      </c>
      <c r="M118">
        <v>2</v>
      </c>
      <c r="N118">
        <v>3</v>
      </c>
      <c r="O118" s="17" t="s">
        <v>56</v>
      </c>
      <c r="P118" s="14">
        <v>1</v>
      </c>
      <c r="Q118" t="s">
        <v>41</v>
      </c>
      <c r="R118" s="14">
        <v>11631</v>
      </c>
      <c r="S118" s="17" t="str">
        <f t="shared" si="2"/>
        <v>high</v>
      </c>
      <c r="T118">
        <v>5615</v>
      </c>
      <c r="U118">
        <v>2</v>
      </c>
      <c r="V118" s="17" t="s">
        <v>43</v>
      </c>
      <c r="W118">
        <v>12</v>
      </c>
      <c r="X118">
        <v>3</v>
      </c>
      <c r="Y118">
        <v>4</v>
      </c>
      <c r="Z118">
        <v>0</v>
      </c>
      <c r="AA118">
        <v>14</v>
      </c>
      <c r="AB118">
        <v>6</v>
      </c>
      <c r="AC118">
        <v>3</v>
      </c>
      <c r="AD118" s="14">
        <v>11</v>
      </c>
      <c r="AE118" t="str">
        <f t="shared" si="3"/>
        <v>10+ years</v>
      </c>
      <c r="AF118" s="14">
        <v>10</v>
      </c>
      <c r="AG118" s="14">
        <v>5</v>
      </c>
      <c r="AH118" s="14">
        <v>8</v>
      </c>
    </row>
    <row r="119" spans="1:34" x14ac:dyDescent="0.3">
      <c r="A119" s="14">
        <v>36</v>
      </c>
      <c r="B119" s="17" t="s">
        <v>43</v>
      </c>
      <c r="C119" t="s">
        <v>44</v>
      </c>
      <c r="D119">
        <v>1467</v>
      </c>
      <c r="E119" s="17" t="s">
        <v>37</v>
      </c>
      <c r="F119">
        <v>11</v>
      </c>
      <c r="G119">
        <v>2</v>
      </c>
      <c r="H119" t="s">
        <v>60</v>
      </c>
      <c r="I119">
        <v>154</v>
      </c>
      <c r="J119">
        <v>2</v>
      </c>
      <c r="K119" s="17" t="s">
        <v>39</v>
      </c>
      <c r="L119">
        <v>92</v>
      </c>
      <c r="M119">
        <v>3</v>
      </c>
      <c r="N119">
        <v>3</v>
      </c>
      <c r="O119" s="17" t="s">
        <v>40</v>
      </c>
      <c r="P119" s="14">
        <v>4</v>
      </c>
      <c r="Q119" t="s">
        <v>48</v>
      </c>
      <c r="R119" s="14">
        <v>9738</v>
      </c>
      <c r="S119" s="17" t="str">
        <f t="shared" si="2"/>
        <v>high</v>
      </c>
      <c r="T119">
        <v>22952</v>
      </c>
      <c r="U119">
        <v>0</v>
      </c>
      <c r="V119" s="17" t="s">
        <v>43</v>
      </c>
      <c r="W119">
        <v>14</v>
      </c>
      <c r="X119">
        <v>3</v>
      </c>
      <c r="Y119">
        <v>3</v>
      </c>
      <c r="Z119">
        <v>1</v>
      </c>
      <c r="AA119">
        <v>10</v>
      </c>
      <c r="AB119">
        <v>6</v>
      </c>
      <c r="AC119">
        <v>3</v>
      </c>
      <c r="AD119" s="14">
        <v>9</v>
      </c>
      <c r="AE119" t="str">
        <f t="shared" si="3"/>
        <v>6-10 years</v>
      </c>
      <c r="AF119" s="14">
        <v>7</v>
      </c>
      <c r="AG119" s="14">
        <v>2</v>
      </c>
      <c r="AH119" s="14">
        <v>8</v>
      </c>
    </row>
    <row r="120" spans="1:34" x14ac:dyDescent="0.3">
      <c r="A120" s="14">
        <v>36</v>
      </c>
      <c r="B120" s="17" t="s">
        <v>43</v>
      </c>
      <c r="C120" t="s">
        <v>36</v>
      </c>
      <c r="D120">
        <v>922</v>
      </c>
      <c r="E120" s="17" t="s">
        <v>45</v>
      </c>
      <c r="F120">
        <v>3</v>
      </c>
      <c r="G120">
        <v>2</v>
      </c>
      <c r="H120" t="s">
        <v>38</v>
      </c>
      <c r="I120">
        <v>155</v>
      </c>
      <c r="J120">
        <v>1</v>
      </c>
      <c r="K120" s="17" t="s">
        <v>39</v>
      </c>
      <c r="L120">
        <v>39</v>
      </c>
      <c r="M120">
        <v>3</v>
      </c>
      <c r="N120">
        <v>1</v>
      </c>
      <c r="O120" s="17" t="s">
        <v>50</v>
      </c>
      <c r="P120" s="14">
        <v>4</v>
      </c>
      <c r="Q120" t="s">
        <v>52</v>
      </c>
      <c r="R120" s="14">
        <v>2835</v>
      </c>
      <c r="S120" s="17" t="str">
        <f t="shared" si="2"/>
        <v>low</v>
      </c>
      <c r="T120">
        <v>2561</v>
      </c>
      <c r="U120">
        <v>5</v>
      </c>
      <c r="V120" s="17" t="s">
        <v>43</v>
      </c>
      <c r="W120">
        <v>22</v>
      </c>
      <c r="X120">
        <v>4</v>
      </c>
      <c r="Y120">
        <v>1</v>
      </c>
      <c r="Z120">
        <v>1</v>
      </c>
      <c r="AA120">
        <v>7</v>
      </c>
      <c r="AB120">
        <v>2</v>
      </c>
      <c r="AC120">
        <v>3</v>
      </c>
      <c r="AD120" s="14">
        <v>1</v>
      </c>
      <c r="AE120" t="str">
        <f t="shared" si="3"/>
        <v>0-2 years</v>
      </c>
      <c r="AF120" s="14">
        <v>0</v>
      </c>
      <c r="AG120" s="14">
        <v>0</v>
      </c>
      <c r="AH120" s="14">
        <v>0</v>
      </c>
    </row>
    <row r="121" spans="1:34" x14ac:dyDescent="0.3">
      <c r="A121" s="14">
        <v>43</v>
      </c>
      <c r="B121" s="17" t="s">
        <v>43</v>
      </c>
      <c r="C121" t="s">
        <v>44</v>
      </c>
      <c r="D121">
        <v>394</v>
      </c>
      <c r="E121" s="17" t="s">
        <v>37</v>
      </c>
      <c r="F121">
        <v>26</v>
      </c>
      <c r="G121">
        <v>2</v>
      </c>
      <c r="H121" t="s">
        <v>38</v>
      </c>
      <c r="I121">
        <v>158</v>
      </c>
      <c r="J121">
        <v>3</v>
      </c>
      <c r="K121" s="17" t="s">
        <v>46</v>
      </c>
      <c r="L121">
        <v>92</v>
      </c>
      <c r="M121">
        <v>3</v>
      </c>
      <c r="N121">
        <v>4</v>
      </c>
      <c r="O121" s="17" t="s">
        <v>56</v>
      </c>
      <c r="P121" s="14">
        <v>4</v>
      </c>
      <c r="Q121" t="s">
        <v>48</v>
      </c>
      <c r="R121" s="14">
        <v>16959</v>
      </c>
      <c r="S121" s="17" t="str">
        <f t="shared" si="2"/>
        <v>high</v>
      </c>
      <c r="T121">
        <v>19494</v>
      </c>
      <c r="U121">
        <v>1</v>
      </c>
      <c r="V121" s="17" t="s">
        <v>35</v>
      </c>
      <c r="W121">
        <v>12</v>
      </c>
      <c r="X121">
        <v>3</v>
      </c>
      <c r="Y121">
        <v>4</v>
      </c>
      <c r="Z121">
        <v>2</v>
      </c>
      <c r="AA121">
        <v>25</v>
      </c>
      <c r="AB121">
        <v>3</v>
      </c>
      <c r="AC121">
        <v>4</v>
      </c>
      <c r="AD121" s="14">
        <v>25</v>
      </c>
      <c r="AE121" t="str">
        <f t="shared" si="3"/>
        <v>10+ years</v>
      </c>
      <c r="AF121" s="14">
        <v>12</v>
      </c>
      <c r="AG121" s="14">
        <v>4</v>
      </c>
      <c r="AH121" s="14">
        <v>12</v>
      </c>
    </row>
    <row r="122" spans="1:34" x14ac:dyDescent="0.3">
      <c r="A122" s="14">
        <v>30</v>
      </c>
      <c r="B122" s="17" t="s">
        <v>43</v>
      </c>
      <c r="C122" t="s">
        <v>44</v>
      </c>
      <c r="D122">
        <v>1312</v>
      </c>
      <c r="E122" s="17" t="s">
        <v>45</v>
      </c>
      <c r="F122">
        <v>23</v>
      </c>
      <c r="G122">
        <v>3</v>
      </c>
      <c r="H122" t="s">
        <v>38</v>
      </c>
      <c r="I122">
        <v>159</v>
      </c>
      <c r="J122">
        <v>1</v>
      </c>
      <c r="K122" s="17" t="s">
        <v>46</v>
      </c>
      <c r="L122">
        <v>96</v>
      </c>
      <c r="M122">
        <v>1</v>
      </c>
      <c r="N122">
        <v>1</v>
      </c>
      <c r="O122" s="17" t="s">
        <v>47</v>
      </c>
      <c r="P122" s="14">
        <v>3</v>
      </c>
      <c r="Q122" t="s">
        <v>52</v>
      </c>
      <c r="R122" s="14">
        <v>2613</v>
      </c>
      <c r="S122" s="17" t="str">
        <f t="shared" si="2"/>
        <v>low</v>
      </c>
      <c r="T122">
        <v>22310</v>
      </c>
      <c r="U122">
        <v>1</v>
      </c>
      <c r="V122" s="17" t="s">
        <v>43</v>
      </c>
      <c r="W122">
        <v>25</v>
      </c>
      <c r="X122">
        <v>4</v>
      </c>
      <c r="Y122">
        <v>3</v>
      </c>
      <c r="Z122">
        <v>3</v>
      </c>
      <c r="AA122">
        <v>10</v>
      </c>
      <c r="AB122">
        <v>2</v>
      </c>
      <c r="AC122">
        <v>2</v>
      </c>
      <c r="AD122" s="14">
        <v>10</v>
      </c>
      <c r="AE122" t="str">
        <f t="shared" si="3"/>
        <v>6-10 years</v>
      </c>
      <c r="AF122" s="14">
        <v>7</v>
      </c>
      <c r="AG122" s="14">
        <v>0</v>
      </c>
      <c r="AH122" s="14">
        <v>9</v>
      </c>
    </row>
    <row r="123" spans="1:34" x14ac:dyDescent="0.3">
      <c r="A123" s="14">
        <v>33</v>
      </c>
      <c r="B123" s="17" t="s">
        <v>43</v>
      </c>
      <c r="C123" t="s">
        <v>55</v>
      </c>
      <c r="D123">
        <v>750</v>
      </c>
      <c r="E123" s="17" t="s">
        <v>37</v>
      </c>
      <c r="F123">
        <v>22</v>
      </c>
      <c r="G123">
        <v>2</v>
      </c>
      <c r="H123" t="s">
        <v>59</v>
      </c>
      <c r="I123">
        <v>160</v>
      </c>
      <c r="J123">
        <v>3</v>
      </c>
      <c r="K123" s="17" t="s">
        <v>46</v>
      </c>
      <c r="L123">
        <v>95</v>
      </c>
      <c r="M123">
        <v>3</v>
      </c>
      <c r="N123">
        <v>2</v>
      </c>
      <c r="O123" s="17" t="s">
        <v>40</v>
      </c>
      <c r="P123" s="14">
        <v>2</v>
      </c>
      <c r="Q123" t="s">
        <v>48</v>
      </c>
      <c r="R123" s="14">
        <v>6146</v>
      </c>
      <c r="S123" s="17" t="str">
        <f t="shared" si="2"/>
        <v>medium</v>
      </c>
      <c r="T123">
        <v>15480</v>
      </c>
      <c r="U123">
        <v>0</v>
      </c>
      <c r="V123" s="17" t="s">
        <v>43</v>
      </c>
      <c r="W123">
        <v>13</v>
      </c>
      <c r="X123">
        <v>3</v>
      </c>
      <c r="Y123">
        <v>1</v>
      </c>
      <c r="Z123">
        <v>1</v>
      </c>
      <c r="AA123">
        <v>8</v>
      </c>
      <c r="AB123">
        <v>2</v>
      </c>
      <c r="AC123">
        <v>4</v>
      </c>
      <c r="AD123" s="14">
        <v>7</v>
      </c>
      <c r="AE123" t="str">
        <f t="shared" si="3"/>
        <v>6-10 years</v>
      </c>
      <c r="AF123" s="14">
        <v>7</v>
      </c>
      <c r="AG123" s="14">
        <v>0</v>
      </c>
      <c r="AH123" s="14">
        <v>7</v>
      </c>
    </row>
    <row r="124" spans="1:34" x14ac:dyDescent="0.3">
      <c r="A124" s="14">
        <v>56</v>
      </c>
      <c r="B124" s="17" t="s">
        <v>35</v>
      </c>
      <c r="C124" t="s">
        <v>36</v>
      </c>
      <c r="D124">
        <v>441</v>
      </c>
      <c r="E124" s="17" t="s">
        <v>45</v>
      </c>
      <c r="F124">
        <v>14</v>
      </c>
      <c r="G124">
        <v>4</v>
      </c>
      <c r="H124" t="s">
        <v>38</v>
      </c>
      <c r="I124">
        <v>161</v>
      </c>
      <c r="J124">
        <v>2</v>
      </c>
      <c r="K124" s="17" t="s">
        <v>39</v>
      </c>
      <c r="L124">
        <v>72</v>
      </c>
      <c r="M124">
        <v>3</v>
      </c>
      <c r="N124">
        <v>1</v>
      </c>
      <c r="O124" s="17" t="s">
        <v>47</v>
      </c>
      <c r="P124" s="14">
        <v>2</v>
      </c>
      <c r="Q124" t="s">
        <v>48</v>
      </c>
      <c r="R124" s="14">
        <v>4963</v>
      </c>
      <c r="S124" s="17" t="str">
        <f t="shared" si="2"/>
        <v>medium</v>
      </c>
      <c r="T124">
        <v>4510</v>
      </c>
      <c r="U124">
        <v>9</v>
      </c>
      <c r="V124" s="17" t="s">
        <v>35</v>
      </c>
      <c r="W124">
        <v>18</v>
      </c>
      <c r="X124">
        <v>3</v>
      </c>
      <c r="Y124">
        <v>1</v>
      </c>
      <c r="Z124">
        <v>3</v>
      </c>
      <c r="AA124">
        <v>7</v>
      </c>
      <c r="AB124">
        <v>2</v>
      </c>
      <c r="AC124">
        <v>3</v>
      </c>
      <c r="AD124" s="14">
        <v>5</v>
      </c>
      <c r="AE124" t="str">
        <f t="shared" si="3"/>
        <v>3-5 years</v>
      </c>
      <c r="AF124" s="14">
        <v>4</v>
      </c>
      <c r="AG124" s="14">
        <v>4</v>
      </c>
      <c r="AH124" s="14">
        <v>3</v>
      </c>
    </row>
    <row r="125" spans="1:34" x14ac:dyDescent="0.3">
      <c r="A125" s="14">
        <v>51</v>
      </c>
      <c r="B125" s="17" t="s">
        <v>43</v>
      </c>
      <c r="C125" t="s">
        <v>36</v>
      </c>
      <c r="D125">
        <v>684</v>
      </c>
      <c r="E125" s="17" t="s">
        <v>45</v>
      </c>
      <c r="F125">
        <v>6</v>
      </c>
      <c r="G125">
        <v>3</v>
      </c>
      <c r="H125" t="s">
        <v>38</v>
      </c>
      <c r="I125">
        <v>162</v>
      </c>
      <c r="J125">
        <v>1</v>
      </c>
      <c r="K125" s="17" t="s">
        <v>46</v>
      </c>
      <c r="L125">
        <v>51</v>
      </c>
      <c r="M125">
        <v>3</v>
      </c>
      <c r="N125">
        <v>5</v>
      </c>
      <c r="O125" s="17" t="s">
        <v>58</v>
      </c>
      <c r="P125" s="14">
        <v>3</v>
      </c>
      <c r="Q125" t="s">
        <v>41</v>
      </c>
      <c r="R125" s="14">
        <v>19537</v>
      </c>
      <c r="S125" s="17" t="str">
        <f t="shared" si="2"/>
        <v>high</v>
      </c>
      <c r="T125">
        <v>6462</v>
      </c>
      <c r="U125">
        <v>7</v>
      </c>
      <c r="V125" s="17" t="s">
        <v>43</v>
      </c>
      <c r="W125">
        <v>13</v>
      </c>
      <c r="X125">
        <v>3</v>
      </c>
      <c r="Y125">
        <v>3</v>
      </c>
      <c r="Z125">
        <v>0</v>
      </c>
      <c r="AA125">
        <v>23</v>
      </c>
      <c r="AB125">
        <v>5</v>
      </c>
      <c r="AC125">
        <v>3</v>
      </c>
      <c r="AD125" s="14">
        <v>20</v>
      </c>
      <c r="AE125" t="str">
        <f t="shared" si="3"/>
        <v>10+ years</v>
      </c>
      <c r="AF125" s="14">
        <v>18</v>
      </c>
      <c r="AG125" s="14">
        <v>15</v>
      </c>
      <c r="AH125" s="14">
        <v>15</v>
      </c>
    </row>
    <row r="126" spans="1:34" x14ac:dyDescent="0.3">
      <c r="A126" s="14">
        <v>31</v>
      </c>
      <c r="B126" s="17" t="s">
        <v>35</v>
      </c>
      <c r="C126" t="s">
        <v>36</v>
      </c>
      <c r="D126">
        <v>249</v>
      </c>
      <c r="E126" s="17" t="s">
        <v>37</v>
      </c>
      <c r="F126">
        <v>6</v>
      </c>
      <c r="G126">
        <v>4</v>
      </c>
      <c r="H126" t="s">
        <v>38</v>
      </c>
      <c r="I126">
        <v>163</v>
      </c>
      <c r="J126">
        <v>2</v>
      </c>
      <c r="K126" s="17" t="s">
        <v>46</v>
      </c>
      <c r="L126">
        <v>76</v>
      </c>
      <c r="M126">
        <v>1</v>
      </c>
      <c r="N126">
        <v>2</v>
      </c>
      <c r="O126" s="17" t="s">
        <v>40</v>
      </c>
      <c r="P126" s="14">
        <v>3</v>
      </c>
      <c r="Q126" t="s">
        <v>48</v>
      </c>
      <c r="R126" s="14">
        <v>6172</v>
      </c>
      <c r="S126" s="17" t="str">
        <f t="shared" si="2"/>
        <v>medium</v>
      </c>
      <c r="T126">
        <v>20739</v>
      </c>
      <c r="U126">
        <v>4</v>
      </c>
      <c r="V126" s="17" t="s">
        <v>35</v>
      </c>
      <c r="W126">
        <v>18</v>
      </c>
      <c r="X126">
        <v>3</v>
      </c>
      <c r="Y126">
        <v>2</v>
      </c>
      <c r="Z126">
        <v>0</v>
      </c>
      <c r="AA126">
        <v>12</v>
      </c>
      <c r="AB126">
        <v>3</v>
      </c>
      <c r="AC126">
        <v>2</v>
      </c>
      <c r="AD126" s="14">
        <v>7</v>
      </c>
      <c r="AE126" t="str">
        <f t="shared" si="3"/>
        <v>6-10 years</v>
      </c>
      <c r="AF126" s="14">
        <v>7</v>
      </c>
      <c r="AG126" s="14">
        <v>7</v>
      </c>
      <c r="AH126" s="14">
        <v>7</v>
      </c>
    </row>
    <row r="127" spans="1:34" x14ac:dyDescent="0.3">
      <c r="A127" s="14">
        <v>26</v>
      </c>
      <c r="B127" s="17" t="s">
        <v>43</v>
      </c>
      <c r="C127" t="s">
        <v>36</v>
      </c>
      <c r="D127">
        <v>841</v>
      </c>
      <c r="E127" s="17" t="s">
        <v>45</v>
      </c>
      <c r="F127">
        <v>6</v>
      </c>
      <c r="G127">
        <v>3</v>
      </c>
      <c r="H127" t="s">
        <v>49</v>
      </c>
      <c r="I127">
        <v>164</v>
      </c>
      <c r="J127">
        <v>3</v>
      </c>
      <c r="K127" s="17" t="s">
        <v>39</v>
      </c>
      <c r="L127">
        <v>46</v>
      </c>
      <c r="M127">
        <v>2</v>
      </c>
      <c r="N127">
        <v>1</v>
      </c>
      <c r="O127" s="17" t="s">
        <v>47</v>
      </c>
      <c r="P127" s="14">
        <v>2</v>
      </c>
      <c r="Q127" t="s">
        <v>48</v>
      </c>
      <c r="R127" s="14">
        <v>2368</v>
      </c>
      <c r="S127" s="17" t="str">
        <f t="shared" si="2"/>
        <v>low</v>
      </c>
      <c r="T127">
        <v>23300</v>
      </c>
      <c r="U127">
        <v>1</v>
      </c>
      <c r="V127" s="17" t="s">
        <v>43</v>
      </c>
      <c r="W127">
        <v>19</v>
      </c>
      <c r="X127">
        <v>3</v>
      </c>
      <c r="Y127">
        <v>3</v>
      </c>
      <c r="Z127">
        <v>0</v>
      </c>
      <c r="AA127">
        <v>5</v>
      </c>
      <c r="AB127">
        <v>3</v>
      </c>
      <c r="AC127">
        <v>2</v>
      </c>
      <c r="AD127" s="14">
        <v>5</v>
      </c>
      <c r="AE127" t="str">
        <f t="shared" si="3"/>
        <v>3-5 years</v>
      </c>
      <c r="AF127" s="14">
        <v>4</v>
      </c>
      <c r="AG127" s="14">
        <v>4</v>
      </c>
      <c r="AH127" s="14">
        <v>3</v>
      </c>
    </row>
    <row r="128" spans="1:34" x14ac:dyDescent="0.3">
      <c r="A128" s="14">
        <v>58</v>
      </c>
      <c r="B128" s="17" t="s">
        <v>35</v>
      </c>
      <c r="C128" t="s">
        <v>36</v>
      </c>
      <c r="D128">
        <v>147</v>
      </c>
      <c r="E128" s="17" t="s">
        <v>45</v>
      </c>
      <c r="F128">
        <v>23</v>
      </c>
      <c r="G128">
        <v>4</v>
      </c>
      <c r="H128" t="s">
        <v>51</v>
      </c>
      <c r="I128">
        <v>165</v>
      </c>
      <c r="J128">
        <v>4</v>
      </c>
      <c r="K128" s="17" t="s">
        <v>39</v>
      </c>
      <c r="L128">
        <v>94</v>
      </c>
      <c r="M128">
        <v>3</v>
      </c>
      <c r="N128">
        <v>3</v>
      </c>
      <c r="O128" s="17" t="s">
        <v>54</v>
      </c>
      <c r="P128" s="14">
        <v>4</v>
      </c>
      <c r="Q128" t="s">
        <v>48</v>
      </c>
      <c r="R128" s="14">
        <v>10312</v>
      </c>
      <c r="S128" s="17" t="str">
        <f t="shared" si="2"/>
        <v>high</v>
      </c>
      <c r="T128">
        <v>3465</v>
      </c>
      <c r="U128">
        <v>1</v>
      </c>
      <c r="V128" s="17" t="s">
        <v>43</v>
      </c>
      <c r="W128">
        <v>12</v>
      </c>
      <c r="X128">
        <v>3</v>
      </c>
      <c r="Y128">
        <v>4</v>
      </c>
      <c r="Z128">
        <v>1</v>
      </c>
      <c r="AA128">
        <v>40</v>
      </c>
      <c r="AB128">
        <v>3</v>
      </c>
      <c r="AC128">
        <v>2</v>
      </c>
      <c r="AD128" s="14">
        <v>40</v>
      </c>
      <c r="AE128" t="str">
        <f t="shared" si="3"/>
        <v>10+ years</v>
      </c>
      <c r="AF128" s="14">
        <v>10</v>
      </c>
      <c r="AG128" s="14">
        <v>15</v>
      </c>
      <c r="AH128" s="14">
        <v>6</v>
      </c>
    </row>
    <row r="129" spans="1:34" x14ac:dyDescent="0.3">
      <c r="A129" s="14">
        <v>19</v>
      </c>
      <c r="B129" s="17" t="s">
        <v>35</v>
      </c>
      <c r="C129" t="s">
        <v>36</v>
      </c>
      <c r="D129">
        <v>528</v>
      </c>
      <c r="E129" s="17" t="s">
        <v>37</v>
      </c>
      <c r="F129">
        <v>22</v>
      </c>
      <c r="G129">
        <v>1</v>
      </c>
      <c r="H129" t="s">
        <v>59</v>
      </c>
      <c r="I129">
        <v>167</v>
      </c>
      <c r="J129">
        <v>4</v>
      </c>
      <c r="K129" s="17" t="s">
        <v>46</v>
      </c>
      <c r="L129">
        <v>50</v>
      </c>
      <c r="M129">
        <v>3</v>
      </c>
      <c r="N129">
        <v>1</v>
      </c>
      <c r="O129" s="17" t="s">
        <v>57</v>
      </c>
      <c r="P129" s="14">
        <v>3</v>
      </c>
      <c r="Q129" t="s">
        <v>41</v>
      </c>
      <c r="R129" s="14">
        <v>1675</v>
      </c>
      <c r="S129" s="17" t="str">
        <f t="shared" si="2"/>
        <v>low</v>
      </c>
      <c r="T129">
        <v>26820</v>
      </c>
      <c r="U129">
        <v>1</v>
      </c>
      <c r="V129" s="17" t="s">
        <v>35</v>
      </c>
      <c r="W129">
        <v>19</v>
      </c>
      <c r="X129">
        <v>3</v>
      </c>
      <c r="Y129">
        <v>4</v>
      </c>
      <c r="Z129">
        <v>0</v>
      </c>
      <c r="AA129">
        <v>0</v>
      </c>
      <c r="AB129">
        <v>2</v>
      </c>
      <c r="AC129">
        <v>2</v>
      </c>
      <c r="AD129" s="14">
        <v>0</v>
      </c>
      <c r="AE129" t="str">
        <f t="shared" si="3"/>
        <v>0-2 years</v>
      </c>
      <c r="AF129" s="14">
        <v>0</v>
      </c>
      <c r="AG129" s="14">
        <v>0</v>
      </c>
      <c r="AH129" s="14">
        <v>0</v>
      </c>
    </row>
    <row r="130" spans="1:34" x14ac:dyDescent="0.3">
      <c r="A130" s="14">
        <v>22</v>
      </c>
      <c r="B130" s="17" t="s">
        <v>43</v>
      </c>
      <c r="C130" t="s">
        <v>36</v>
      </c>
      <c r="D130">
        <v>594</v>
      </c>
      <c r="E130" s="17" t="s">
        <v>45</v>
      </c>
      <c r="F130">
        <v>2</v>
      </c>
      <c r="G130">
        <v>1</v>
      </c>
      <c r="H130" t="s">
        <v>60</v>
      </c>
      <c r="I130">
        <v>169</v>
      </c>
      <c r="J130">
        <v>3</v>
      </c>
      <c r="K130" s="17" t="s">
        <v>46</v>
      </c>
      <c r="L130">
        <v>100</v>
      </c>
      <c r="M130">
        <v>3</v>
      </c>
      <c r="N130">
        <v>1</v>
      </c>
      <c r="O130" s="17" t="s">
        <v>50</v>
      </c>
      <c r="P130" s="14">
        <v>4</v>
      </c>
      <c r="Q130" t="s">
        <v>48</v>
      </c>
      <c r="R130" s="14">
        <v>2523</v>
      </c>
      <c r="S130" s="17" t="str">
        <f t="shared" ref="S130:S193" si="4">IF(R130&lt;=3000, "low",IF(R130&lt;=7000,"medium","high"))</f>
        <v>low</v>
      </c>
      <c r="T130">
        <v>19299</v>
      </c>
      <c r="U130">
        <v>0</v>
      </c>
      <c r="V130" s="17" t="s">
        <v>43</v>
      </c>
      <c r="W130">
        <v>14</v>
      </c>
      <c r="X130">
        <v>3</v>
      </c>
      <c r="Y130">
        <v>3</v>
      </c>
      <c r="Z130">
        <v>1</v>
      </c>
      <c r="AA130">
        <v>3</v>
      </c>
      <c r="AB130">
        <v>2</v>
      </c>
      <c r="AC130">
        <v>3</v>
      </c>
      <c r="AD130" s="14">
        <v>2</v>
      </c>
      <c r="AE130" t="str">
        <f t="shared" ref="AE130:AE193" si="5">IF(AD130&lt;=2,"0-2 years", IF(AD130&lt;=5,"3-5 years", IF(AD130&lt;=10,"6-10 years","10+ years")))</f>
        <v>0-2 years</v>
      </c>
      <c r="AF130" s="14">
        <v>1</v>
      </c>
      <c r="AG130" s="14">
        <v>2</v>
      </c>
      <c r="AH130" s="14">
        <v>1</v>
      </c>
    </row>
    <row r="131" spans="1:34" x14ac:dyDescent="0.3">
      <c r="A131" s="14">
        <v>49</v>
      </c>
      <c r="B131" s="17" t="s">
        <v>43</v>
      </c>
      <c r="C131" t="s">
        <v>36</v>
      </c>
      <c r="D131">
        <v>470</v>
      </c>
      <c r="E131" s="17" t="s">
        <v>45</v>
      </c>
      <c r="F131">
        <v>20</v>
      </c>
      <c r="G131">
        <v>4</v>
      </c>
      <c r="H131" t="s">
        <v>51</v>
      </c>
      <c r="I131">
        <v>170</v>
      </c>
      <c r="J131">
        <v>3</v>
      </c>
      <c r="K131" s="17" t="s">
        <v>39</v>
      </c>
      <c r="L131">
        <v>96</v>
      </c>
      <c r="M131">
        <v>3</v>
      </c>
      <c r="N131">
        <v>2</v>
      </c>
      <c r="O131" s="17" t="s">
        <v>53</v>
      </c>
      <c r="P131" s="14">
        <v>1</v>
      </c>
      <c r="Q131" t="s">
        <v>48</v>
      </c>
      <c r="R131" s="14">
        <v>6567</v>
      </c>
      <c r="S131" s="17" t="str">
        <f t="shared" si="4"/>
        <v>medium</v>
      </c>
      <c r="T131">
        <v>5549</v>
      </c>
      <c r="U131">
        <v>1</v>
      </c>
      <c r="V131" s="17" t="s">
        <v>43</v>
      </c>
      <c r="W131">
        <v>14</v>
      </c>
      <c r="X131">
        <v>3</v>
      </c>
      <c r="Y131">
        <v>3</v>
      </c>
      <c r="Z131">
        <v>0</v>
      </c>
      <c r="AA131">
        <v>16</v>
      </c>
      <c r="AB131">
        <v>2</v>
      </c>
      <c r="AC131">
        <v>2</v>
      </c>
      <c r="AD131" s="14">
        <v>15</v>
      </c>
      <c r="AE131" t="str">
        <f t="shared" si="5"/>
        <v>10+ years</v>
      </c>
      <c r="AF131" s="14">
        <v>11</v>
      </c>
      <c r="AG131" s="14">
        <v>5</v>
      </c>
      <c r="AH131" s="14">
        <v>11</v>
      </c>
    </row>
    <row r="132" spans="1:34" x14ac:dyDescent="0.3">
      <c r="A132" s="14">
        <v>43</v>
      </c>
      <c r="B132" s="17" t="s">
        <v>43</v>
      </c>
      <c r="C132" t="s">
        <v>44</v>
      </c>
      <c r="D132">
        <v>957</v>
      </c>
      <c r="E132" s="17" t="s">
        <v>45</v>
      </c>
      <c r="F132">
        <v>28</v>
      </c>
      <c r="G132">
        <v>3</v>
      </c>
      <c r="H132" t="s">
        <v>51</v>
      </c>
      <c r="I132">
        <v>171</v>
      </c>
      <c r="J132">
        <v>2</v>
      </c>
      <c r="K132" s="17" t="s">
        <v>39</v>
      </c>
      <c r="L132">
        <v>72</v>
      </c>
      <c r="M132">
        <v>4</v>
      </c>
      <c r="N132">
        <v>1</v>
      </c>
      <c r="O132" s="17" t="s">
        <v>47</v>
      </c>
      <c r="P132" s="14">
        <v>3</v>
      </c>
      <c r="Q132" t="s">
        <v>41</v>
      </c>
      <c r="R132" s="14">
        <v>4739</v>
      </c>
      <c r="S132" s="17" t="str">
        <f t="shared" si="4"/>
        <v>medium</v>
      </c>
      <c r="T132">
        <v>16090</v>
      </c>
      <c r="U132">
        <v>4</v>
      </c>
      <c r="V132" s="17" t="s">
        <v>43</v>
      </c>
      <c r="W132">
        <v>12</v>
      </c>
      <c r="X132">
        <v>3</v>
      </c>
      <c r="Y132">
        <v>4</v>
      </c>
      <c r="Z132">
        <v>0</v>
      </c>
      <c r="AA132">
        <v>18</v>
      </c>
      <c r="AB132">
        <v>2</v>
      </c>
      <c r="AC132">
        <v>3</v>
      </c>
      <c r="AD132" s="14">
        <v>3</v>
      </c>
      <c r="AE132" t="str">
        <f t="shared" si="5"/>
        <v>3-5 years</v>
      </c>
      <c r="AF132" s="14">
        <v>2</v>
      </c>
      <c r="AG132" s="14">
        <v>1</v>
      </c>
      <c r="AH132" s="14">
        <v>2</v>
      </c>
    </row>
    <row r="133" spans="1:34" x14ac:dyDescent="0.3">
      <c r="A133" s="14">
        <v>50</v>
      </c>
      <c r="B133" s="17" t="s">
        <v>43</v>
      </c>
      <c r="C133" t="s">
        <v>44</v>
      </c>
      <c r="D133">
        <v>809</v>
      </c>
      <c r="E133" s="17" t="s">
        <v>37</v>
      </c>
      <c r="F133">
        <v>12</v>
      </c>
      <c r="G133">
        <v>3</v>
      </c>
      <c r="H133" t="s">
        <v>59</v>
      </c>
      <c r="I133">
        <v>174</v>
      </c>
      <c r="J133">
        <v>3</v>
      </c>
      <c r="K133" s="17" t="s">
        <v>39</v>
      </c>
      <c r="L133">
        <v>77</v>
      </c>
      <c r="M133">
        <v>3</v>
      </c>
      <c r="N133">
        <v>3</v>
      </c>
      <c r="O133" s="17" t="s">
        <v>40</v>
      </c>
      <c r="P133" s="14">
        <v>4</v>
      </c>
      <c r="Q133" t="s">
        <v>41</v>
      </c>
      <c r="R133" s="14">
        <v>9208</v>
      </c>
      <c r="S133" s="17" t="str">
        <f t="shared" si="4"/>
        <v>high</v>
      </c>
      <c r="T133">
        <v>6645</v>
      </c>
      <c r="U133">
        <v>4</v>
      </c>
      <c r="V133" s="17" t="s">
        <v>43</v>
      </c>
      <c r="W133">
        <v>11</v>
      </c>
      <c r="X133">
        <v>3</v>
      </c>
      <c r="Y133">
        <v>4</v>
      </c>
      <c r="Z133">
        <v>0</v>
      </c>
      <c r="AA133">
        <v>16</v>
      </c>
      <c r="AB133">
        <v>3</v>
      </c>
      <c r="AC133">
        <v>3</v>
      </c>
      <c r="AD133" s="14">
        <v>2</v>
      </c>
      <c r="AE133" t="str">
        <f t="shared" si="5"/>
        <v>0-2 years</v>
      </c>
      <c r="AF133" s="14">
        <v>2</v>
      </c>
      <c r="AG133" s="14">
        <v>2</v>
      </c>
      <c r="AH133" s="14">
        <v>1</v>
      </c>
    </row>
    <row r="134" spans="1:34" x14ac:dyDescent="0.3">
      <c r="A134" s="14">
        <v>31</v>
      </c>
      <c r="B134" s="17" t="s">
        <v>35</v>
      </c>
      <c r="C134" t="s">
        <v>36</v>
      </c>
      <c r="D134">
        <v>542</v>
      </c>
      <c r="E134" s="17" t="s">
        <v>37</v>
      </c>
      <c r="F134">
        <v>20</v>
      </c>
      <c r="G134">
        <v>3</v>
      </c>
      <c r="H134" t="s">
        <v>38</v>
      </c>
      <c r="I134">
        <v>175</v>
      </c>
      <c r="J134">
        <v>2</v>
      </c>
      <c r="K134" s="17" t="s">
        <v>39</v>
      </c>
      <c r="L134">
        <v>71</v>
      </c>
      <c r="M134">
        <v>1</v>
      </c>
      <c r="N134">
        <v>2</v>
      </c>
      <c r="O134" s="17" t="s">
        <v>40</v>
      </c>
      <c r="P134" s="14">
        <v>3</v>
      </c>
      <c r="Q134" t="s">
        <v>48</v>
      </c>
      <c r="R134" s="14">
        <v>4559</v>
      </c>
      <c r="S134" s="17" t="str">
        <f t="shared" si="4"/>
        <v>medium</v>
      </c>
      <c r="T134">
        <v>24788</v>
      </c>
      <c r="U134">
        <v>3</v>
      </c>
      <c r="V134" s="17" t="s">
        <v>35</v>
      </c>
      <c r="W134">
        <v>11</v>
      </c>
      <c r="X134">
        <v>3</v>
      </c>
      <c r="Y134">
        <v>3</v>
      </c>
      <c r="Z134">
        <v>1</v>
      </c>
      <c r="AA134">
        <v>4</v>
      </c>
      <c r="AB134">
        <v>2</v>
      </c>
      <c r="AC134">
        <v>3</v>
      </c>
      <c r="AD134" s="14">
        <v>2</v>
      </c>
      <c r="AE134" t="str">
        <f t="shared" si="5"/>
        <v>0-2 years</v>
      </c>
      <c r="AF134" s="14">
        <v>2</v>
      </c>
      <c r="AG134" s="14">
        <v>2</v>
      </c>
      <c r="AH134" s="14">
        <v>2</v>
      </c>
    </row>
    <row r="135" spans="1:34" x14ac:dyDescent="0.3">
      <c r="A135" s="14">
        <v>41</v>
      </c>
      <c r="B135" s="17" t="s">
        <v>43</v>
      </c>
      <c r="C135" t="s">
        <v>36</v>
      </c>
      <c r="D135">
        <v>802</v>
      </c>
      <c r="E135" s="17" t="s">
        <v>37</v>
      </c>
      <c r="F135">
        <v>9</v>
      </c>
      <c r="G135">
        <v>1</v>
      </c>
      <c r="H135" t="s">
        <v>38</v>
      </c>
      <c r="I135">
        <v>176</v>
      </c>
      <c r="J135">
        <v>3</v>
      </c>
      <c r="K135" s="17" t="s">
        <v>46</v>
      </c>
      <c r="L135">
        <v>96</v>
      </c>
      <c r="M135">
        <v>3</v>
      </c>
      <c r="N135">
        <v>3</v>
      </c>
      <c r="O135" s="17" t="s">
        <v>40</v>
      </c>
      <c r="P135" s="14">
        <v>3</v>
      </c>
      <c r="Q135" t="s">
        <v>52</v>
      </c>
      <c r="R135" s="14">
        <v>8189</v>
      </c>
      <c r="S135" s="17" t="str">
        <f t="shared" si="4"/>
        <v>high</v>
      </c>
      <c r="T135">
        <v>21196</v>
      </c>
      <c r="U135">
        <v>3</v>
      </c>
      <c r="V135" s="17" t="s">
        <v>35</v>
      </c>
      <c r="W135">
        <v>13</v>
      </c>
      <c r="X135">
        <v>3</v>
      </c>
      <c r="Y135">
        <v>3</v>
      </c>
      <c r="Z135">
        <v>1</v>
      </c>
      <c r="AA135">
        <v>12</v>
      </c>
      <c r="AB135">
        <v>2</v>
      </c>
      <c r="AC135">
        <v>3</v>
      </c>
      <c r="AD135" s="14">
        <v>9</v>
      </c>
      <c r="AE135" t="str">
        <f t="shared" si="5"/>
        <v>6-10 years</v>
      </c>
      <c r="AF135" s="14">
        <v>7</v>
      </c>
      <c r="AG135" s="14">
        <v>0</v>
      </c>
      <c r="AH135" s="14">
        <v>7</v>
      </c>
    </row>
    <row r="136" spans="1:34" x14ac:dyDescent="0.3">
      <c r="A136" s="14">
        <v>26</v>
      </c>
      <c r="B136" s="17" t="s">
        <v>43</v>
      </c>
      <c r="C136" t="s">
        <v>36</v>
      </c>
      <c r="D136">
        <v>1355</v>
      </c>
      <c r="E136" s="17" t="s">
        <v>61</v>
      </c>
      <c r="F136">
        <v>25</v>
      </c>
      <c r="G136">
        <v>1</v>
      </c>
      <c r="H136" t="s">
        <v>38</v>
      </c>
      <c r="I136">
        <v>177</v>
      </c>
      <c r="J136">
        <v>3</v>
      </c>
      <c r="K136" s="17" t="s">
        <v>39</v>
      </c>
      <c r="L136">
        <v>61</v>
      </c>
      <c r="M136">
        <v>3</v>
      </c>
      <c r="N136">
        <v>1</v>
      </c>
      <c r="O136" s="17" t="s">
        <v>61</v>
      </c>
      <c r="P136" s="14">
        <v>3</v>
      </c>
      <c r="Q136" t="s">
        <v>48</v>
      </c>
      <c r="R136" s="14">
        <v>2942</v>
      </c>
      <c r="S136" s="17" t="str">
        <f t="shared" si="4"/>
        <v>low</v>
      </c>
      <c r="T136">
        <v>8916</v>
      </c>
      <c r="U136">
        <v>1</v>
      </c>
      <c r="V136" s="17" t="s">
        <v>43</v>
      </c>
      <c r="W136">
        <v>23</v>
      </c>
      <c r="X136">
        <v>4</v>
      </c>
      <c r="Y136">
        <v>4</v>
      </c>
      <c r="Z136">
        <v>1</v>
      </c>
      <c r="AA136">
        <v>8</v>
      </c>
      <c r="AB136">
        <v>3</v>
      </c>
      <c r="AC136">
        <v>3</v>
      </c>
      <c r="AD136" s="14">
        <v>8</v>
      </c>
      <c r="AE136" t="str">
        <f t="shared" si="5"/>
        <v>6-10 years</v>
      </c>
      <c r="AF136" s="14">
        <v>7</v>
      </c>
      <c r="AG136" s="14">
        <v>5</v>
      </c>
      <c r="AH136" s="14">
        <v>7</v>
      </c>
    </row>
    <row r="137" spans="1:34" x14ac:dyDescent="0.3">
      <c r="A137" s="14">
        <v>36</v>
      </c>
      <c r="B137" s="17" t="s">
        <v>43</v>
      </c>
      <c r="C137" t="s">
        <v>36</v>
      </c>
      <c r="D137">
        <v>216</v>
      </c>
      <c r="E137" s="17" t="s">
        <v>45</v>
      </c>
      <c r="F137">
        <v>6</v>
      </c>
      <c r="G137">
        <v>2</v>
      </c>
      <c r="H137" t="s">
        <v>51</v>
      </c>
      <c r="I137">
        <v>178</v>
      </c>
      <c r="J137">
        <v>2</v>
      </c>
      <c r="K137" s="17" t="s">
        <v>46</v>
      </c>
      <c r="L137">
        <v>84</v>
      </c>
      <c r="M137">
        <v>3</v>
      </c>
      <c r="N137">
        <v>2</v>
      </c>
      <c r="O137" s="17" t="s">
        <v>53</v>
      </c>
      <c r="P137" s="14">
        <v>2</v>
      </c>
      <c r="Q137" t="s">
        <v>52</v>
      </c>
      <c r="R137" s="14">
        <v>4941</v>
      </c>
      <c r="S137" s="17" t="str">
        <f t="shared" si="4"/>
        <v>medium</v>
      </c>
      <c r="T137">
        <v>2819</v>
      </c>
      <c r="U137">
        <v>6</v>
      </c>
      <c r="V137" s="17" t="s">
        <v>43</v>
      </c>
      <c r="W137">
        <v>20</v>
      </c>
      <c r="X137">
        <v>4</v>
      </c>
      <c r="Y137">
        <v>4</v>
      </c>
      <c r="Z137">
        <v>2</v>
      </c>
      <c r="AA137">
        <v>7</v>
      </c>
      <c r="AB137">
        <v>0</v>
      </c>
      <c r="AC137">
        <v>3</v>
      </c>
      <c r="AD137" s="14">
        <v>3</v>
      </c>
      <c r="AE137" t="str">
        <f t="shared" si="5"/>
        <v>3-5 years</v>
      </c>
      <c r="AF137" s="14">
        <v>2</v>
      </c>
      <c r="AG137" s="14">
        <v>0</v>
      </c>
      <c r="AH137" s="14">
        <v>1</v>
      </c>
    </row>
    <row r="138" spans="1:34" x14ac:dyDescent="0.3">
      <c r="A138" s="14">
        <v>51</v>
      </c>
      <c r="B138" s="17" t="s">
        <v>35</v>
      </c>
      <c r="C138" t="s">
        <v>44</v>
      </c>
      <c r="D138">
        <v>1150</v>
      </c>
      <c r="E138" s="17" t="s">
        <v>45</v>
      </c>
      <c r="F138">
        <v>8</v>
      </c>
      <c r="G138">
        <v>4</v>
      </c>
      <c r="H138" t="s">
        <v>38</v>
      </c>
      <c r="I138">
        <v>179</v>
      </c>
      <c r="J138">
        <v>1</v>
      </c>
      <c r="K138" s="17" t="s">
        <v>46</v>
      </c>
      <c r="L138">
        <v>53</v>
      </c>
      <c r="M138">
        <v>1</v>
      </c>
      <c r="N138">
        <v>3</v>
      </c>
      <c r="O138" s="17" t="s">
        <v>53</v>
      </c>
      <c r="P138" s="14">
        <v>4</v>
      </c>
      <c r="Q138" t="s">
        <v>41</v>
      </c>
      <c r="R138" s="14">
        <v>10650</v>
      </c>
      <c r="S138" s="17" t="str">
        <f t="shared" si="4"/>
        <v>high</v>
      </c>
      <c r="T138">
        <v>25150</v>
      </c>
      <c r="U138">
        <v>2</v>
      </c>
      <c r="V138" s="17" t="s">
        <v>43</v>
      </c>
      <c r="W138">
        <v>15</v>
      </c>
      <c r="X138">
        <v>3</v>
      </c>
      <c r="Y138">
        <v>4</v>
      </c>
      <c r="Z138">
        <v>0</v>
      </c>
      <c r="AA138">
        <v>18</v>
      </c>
      <c r="AB138">
        <v>2</v>
      </c>
      <c r="AC138">
        <v>3</v>
      </c>
      <c r="AD138" s="14">
        <v>4</v>
      </c>
      <c r="AE138" t="str">
        <f t="shared" si="5"/>
        <v>3-5 years</v>
      </c>
      <c r="AF138" s="14">
        <v>2</v>
      </c>
      <c r="AG138" s="14">
        <v>0</v>
      </c>
      <c r="AH138" s="14">
        <v>3</v>
      </c>
    </row>
    <row r="139" spans="1:34" x14ac:dyDescent="0.3">
      <c r="A139" s="14">
        <v>39</v>
      </c>
      <c r="B139" s="17" t="s">
        <v>43</v>
      </c>
      <c r="C139" t="s">
        <v>36</v>
      </c>
      <c r="D139">
        <v>1329</v>
      </c>
      <c r="E139" s="17" t="s">
        <v>37</v>
      </c>
      <c r="F139">
        <v>4</v>
      </c>
      <c r="G139">
        <v>4</v>
      </c>
      <c r="H139" t="s">
        <v>38</v>
      </c>
      <c r="I139">
        <v>182</v>
      </c>
      <c r="J139">
        <v>4</v>
      </c>
      <c r="K139" s="17" t="s">
        <v>39</v>
      </c>
      <c r="L139">
        <v>47</v>
      </c>
      <c r="M139">
        <v>2</v>
      </c>
      <c r="N139">
        <v>2</v>
      </c>
      <c r="O139" s="17" t="s">
        <v>40</v>
      </c>
      <c r="P139" s="14">
        <v>3</v>
      </c>
      <c r="Q139" t="s">
        <v>48</v>
      </c>
      <c r="R139" s="14">
        <v>5902</v>
      </c>
      <c r="S139" s="17" t="str">
        <f t="shared" si="4"/>
        <v>medium</v>
      </c>
      <c r="T139">
        <v>14590</v>
      </c>
      <c r="U139">
        <v>4</v>
      </c>
      <c r="V139" s="17" t="s">
        <v>43</v>
      </c>
      <c r="W139">
        <v>14</v>
      </c>
      <c r="X139">
        <v>3</v>
      </c>
      <c r="Y139">
        <v>3</v>
      </c>
      <c r="Z139">
        <v>1</v>
      </c>
      <c r="AA139">
        <v>17</v>
      </c>
      <c r="AB139">
        <v>1</v>
      </c>
      <c r="AC139">
        <v>4</v>
      </c>
      <c r="AD139" s="14">
        <v>15</v>
      </c>
      <c r="AE139" t="str">
        <f t="shared" si="5"/>
        <v>10+ years</v>
      </c>
      <c r="AF139" s="14">
        <v>11</v>
      </c>
      <c r="AG139" s="14">
        <v>5</v>
      </c>
      <c r="AH139" s="14">
        <v>9</v>
      </c>
    </row>
    <row r="140" spans="1:34" x14ac:dyDescent="0.3">
      <c r="A140" s="14">
        <v>25</v>
      </c>
      <c r="B140" s="17" t="s">
        <v>43</v>
      </c>
      <c r="C140" t="s">
        <v>36</v>
      </c>
      <c r="D140">
        <v>959</v>
      </c>
      <c r="E140" s="17" t="s">
        <v>37</v>
      </c>
      <c r="F140">
        <v>28</v>
      </c>
      <c r="G140">
        <v>3</v>
      </c>
      <c r="H140" t="s">
        <v>38</v>
      </c>
      <c r="I140">
        <v>183</v>
      </c>
      <c r="J140">
        <v>1</v>
      </c>
      <c r="K140" s="17" t="s">
        <v>46</v>
      </c>
      <c r="L140">
        <v>41</v>
      </c>
      <c r="M140">
        <v>2</v>
      </c>
      <c r="N140">
        <v>2</v>
      </c>
      <c r="O140" s="17" t="s">
        <v>40</v>
      </c>
      <c r="P140" s="14">
        <v>3</v>
      </c>
      <c r="Q140" t="s">
        <v>48</v>
      </c>
      <c r="R140" s="14">
        <v>8639</v>
      </c>
      <c r="S140" s="17" t="str">
        <f t="shared" si="4"/>
        <v>high</v>
      </c>
      <c r="T140">
        <v>24835</v>
      </c>
      <c r="U140">
        <v>2</v>
      </c>
      <c r="V140" s="17" t="s">
        <v>43</v>
      </c>
      <c r="W140">
        <v>18</v>
      </c>
      <c r="X140">
        <v>3</v>
      </c>
      <c r="Y140">
        <v>4</v>
      </c>
      <c r="Z140">
        <v>0</v>
      </c>
      <c r="AA140">
        <v>6</v>
      </c>
      <c r="AB140">
        <v>3</v>
      </c>
      <c r="AC140">
        <v>3</v>
      </c>
      <c r="AD140" s="14">
        <v>2</v>
      </c>
      <c r="AE140" t="str">
        <f t="shared" si="5"/>
        <v>0-2 years</v>
      </c>
      <c r="AF140" s="14">
        <v>2</v>
      </c>
      <c r="AG140" s="14">
        <v>2</v>
      </c>
      <c r="AH140" s="14">
        <v>2</v>
      </c>
    </row>
    <row r="141" spans="1:34" x14ac:dyDescent="0.3">
      <c r="A141" s="14">
        <v>30</v>
      </c>
      <c r="B141" s="17" t="s">
        <v>43</v>
      </c>
      <c r="C141" t="s">
        <v>36</v>
      </c>
      <c r="D141">
        <v>1240</v>
      </c>
      <c r="E141" s="17" t="s">
        <v>61</v>
      </c>
      <c r="F141">
        <v>9</v>
      </c>
      <c r="G141">
        <v>3</v>
      </c>
      <c r="H141" t="s">
        <v>61</v>
      </c>
      <c r="I141">
        <v>184</v>
      </c>
      <c r="J141">
        <v>3</v>
      </c>
      <c r="K141" s="17" t="s">
        <v>46</v>
      </c>
      <c r="L141">
        <v>48</v>
      </c>
      <c r="M141">
        <v>3</v>
      </c>
      <c r="N141">
        <v>2</v>
      </c>
      <c r="O141" s="17" t="s">
        <v>61</v>
      </c>
      <c r="P141" s="14">
        <v>4</v>
      </c>
      <c r="Q141" t="s">
        <v>48</v>
      </c>
      <c r="R141" s="14">
        <v>6347</v>
      </c>
      <c r="S141" s="17" t="str">
        <f t="shared" si="4"/>
        <v>medium</v>
      </c>
      <c r="T141">
        <v>13982</v>
      </c>
      <c r="U141">
        <v>0</v>
      </c>
      <c r="V141" s="17" t="s">
        <v>35</v>
      </c>
      <c r="W141">
        <v>19</v>
      </c>
      <c r="X141">
        <v>3</v>
      </c>
      <c r="Y141">
        <v>4</v>
      </c>
      <c r="Z141">
        <v>0</v>
      </c>
      <c r="AA141">
        <v>12</v>
      </c>
      <c r="AB141">
        <v>2</v>
      </c>
      <c r="AC141">
        <v>1</v>
      </c>
      <c r="AD141" s="14">
        <v>11</v>
      </c>
      <c r="AE141" t="str">
        <f t="shared" si="5"/>
        <v>10+ years</v>
      </c>
      <c r="AF141" s="14">
        <v>9</v>
      </c>
      <c r="AG141" s="14">
        <v>4</v>
      </c>
      <c r="AH141" s="14">
        <v>7</v>
      </c>
    </row>
    <row r="142" spans="1:34" x14ac:dyDescent="0.3">
      <c r="A142" s="14">
        <v>32</v>
      </c>
      <c r="B142" s="17" t="s">
        <v>35</v>
      </c>
      <c r="C142" t="s">
        <v>36</v>
      </c>
      <c r="D142">
        <v>1033</v>
      </c>
      <c r="E142" s="17" t="s">
        <v>45</v>
      </c>
      <c r="F142">
        <v>9</v>
      </c>
      <c r="G142">
        <v>3</v>
      </c>
      <c r="H142" t="s">
        <v>51</v>
      </c>
      <c r="I142">
        <v>190</v>
      </c>
      <c r="J142">
        <v>1</v>
      </c>
      <c r="K142" s="17" t="s">
        <v>39</v>
      </c>
      <c r="L142">
        <v>41</v>
      </c>
      <c r="M142">
        <v>3</v>
      </c>
      <c r="N142">
        <v>1</v>
      </c>
      <c r="O142" s="17" t="s">
        <v>50</v>
      </c>
      <c r="P142" s="14">
        <v>1</v>
      </c>
      <c r="Q142" t="s">
        <v>41</v>
      </c>
      <c r="R142" s="14">
        <v>4200</v>
      </c>
      <c r="S142" s="17" t="str">
        <f t="shared" si="4"/>
        <v>medium</v>
      </c>
      <c r="T142">
        <v>10224</v>
      </c>
      <c r="U142">
        <v>7</v>
      </c>
      <c r="V142" s="17" t="s">
        <v>43</v>
      </c>
      <c r="W142">
        <v>22</v>
      </c>
      <c r="X142">
        <v>4</v>
      </c>
      <c r="Y142">
        <v>1</v>
      </c>
      <c r="Z142">
        <v>0</v>
      </c>
      <c r="AA142">
        <v>10</v>
      </c>
      <c r="AB142">
        <v>2</v>
      </c>
      <c r="AC142">
        <v>4</v>
      </c>
      <c r="AD142" s="14">
        <v>5</v>
      </c>
      <c r="AE142" t="str">
        <f t="shared" si="5"/>
        <v>3-5 years</v>
      </c>
      <c r="AF142" s="14">
        <v>4</v>
      </c>
      <c r="AG142" s="14">
        <v>0</v>
      </c>
      <c r="AH142" s="14">
        <v>4</v>
      </c>
    </row>
    <row r="143" spans="1:34" x14ac:dyDescent="0.3">
      <c r="A143" s="14">
        <v>45</v>
      </c>
      <c r="B143" s="17" t="s">
        <v>43</v>
      </c>
      <c r="C143" t="s">
        <v>36</v>
      </c>
      <c r="D143">
        <v>1316</v>
      </c>
      <c r="E143" s="17" t="s">
        <v>45</v>
      </c>
      <c r="F143">
        <v>29</v>
      </c>
      <c r="G143">
        <v>3</v>
      </c>
      <c r="H143" t="s">
        <v>51</v>
      </c>
      <c r="I143">
        <v>192</v>
      </c>
      <c r="J143">
        <v>3</v>
      </c>
      <c r="K143" s="17" t="s">
        <v>46</v>
      </c>
      <c r="L143">
        <v>83</v>
      </c>
      <c r="M143">
        <v>3</v>
      </c>
      <c r="N143">
        <v>1</v>
      </c>
      <c r="O143" s="17" t="s">
        <v>47</v>
      </c>
      <c r="P143" s="14">
        <v>4</v>
      </c>
      <c r="Q143" t="s">
        <v>41</v>
      </c>
      <c r="R143" s="14">
        <v>3452</v>
      </c>
      <c r="S143" s="17" t="str">
        <f t="shared" si="4"/>
        <v>medium</v>
      </c>
      <c r="T143">
        <v>9752</v>
      </c>
      <c r="U143">
        <v>5</v>
      </c>
      <c r="V143" s="17" t="s">
        <v>43</v>
      </c>
      <c r="W143">
        <v>13</v>
      </c>
      <c r="X143">
        <v>3</v>
      </c>
      <c r="Y143">
        <v>2</v>
      </c>
      <c r="Z143">
        <v>0</v>
      </c>
      <c r="AA143">
        <v>9</v>
      </c>
      <c r="AB143">
        <v>2</v>
      </c>
      <c r="AC143">
        <v>2</v>
      </c>
      <c r="AD143" s="14">
        <v>6</v>
      </c>
      <c r="AE143" t="str">
        <f t="shared" si="5"/>
        <v>6-10 years</v>
      </c>
      <c r="AF143" s="14">
        <v>5</v>
      </c>
      <c r="AG143" s="14">
        <v>0</v>
      </c>
      <c r="AH143" s="14">
        <v>3</v>
      </c>
    </row>
    <row r="144" spans="1:34" x14ac:dyDescent="0.3">
      <c r="A144" s="14">
        <v>38</v>
      </c>
      <c r="B144" s="17" t="s">
        <v>43</v>
      </c>
      <c r="C144" t="s">
        <v>36</v>
      </c>
      <c r="D144">
        <v>364</v>
      </c>
      <c r="E144" s="17" t="s">
        <v>45</v>
      </c>
      <c r="F144">
        <v>3</v>
      </c>
      <c r="G144">
        <v>5</v>
      </c>
      <c r="H144" t="s">
        <v>60</v>
      </c>
      <c r="I144">
        <v>193</v>
      </c>
      <c r="J144">
        <v>4</v>
      </c>
      <c r="K144" s="17" t="s">
        <v>39</v>
      </c>
      <c r="L144">
        <v>32</v>
      </c>
      <c r="M144">
        <v>3</v>
      </c>
      <c r="N144">
        <v>2</v>
      </c>
      <c r="O144" s="17" t="s">
        <v>47</v>
      </c>
      <c r="P144" s="14">
        <v>3</v>
      </c>
      <c r="Q144" t="s">
        <v>41</v>
      </c>
      <c r="R144" s="14">
        <v>4317</v>
      </c>
      <c r="S144" s="17" t="str">
        <f t="shared" si="4"/>
        <v>medium</v>
      </c>
      <c r="T144">
        <v>2302</v>
      </c>
      <c r="U144">
        <v>3</v>
      </c>
      <c r="V144" s="17" t="s">
        <v>35</v>
      </c>
      <c r="W144">
        <v>20</v>
      </c>
      <c r="X144">
        <v>4</v>
      </c>
      <c r="Y144">
        <v>2</v>
      </c>
      <c r="Z144">
        <v>0</v>
      </c>
      <c r="AA144">
        <v>19</v>
      </c>
      <c r="AB144">
        <v>2</v>
      </c>
      <c r="AC144">
        <v>3</v>
      </c>
      <c r="AD144" s="14">
        <v>3</v>
      </c>
      <c r="AE144" t="str">
        <f t="shared" si="5"/>
        <v>3-5 years</v>
      </c>
      <c r="AF144" s="14">
        <v>2</v>
      </c>
      <c r="AG144" s="14">
        <v>2</v>
      </c>
      <c r="AH144" s="14">
        <v>2</v>
      </c>
    </row>
    <row r="145" spans="1:34" x14ac:dyDescent="0.3">
      <c r="A145" s="14">
        <v>30</v>
      </c>
      <c r="B145" s="17" t="s">
        <v>43</v>
      </c>
      <c r="C145" t="s">
        <v>36</v>
      </c>
      <c r="D145">
        <v>438</v>
      </c>
      <c r="E145" s="17" t="s">
        <v>45</v>
      </c>
      <c r="F145">
        <v>18</v>
      </c>
      <c r="G145">
        <v>3</v>
      </c>
      <c r="H145" t="s">
        <v>38</v>
      </c>
      <c r="I145">
        <v>194</v>
      </c>
      <c r="J145">
        <v>1</v>
      </c>
      <c r="K145" s="17" t="s">
        <v>39</v>
      </c>
      <c r="L145">
        <v>75</v>
      </c>
      <c r="M145">
        <v>3</v>
      </c>
      <c r="N145">
        <v>1</v>
      </c>
      <c r="O145" s="17" t="s">
        <v>47</v>
      </c>
      <c r="P145" s="14">
        <v>3</v>
      </c>
      <c r="Q145" t="s">
        <v>41</v>
      </c>
      <c r="R145" s="14">
        <v>2632</v>
      </c>
      <c r="S145" s="17" t="str">
        <f t="shared" si="4"/>
        <v>low</v>
      </c>
      <c r="T145">
        <v>23910</v>
      </c>
      <c r="U145">
        <v>1</v>
      </c>
      <c r="V145" s="17" t="s">
        <v>43</v>
      </c>
      <c r="W145">
        <v>14</v>
      </c>
      <c r="X145">
        <v>3</v>
      </c>
      <c r="Y145">
        <v>3</v>
      </c>
      <c r="Z145">
        <v>0</v>
      </c>
      <c r="AA145">
        <v>5</v>
      </c>
      <c r="AB145">
        <v>4</v>
      </c>
      <c r="AC145">
        <v>2</v>
      </c>
      <c r="AD145" s="14">
        <v>5</v>
      </c>
      <c r="AE145" t="str">
        <f t="shared" si="5"/>
        <v>3-5 years</v>
      </c>
      <c r="AF145" s="14">
        <v>4</v>
      </c>
      <c r="AG145" s="14">
        <v>0</v>
      </c>
      <c r="AH145" s="14">
        <v>4</v>
      </c>
    </row>
    <row r="146" spans="1:34" x14ac:dyDescent="0.3">
      <c r="A146" s="14">
        <v>32</v>
      </c>
      <c r="B146" s="17" t="s">
        <v>43</v>
      </c>
      <c r="C146" t="s">
        <v>44</v>
      </c>
      <c r="D146">
        <v>689</v>
      </c>
      <c r="E146" s="17" t="s">
        <v>37</v>
      </c>
      <c r="F146">
        <v>9</v>
      </c>
      <c r="G146">
        <v>2</v>
      </c>
      <c r="H146" t="s">
        <v>51</v>
      </c>
      <c r="I146">
        <v>195</v>
      </c>
      <c r="J146">
        <v>4</v>
      </c>
      <c r="K146" s="17" t="s">
        <v>46</v>
      </c>
      <c r="L146">
        <v>35</v>
      </c>
      <c r="M146">
        <v>1</v>
      </c>
      <c r="N146">
        <v>2</v>
      </c>
      <c r="O146" s="17" t="s">
        <v>40</v>
      </c>
      <c r="P146" s="14">
        <v>4</v>
      </c>
      <c r="Q146" t="s">
        <v>52</v>
      </c>
      <c r="R146" s="14">
        <v>4668</v>
      </c>
      <c r="S146" s="17" t="str">
        <f t="shared" si="4"/>
        <v>medium</v>
      </c>
      <c r="T146">
        <v>22812</v>
      </c>
      <c r="U146">
        <v>0</v>
      </c>
      <c r="V146" s="17" t="s">
        <v>43</v>
      </c>
      <c r="W146">
        <v>17</v>
      </c>
      <c r="X146">
        <v>3</v>
      </c>
      <c r="Y146">
        <v>4</v>
      </c>
      <c r="Z146">
        <v>3</v>
      </c>
      <c r="AA146">
        <v>9</v>
      </c>
      <c r="AB146">
        <v>2</v>
      </c>
      <c r="AC146">
        <v>4</v>
      </c>
      <c r="AD146" s="14">
        <v>8</v>
      </c>
      <c r="AE146" t="str">
        <f t="shared" si="5"/>
        <v>6-10 years</v>
      </c>
      <c r="AF146" s="14">
        <v>7</v>
      </c>
      <c r="AG146" s="14">
        <v>0</v>
      </c>
      <c r="AH146" s="14">
        <v>7</v>
      </c>
    </row>
    <row r="147" spans="1:34" x14ac:dyDescent="0.3">
      <c r="A147" s="14">
        <v>30</v>
      </c>
      <c r="B147" s="17" t="s">
        <v>43</v>
      </c>
      <c r="C147" t="s">
        <v>36</v>
      </c>
      <c r="D147">
        <v>201</v>
      </c>
      <c r="E147" s="17" t="s">
        <v>45</v>
      </c>
      <c r="F147">
        <v>5</v>
      </c>
      <c r="G147">
        <v>3</v>
      </c>
      <c r="H147" t="s">
        <v>60</v>
      </c>
      <c r="I147">
        <v>197</v>
      </c>
      <c r="J147">
        <v>4</v>
      </c>
      <c r="K147" s="17" t="s">
        <v>39</v>
      </c>
      <c r="L147">
        <v>84</v>
      </c>
      <c r="M147">
        <v>3</v>
      </c>
      <c r="N147">
        <v>1</v>
      </c>
      <c r="O147" s="17" t="s">
        <v>47</v>
      </c>
      <c r="P147" s="14">
        <v>1</v>
      </c>
      <c r="Q147" t="s">
        <v>52</v>
      </c>
      <c r="R147" s="14">
        <v>3204</v>
      </c>
      <c r="S147" s="17" t="str">
        <f t="shared" si="4"/>
        <v>medium</v>
      </c>
      <c r="T147">
        <v>10415</v>
      </c>
      <c r="U147">
        <v>5</v>
      </c>
      <c r="V147" s="17" t="s">
        <v>43</v>
      </c>
      <c r="W147">
        <v>14</v>
      </c>
      <c r="X147">
        <v>3</v>
      </c>
      <c r="Y147">
        <v>4</v>
      </c>
      <c r="Z147">
        <v>1</v>
      </c>
      <c r="AA147">
        <v>8</v>
      </c>
      <c r="AB147">
        <v>3</v>
      </c>
      <c r="AC147">
        <v>3</v>
      </c>
      <c r="AD147" s="14">
        <v>3</v>
      </c>
      <c r="AE147" t="str">
        <f t="shared" si="5"/>
        <v>3-5 years</v>
      </c>
      <c r="AF147" s="14">
        <v>2</v>
      </c>
      <c r="AG147" s="14">
        <v>2</v>
      </c>
      <c r="AH147" s="14">
        <v>2</v>
      </c>
    </row>
    <row r="148" spans="1:34" x14ac:dyDescent="0.3">
      <c r="A148" s="14">
        <v>30</v>
      </c>
      <c r="B148" s="17" t="s">
        <v>43</v>
      </c>
      <c r="C148" t="s">
        <v>36</v>
      </c>
      <c r="D148">
        <v>1427</v>
      </c>
      <c r="E148" s="17" t="s">
        <v>45</v>
      </c>
      <c r="F148">
        <v>2</v>
      </c>
      <c r="G148">
        <v>1</v>
      </c>
      <c r="H148" t="s">
        <v>51</v>
      </c>
      <c r="I148">
        <v>198</v>
      </c>
      <c r="J148">
        <v>2</v>
      </c>
      <c r="K148" s="17" t="s">
        <v>46</v>
      </c>
      <c r="L148">
        <v>35</v>
      </c>
      <c r="M148">
        <v>2</v>
      </c>
      <c r="N148">
        <v>1</v>
      </c>
      <c r="O148" s="17" t="s">
        <v>50</v>
      </c>
      <c r="P148" s="14">
        <v>4</v>
      </c>
      <c r="Q148" t="s">
        <v>41</v>
      </c>
      <c r="R148" s="14">
        <v>2720</v>
      </c>
      <c r="S148" s="17" t="str">
        <f t="shared" si="4"/>
        <v>low</v>
      </c>
      <c r="T148">
        <v>11162</v>
      </c>
      <c r="U148">
        <v>0</v>
      </c>
      <c r="V148" s="17" t="s">
        <v>43</v>
      </c>
      <c r="W148">
        <v>13</v>
      </c>
      <c r="X148">
        <v>3</v>
      </c>
      <c r="Y148">
        <v>4</v>
      </c>
      <c r="Z148">
        <v>0</v>
      </c>
      <c r="AA148">
        <v>6</v>
      </c>
      <c r="AB148">
        <v>3</v>
      </c>
      <c r="AC148">
        <v>3</v>
      </c>
      <c r="AD148" s="14">
        <v>5</v>
      </c>
      <c r="AE148" t="str">
        <f t="shared" si="5"/>
        <v>3-5 years</v>
      </c>
      <c r="AF148" s="14">
        <v>3</v>
      </c>
      <c r="AG148" s="14">
        <v>1</v>
      </c>
      <c r="AH148" s="14">
        <v>2</v>
      </c>
    </row>
    <row r="149" spans="1:34" x14ac:dyDescent="0.3">
      <c r="A149" s="14">
        <v>41</v>
      </c>
      <c r="B149" s="17" t="s">
        <v>43</v>
      </c>
      <c r="C149" t="s">
        <v>44</v>
      </c>
      <c r="D149">
        <v>857</v>
      </c>
      <c r="E149" s="17" t="s">
        <v>45</v>
      </c>
      <c r="F149">
        <v>10</v>
      </c>
      <c r="G149">
        <v>3</v>
      </c>
      <c r="H149" t="s">
        <v>38</v>
      </c>
      <c r="I149">
        <v>199</v>
      </c>
      <c r="J149">
        <v>4</v>
      </c>
      <c r="K149" s="17" t="s">
        <v>46</v>
      </c>
      <c r="L149">
        <v>91</v>
      </c>
      <c r="M149">
        <v>2</v>
      </c>
      <c r="N149">
        <v>4</v>
      </c>
      <c r="O149" s="17" t="s">
        <v>56</v>
      </c>
      <c r="P149" s="14">
        <v>1</v>
      </c>
      <c r="Q149" t="s">
        <v>52</v>
      </c>
      <c r="R149" s="14">
        <v>17181</v>
      </c>
      <c r="S149" s="17" t="str">
        <f t="shared" si="4"/>
        <v>high</v>
      </c>
      <c r="T149">
        <v>12888</v>
      </c>
      <c r="U149">
        <v>4</v>
      </c>
      <c r="V149" s="17" t="s">
        <v>43</v>
      </c>
      <c r="W149">
        <v>13</v>
      </c>
      <c r="X149">
        <v>3</v>
      </c>
      <c r="Y149">
        <v>2</v>
      </c>
      <c r="Z149">
        <v>1</v>
      </c>
      <c r="AA149">
        <v>21</v>
      </c>
      <c r="AB149">
        <v>2</v>
      </c>
      <c r="AC149">
        <v>2</v>
      </c>
      <c r="AD149" s="14">
        <v>7</v>
      </c>
      <c r="AE149" t="str">
        <f t="shared" si="5"/>
        <v>6-10 years</v>
      </c>
      <c r="AF149" s="14">
        <v>6</v>
      </c>
      <c r="AG149" s="14">
        <v>7</v>
      </c>
      <c r="AH149" s="14">
        <v>7</v>
      </c>
    </row>
    <row r="150" spans="1:34" x14ac:dyDescent="0.3">
      <c r="A150" s="14">
        <v>41</v>
      </c>
      <c r="B150" s="17" t="s">
        <v>43</v>
      </c>
      <c r="C150" t="s">
        <v>36</v>
      </c>
      <c r="D150">
        <v>933</v>
      </c>
      <c r="E150" s="17" t="s">
        <v>45</v>
      </c>
      <c r="F150">
        <v>9</v>
      </c>
      <c r="G150">
        <v>4</v>
      </c>
      <c r="H150" t="s">
        <v>38</v>
      </c>
      <c r="I150">
        <v>200</v>
      </c>
      <c r="J150">
        <v>3</v>
      </c>
      <c r="K150" s="17" t="s">
        <v>46</v>
      </c>
      <c r="L150">
        <v>94</v>
      </c>
      <c r="M150">
        <v>3</v>
      </c>
      <c r="N150">
        <v>1</v>
      </c>
      <c r="O150" s="17" t="s">
        <v>50</v>
      </c>
      <c r="P150" s="14">
        <v>1</v>
      </c>
      <c r="Q150" t="s">
        <v>48</v>
      </c>
      <c r="R150" s="14">
        <v>2238</v>
      </c>
      <c r="S150" s="17" t="str">
        <f t="shared" si="4"/>
        <v>low</v>
      </c>
      <c r="T150">
        <v>6961</v>
      </c>
      <c r="U150">
        <v>2</v>
      </c>
      <c r="V150" s="17" t="s">
        <v>43</v>
      </c>
      <c r="W150">
        <v>21</v>
      </c>
      <c r="X150">
        <v>4</v>
      </c>
      <c r="Y150">
        <v>4</v>
      </c>
      <c r="Z150">
        <v>1</v>
      </c>
      <c r="AA150">
        <v>7</v>
      </c>
      <c r="AB150">
        <v>2</v>
      </c>
      <c r="AC150">
        <v>3</v>
      </c>
      <c r="AD150" s="14">
        <v>5</v>
      </c>
      <c r="AE150" t="str">
        <f t="shared" si="5"/>
        <v>3-5 years</v>
      </c>
      <c r="AF150" s="14">
        <v>0</v>
      </c>
      <c r="AG150" s="14">
        <v>1</v>
      </c>
      <c r="AH150" s="14">
        <v>4</v>
      </c>
    </row>
    <row r="151" spans="1:34" x14ac:dyDescent="0.3">
      <c r="A151" s="14">
        <v>19</v>
      </c>
      <c r="B151" s="17" t="s">
        <v>43</v>
      </c>
      <c r="C151" t="s">
        <v>36</v>
      </c>
      <c r="D151">
        <v>1181</v>
      </c>
      <c r="E151" s="17" t="s">
        <v>45</v>
      </c>
      <c r="F151">
        <v>3</v>
      </c>
      <c r="G151">
        <v>1</v>
      </c>
      <c r="H151" t="s">
        <v>51</v>
      </c>
      <c r="I151">
        <v>201</v>
      </c>
      <c r="J151">
        <v>2</v>
      </c>
      <c r="K151" s="17" t="s">
        <v>39</v>
      </c>
      <c r="L151">
        <v>79</v>
      </c>
      <c r="M151">
        <v>3</v>
      </c>
      <c r="N151">
        <v>1</v>
      </c>
      <c r="O151" s="17" t="s">
        <v>50</v>
      </c>
      <c r="P151" s="14">
        <v>2</v>
      </c>
      <c r="Q151" t="s">
        <v>41</v>
      </c>
      <c r="R151" s="14">
        <v>1483</v>
      </c>
      <c r="S151" s="17" t="str">
        <f t="shared" si="4"/>
        <v>low</v>
      </c>
      <c r="T151">
        <v>16102</v>
      </c>
      <c r="U151">
        <v>1</v>
      </c>
      <c r="V151" s="17" t="s">
        <v>43</v>
      </c>
      <c r="W151">
        <v>14</v>
      </c>
      <c r="X151">
        <v>3</v>
      </c>
      <c r="Y151">
        <v>4</v>
      </c>
      <c r="Z151">
        <v>0</v>
      </c>
      <c r="AA151">
        <v>1</v>
      </c>
      <c r="AB151">
        <v>3</v>
      </c>
      <c r="AC151">
        <v>3</v>
      </c>
      <c r="AD151" s="14">
        <v>1</v>
      </c>
      <c r="AE151" t="str">
        <f t="shared" si="5"/>
        <v>0-2 years</v>
      </c>
      <c r="AF151" s="14">
        <v>0</v>
      </c>
      <c r="AG151" s="14">
        <v>0</v>
      </c>
      <c r="AH151" s="14">
        <v>0</v>
      </c>
    </row>
    <row r="152" spans="1:34" x14ac:dyDescent="0.3">
      <c r="A152" s="14">
        <v>40</v>
      </c>
      <c r="B152" s="17" t="s">
        <v>43</v>
      </c>
      <c r="C152" t="s">
        <v>44</v>
      </c>
      <c r="D152">
        <v>1395</v>
      </c>
      <c r="E152" s="17" t="s">
        <v>45</v>
      </c>
      <c r="F152">
        <v>26</v>
      </c>
      <c r="G152">
        <v>3</v>
      </c>
      <c r="H152" t="s">
        <v>51</v>
      </c>
      <c r="I152">
        <v>202</v>
      </c>
      <c r="J152">
        <v>2</v>
      </c>
      <c r="K152" s="17" t="s">
        <v>39</v>
      </c>
      <c r="L152">
        <v>54</v>
      </c>
      <c r="M152">
        <v>3</v>
      </c>
      <c r="N152">
        <v>2</v>
      </c>
      <c r="O152" s="17" t="s">
        <v>47</v>
      </c>
      <c r="P152" s="14">
        <v>2</v>
      </c>
      <c r="Q152" t="s">
        <v>52</v>
      </c>
      <c r="R152" s="14">
        <v>5605</v>
      </c>
      <c r="S152" s="17" t="str">
        <f t="shared" si="4"/>
        <v>medium</v>
      </c>
      <c r="T152">
        <v>8504</v>
      </c>
      <c r="U152">
        <v>1</v>
      </c>
      <c r="V152" s="17" t="s">
        <v>43</v>
      </c>
      <c r="W152">
        <v>11</v>
      </c>
      <c r="X152">
        <v>3</v>
      </c>
      <c r="Y152">
        <v>1</v>
      </c>
      <c r="Z152">
        <v>1</v>
      </c>
      <c r="AA152">
        <v>20</v>
      </c>
      <c r="AB152">
        <v>2</v>
      </c>
      <c r="AC152">
        <v>3</v>
      </c>
      <c r="AD152" s="14">
        <v>20</v>
      </c>
      <c r="AE152" t="str">
        <f t="shared" si="5"/>
        <v>10+ years</v>
      </c>
      <c r="AF152" s="14">
        <v>7</v>
      </c>
      <c r="AG152" s="14">
        <v>2</v>
      </c>
      <c r="AH152" s="14">
        <v>13</v>
      </c>
    </row>
    <row r="153" spans="1:34" x14ac:dyDescent="0.3">
      <c r="A153" s="14">
        <v>35</v>
      </c>
      <c r="B153" s="17" t="s">
        <v>43</v>
      </c>
      <c r="C153" t="s">
        <v>36</v>
      </c>
      <c r="D153">
        <v>662</v>
      </c>
      <c r="E153" s="17" t="s">
        <v>37</v>
      </c>
      <c r="F153">
        <v>1</v>
      </c>
      <c r="G153">
        <v>5</v>
      </c>
      <c r="H153" t="s">
        <v>59</v>
      </c>
      <c r="I153">
        <v>204</v>
      </c>
      <c r="J153">
        <v>3</v>
      </c>
      <c r="K153" s="17" t="s">
        <v>46</v>
      </c>
      <c r="L153">
        <v>94</v>
      </c>
      <c r="M153">
        <v>3</v>
      </c>
      <c r="N153">
        <v>3</v>
      </c>
      <c r="O153" s="17" t="s">
        <v>40</v>
      </c>
      <c r="P153" s="14">
        <v>2</v>
      </c>
      <c r="Q153" t="s">
        <v>48</v>
      </c>
      <c r="R153" s="14">
        <v>7295</v>
      </c>
      <c r="S153" s="17" t="str">
        <f t="shared" si="4"/>
        <v>high</v>
      </c>
      <c r="T153">
        <v>11439</v>
      </c>
      <c r="U153">
        <v>1</v>
      </c>
      <c r="V153" s="17" t="s">
        <v>43</v>
      </c>
      <c r="W153">
        <v>13</v>
      </c>
      <c r="X153">
        <v>3</v>
      </c>
      <c r="Y153">
        <v>1</v>
      </c>
      <c r="Z153">
        <v>2</v>
      </c>
      <c r="AA153">
        <v>10</v>
      </c>
      <c r="AB153">
        <v>3</v>
      </c>
      <c r="AC153">
        <v>3</v>
      </c>
      <c r="AD153" s="14">
        <v>10</v>
      </c>
      <c r="AE153" t="str">
        <f t="shared" si="5"/>
        <v>6-10 years</v>
      </c>
      <c r="AF153" s="14">
        <v>8</v>
      </c>
      <c r="AG153" s="14">
        <v>0</v>
      </c>
      <c r="AH153" s="14">
        <v>6</v>
      </c>
    </row>
    <row r="154" spans="1:34" x14ac:dyDescent="0.3">
      <c r="A154" s="14">
        <v>53</v>
      </c>
      <c r="B154" s="17" t="s">
        <v>43</v>
      </c>
      <c r="C154" t="s">
        <v>36</v>
      </c>
      <c r="D154">
        <v>1436</v>
      </c>
      <c r="E154" s="17" t="s">
        <v>37</v>
      </c>
      <c r="F154">
        <v>6</v>
      </c>
      <c r="G154">
        <v>2</v>
      </c>
      <c r="H154" t="s">
        <v>59</v>
      </c>
      <c r="I154">
        <v>205</v>
      </c>
      <c r="J154">
        <v>2</v>
      </c>
      <c r="K154" s="17" t="s">
        <v>46</v>
      </c>
      <c r="L154">
        <v>34</v>
      </c>
      <c r="M154">
        <v>3</v>
      </c>
      <c r="N154">
        <v>2</v>
      </c>
      <c r="O154" s="17" t="s">
        <v>57</v>
      </c>
      <c r="P154" s="14">
        <v>3</v>
      </c>
      <c r="Q154" t="s">
        <v>48</v>
      </c>
      <c r="R154" s="14">
        <v>2306</v>
      </c>
      <c r="S154" s="17" t="str">
        <f t="shared" si="4"/>
        <v>low</v>
      </c>
      <c r="T154">
        <v>16047</v>
      </c>
      <c r="U154">
        <v>2</v>
      </c>
      <c r="V154" s="17" t="s">
        <v>35</v>
      </c>
      <c r="W154">
        <v>20</v>
      </c>
      <c r="X154">
        <v>4</v>
      </c>
      <c r="Y154">
        <v>4</v>
      </c>
      <c r="Z154">
        <v>1</v>
      </c>
      <c r="AA154">
        <v>13</v>
      </c>
      <c r="AB154">
        <v>3</v>
      </c>
      <c r="AC154">
        <v>1</v>
      </c>
      <c r="AD154" s="14">
        <v>7</v>
      </c>
      <c r="AE154" t="str">
        <f t="shared" si="5"/>
        <v>6-10 years</v>
      </c>
      <c r="AF154" s="14">
        <v>7</v>
      </c>
      <c r="AG154" s="14">
        <v>4</v>
      </c>
      <c r="AH154" s="14">
        <v>5</v>
      </c>
    </row>
    <row r="155" spans="1:34" x14ac:dyDescent="0.3">
      <c r="A155" s="14">
        <v>45</v>
      </c>
      <c r="B155" s="17" t="s">
        <v>43</v>
      </c>
      <c r="C155" t="s">
        <v>36</v>
      </c>
      <c r="D155">
        <v>194</v>
      </c>
      <c r="E155" s="17" t="s">
        <v>45</v>
      </c>
      <c r="F155">
        <v>9</v>
      </c>
      <c r="G155">
        <v>3</v>
      </c>
      <c r="H155" t="s">
        <v>38</v>
      </c>
      <c r="I155">
        <v>206</v>
      </c>
      <c r="J155">
        <v>2</v>
      </c>
      <c r="K155" s="17" t="s">
        <v>46</v>
      </c>
      <c r="L155">
        <v>60</v>
      </c>
      <c r="M155">
        <v>3</v>
      </c>
      <c r="N155">
        <v>2</v>
      </c>
      <c r="O155" s="17" t="s">
        <v>50</v>
      </c>
      <c r="P155" s="14">
        <v>2</v>
      </c>
      <c r="Q155" t="s">
        <v>52</v>
      </c>
      <c r="R155" s="14">
        <v>2348</v>
      </c>
      <c r="S155" s="17" t="str">
        <f t="shared" si="4"/>
        <v>low</v>
      </c>
      <c r="T155">
        <v>10901</v>
      </c>
      <c r="U155">
        <v>8</v>
      </c>
      <c r="V155" s="17" t="s">
        <v>43</v>
      </c>
      <c r="W155">
        <v>18</v>
      </c>
      <c r="X155">
        <v>3</v>
      </c>
      <c r="Y155">
        <v>3</v>
      </c>
      <c r="Z155">
        <v>1</v>
      </c>
      <c r="AA155">
        <v>20</v>
      </c>
      <c r="AB155">
        <v>2</v>
      </c>
      <c r="AC155">
        <v>1</v>
      </c>
      <c r="AD155" s="14">
        <v>17</v>
      </c>
      <c r="AE155" t="str">
        <f t="shared" si="5"/>
        <v>10+ years</v>
      </c>
      <c r="AF155" s="14">
        <v>9</v>
      </c>
      <c r="AG155" s="14">
        <v>0</v>
      </c>
      <c r="AH155" s="14">
        <v>15</v>
      </c>
    </row>
    <row r="156" spans="1:34" x14ac:dyDescent="0.3">
      <c r="A156" s="14">
        <v>32</v>
      </c>
      <c r="B156" s="17" t="s">
        <v>43</v>
      </c>
      <c r="C156" t="s">
        <v>44</v>
      </c>
      <c r="D156">
        <v>967</v>
      </c>
      <c r="E156" s="17" t="s">
        <v>37</v>
      </c>
      <c r="F156">
        <v>8</v>
      </c>
      <c r="G156">
        <v>3</v>
      </c>
      <c r="H156" t="s">
        <v>59</v>
      </c>
      <c r="I156">
        <v>207</v>
      </c>
      <c r="J156">
        <v>2</v>
      </c>
      <c r="K156" s="17" t="s">
        <v>39</v>
      </c>
      <c r="L156">
        <v>43</v>
      </c>
      <c r="M156">
        <v>3</v>
      </c>
      <c r="N156">
        <v>3</v>
      </c>
      <c r="O156" s="17" t="s">
        <v>40</v>
      </c>
      <c r="P156" s="14">
        <v>4</v>
      </c>
      <c r="Q156" t="s">
        <v>41</v>
      </c>
      <c r="R156" s="14">
        <v>8998</v>
      </c>
      <c r="S156" s="17" t="str">
        <f t="shared" si="4"/>
        <v>high</v>
      </c>
      <c r="T156">
        <v>15589</v>
      </c>
      <c r="U156">
        <v>1</v>
      </c>
      <c r="V156" s="17" t="s">
        <v>43</v>
      </c>
      <c r="W156">
        <v>14</v>
      </c>
      <c r="X156">
        <v>3</v>
      </c>
      <c r="Y156">
        <v>4</v>
      </c>
      <c r="Z156">
        <v>0</v>
      </c>
      <c r="AA156">
        <v>9</v>
      </c>
      <c r="AB156">
        <v>2</v>
      </c>
      <c r="AC156">
        <v>3</v>
      </c>
      <c r="AD156" s="14">
        <v>9</v>
      </c>
      <c r="AE156" t="str">
        <f t="shared" si="5"/>
        <v>6-10 years</v>
      </c>
      <c r="AF156" s="14">
        <v>8</v>
      </c>
      <c r="AG156" s="14">
        <v>3</v>
      </c>
      <c r="AH156" s="14">
        <v>7</v>
      </c>
    </row>
    <row r="157" spans="1:34" x14ac:dyDescent="0.3">
      <c r="A157" s="14">
        <v>29</v>
      </c>
      <c r="B157" s="17" t="s">
        <v>43</v>
      </c>
      <c r="C157" t="s">
        <v>55</v>
      </c>
      <c r="D157">
        <v>1496</v>
      </c>
      <c r="E157" s="17" t="s">
        <v>45</v>
      </c>
      <c r="F157">
        <v>1</v>
      </c>
      <c r="G157">
        <v>1</v>
      </c>
      <c r="H157" t="s">
        <v>60</v>
      </c>
      <c r="I157">
        <v>208</v>
      </c>
      <c r="J157">
        <v>4</v>
      </c>
      <c r="K157" s="17" t="s">
        <v>46</v>
      </c>
      <c r="L157">
        <v>41</v>
      </c>
      <c r="M157">
        <v>3</v>
      </c>
      <c r="N157">
        <v>2</v>
      </c>
      <c r="O157" s="17" t="s">
        <v>53</v>
      </c>
      <c r="P157" s="14">
        <v>3</v>
      </c>
      <c r="Q157" t="s">
        <v>48</v>
      </c>
      <c r="R157" s="14">
        <v>4319</v>
      </c>
      <c r="S157" s="17" t="str">
        <f t="shared" si="4"/>
        <v>medium</v>
      </c>
      <c r="T157">
        <v>26283</v>
      </c>
      <c r="U157">
        <v>1</v>
      </c>
      <c r="V157" s="17" t="s">
        <v>43</v>
      </c>
      <c r="W157">
        <v>13</v>
      </c>
      <c r="X157">
        <v>3</v>
      </c>
      <c r="Y157">
        <v>1</v>
      </c>
      <c r="Z157">
        <v>1</v>
      </c>
      <c r="AA157">
        <v>10</v>
      </c>
      <c r="AB157">
        <v>1</v>
      </c>
      <c r="AC157">
        <v>3</v>
      </c>
      <c r="AD157" s="14">
        <v>10</v>
      </c>
      <c r="AE157" t="str">
        <f t="shared" si="5"/>
        <v>6-10 years</v>
      </c>
      <c r="AF157" s="14">
        <v>7</v>
      </c>
      <c r="AG157" s="14">
        <v>0</v>
      </c>
      <c r="AH157" s="14">
        <v>9</v>
      </c>
    </row>
    <row r="158" spans="1:34" x14ac:dyDescent="0.3">
      <c r="A158" s="14">
        <v>51</v>
      </c>
      <c r="B158" s="17" t="s">
        <v>43</v>
      </c>
      <c r="C158" t="s">
        <v>36</v>
      </c>
      <c r="D158">
        <v>1169</v>
      </c>
      <c r="E158" s="17" t="s">
        <v>45</v>
      </c>
      <c r="F158">
        <v>7</v>
      </c>
      <c r="G158">
        <v>4</v>
      </c>
      <c r="H158" t="s">
        <v>51</v>
      </c>
      <c r="I158">
        <v>211</v>
      </c>
      <c r="J158">
        <v>2</v>
      </c>
      <c r="K158" s="17" t="s">
        <v>46</v>
      </c>
      <c r="L158">
        <v>34</v>
      </c>
      <c r="M158">
        <v>2</v>
      </c>
      <c r="N158">
        <v>2</v>
      </c>
      <c r="O158" s="17" t="s">
        <v>53</v>
      </c>
      <c r="P158" s="14">
        <v>3</v>
      </c>
      <c r="Q158" t="s">
        <v>48</v>
      </c>
      <c r="R158" s="14">
        <v>6132</v>
      </c>
      <c r="S158" s="17" t="str">
        <f t="shared" si="4"/>
        <v>medium</v>
      </c>
      <c r="T158">
        <v>13983</v>
      </c>
      <c r="U158">
        <v>2</v>
      </c>
      <c r="V158" s="17" t="s">
        <v>43</v>
      </c>
      <c r="W158">
        <v>17</v>
      </c>
      <c r="X158">
        <v>3</v>
      </c>
      <c r="Y158">
        <v>3</v>
      </c>
      <c r="Z158">
        <v>0</v>
      </c>
      <c r="AA158">
        <v>10</v>
      </c>
      <c r="AB158">
        <v>2</v>
      </c>
      <c r="AC158">
        <v>3</v>
      </c>
      <c r="AD158" s="14">
        <v>1</v>
      </c>
      <c r="AE158" t="str">
        <f t="shared" si="5"/>
        <v>0-2 years</v>
      </c>
      <c r="AF158" s="14">
        <v>0</v>
      </c>
      <c r="AG158" s="14">
        <v>0</v>
      </c>
      <c r="AH158" s="14">
        <v>0</v>
      </c>
    </row>
    <row r="159" spans="1:34" x14ac:dyDescent="0.3">
      <c r="A159" s="14">
        <v>58</v>
      </c>
      <c r="B159" s="17" t="s">
        <v>43</v>
      </c>
      <c r="C159" t="s">
        <v>36</v>
      </c>
      <c r="D159">
        <v>1145</v>
      </c>
      <c r="E159" s="17" t="s">
        <v>45</v>
      </c>
      <c r="F159">
        <v>9</v>
      </c>
      <c r="G159">
        <v>3</v>
      </c>
      <c r="H159" t="s">
        <v>51</v>
      </c>
      <c r="I159">
        <v>214</v>
      </c>
      <c r="J159">
        <v>2</v>
      </c>
      <c r="K159" s="17" t="s">
        <v>39</v>
      </c>
      <c r="L159">
        <v>75</v>
      </c>
      <c r="M159">
        <v>2</v>
      </c>
      <c r="N159">
        <v>1</v>
      </c>
      <c r="O159" s="17" t="s">
        <v>47</v>
      </c>
      <c r="P159" s="14">
        <v>2</v>
      </c>
      <c r="Q159" t="s">
        <v>48</v>
      </c>
      <c r="R159" s="14">
        <v>3346</v>
      </c>
      <c r="S159" s="17" t="str">
        <f t="shared" si="4"/>
        <v>medium</v>
      </c>
      <c r="T159">
        <v>11873</v>
      </c>
      <c r="U159">
        <v>4</v>
      </c>
      <c r="V159" s="17" t="s">
        <v>35</v>
      </c>
      <c r="W159">
        <v>20</v>
      </c>
      <c r="X159">
        <v>4</v>
      </c>
      <c r="Y159">
        <v>2</v>
      </c>
      <c r="Z159">
        <v>1</v>
      </c>
      <c r="AA159">
        <v>9</v>
      </c>
      <c r="AB159">
        <v>3</v>
      </c>
      <c r="AC159">
        <v>2</v>
      </c>
      <c r="AD159" s="14">
        <v>1</v>
      </c>
      <c r="AE159" t="str">
        <f t="shared" si="5"/>
        <v>0-2 years</v>
      </c>
      <c r="AF159" s="14">
        <v>0</v>
      </c>
      <c r="AG159" s="14">
        <v>0</v>
      </c>
      <c r="AH159" s="14">
        <v>0</v>
      </c>
    </row>
    <row r="160" spans="1:34" x14ac:dyDescent="0.3">
      <c r="A160" s="14">
        <v>40</v>
      </c>
      <c r="B160" s="17" t="s">
        <v>43</v>
      </c>
      <c r="C160" t="s">
        <v>36</v>
      </c>
      <c r="D160">
        <v>630</v>
      </c>
      <c r="E160" s="17" t="s">
        <v>37</v>
      </c>
      <c r="F160">
        <v>4</v>
      </c>
      <c r="G160">
        <v>4</v>
      </c>
      <c r="H160" t="s">
        <v>59</v>
      </c>
      <c r="I160">
        <v>215</v>
      </c>
      <c r="J160">
        <v>3</v>
      </c>
      <c r="K160" s="17" t="s">
        <v>46</v>
      </c>
      <c r="L160">
        <v>67</v>
      </c>
      <c r="M160">
        <v>2</v>
      </c>
      <c r="N160">
        <v>3</v>
      </c>
      <c r="O160" s="17" t="s">
        <v>40</v>
      </c>
      <c r="P160" s="14">
        <v>4</v>
      </c>
      <c r="Q160" t="s">
        <v>48</v>
      </c>
      <c r="R160" s="14">
        <v>10855</v>
      </c>
      <c r="S160" s="17" t="str">
        <f t="shared" si="4"/>
        <v>high</v>
      </c>
      <c r="T160">
        <v>8552</v>
      </c>
      <c r="U160">
        <v>7</v>
      </c>
      <c r="V160" s="17" t="s">
        <v>43</v>
      </c>
      <c r="W160">
        <v>11</v>
      </c>
      <c r="X160">
        <v>3</v>
      </c>
      <c r="Y160">
        <v>1</v>
      </c>
      <c r="Z160">
        <v>1</v>
      </c>
      <c r="AA160">
        <v>15</v>
      </c>
      <c r="AB160">
        <v>2</v>
      </c>
      <c r="AC160">
        <v>2</v>
      </c>
      <c r="AD160" s="14">
        <v>12</v>
      </c>
      <c r="AE160" t="str">
        <f t="shared" si="5"/>
        <v>10+ years</v>
      </c>
      <c r="AF160" s="14">
        <v>11</v>
      </c>
      <c r="AG160" s="14">
        <v>2</v>
      </c>
      <c r="AH160" s="14">
        <v>11</v>
      </c>
    </row>
    <row r="161" spans="1:34" x14ac:dyDescent="0.3">
      <c r="A161" s="14">
        <v>34</v>
      </c>
      <c r="B161" s="17" t="s">
        <v>43</v>
      </c>
      <c r="C161" t="s">
        <v>44</v>
      </c>
      <c r="D161">
        <v>303</v>
      </c>
      <c r="E161" s="17" t="s">
        <v>37</v>
      </c>
      <c r="F161">
        <v>2</v>
      </c>
      <c r="G161">
        <v>4</v>
      </c>
      <c r="H161" t="s">
        <v>59</v>
      </c>
      <c r="I161">
        <v>216</v>
      </c>
      <c r="J161">
        <v>3</v>
      </c>
      <c r="K161" s="17" t="s">
        <v>39</v>
      </c>
      <c r="L161">
        <v>75</v>
      </c>
      <c r="M161">
        <v>3</v>
      </c>
      <c r="N161">
        <v>1</v>
      </c>
      <c r="O161" s="17" t="s">
        <v>57</v>
      </c>
      <c r="P161" s="14">
        <v>3</v>
      </c>
      <c r="Q161" t="s">
        <v>48</v>
      </c>
      <c r="R161" s="14">
        <v>2231</v>
      </c>
      <c r="S161" s="17" t="str">
        <f t="shared" si="4"/>
        <v>low</v>
      </c>
      <c r="T161">
        <v>11314</v>
      </c>
      <c r="U161">
        <v>6</v>
      </c>
      <c r="V161" s="17" t="s">
        <v>43</v>
      </c>
      <c r="W161">
        <v>18</v>
      </c>
      <c r="X161">
        <v>3</v>
      </c>
      <c r="Y161">
        <v>4</v>
      </c>
      <c r="Z161">
        <v>1</v>
      </c>
      <c r="AA161">
        <v>6</v>
      </c>
      <c r="AB161">
        <v>3</v>
      </c>
      <c r="AC161">
        <v>3</v>
      </c>
      <c r="AD161" s="14">
        <v>4</v>
      </c>
      <c r="AE161" t="str">
        <f t="shared" si="5"/>
        <v>3-5 years</v>
      </c>
      <c r="AF161" s="14">
        <v>3</v>
      </c>
      <c r="AG161" s="14">
        <v>1</v>
      </c>
      <c r="AH161" s="14">
        <v>2</v>
      </c>
    </row>
    <row r="162" spans="1:34" x14ac:dyDescent="0.3">
      <c r="A162" s="14">
        <v>22</v>
      </c>
      <c r="B162" s="17" t="s">
        <v>43</v>
      </c>
      <c r="C162" t="s">
        <v>36</v>
      </c>
      <c r="D162">
        <v>1256</v>
      </c>
      <c r="E162" s="17" t="s">
        <v>45</v>
      </c>
      <c r="F162">
        <v>19</v>
      </c>
      <c r="G162">
        <v>1</v>
      </c>
      <c r="H162" t="s">
        <v>51</v>
      </c>
      <c r="I162">
        <v>217</v>
      </c>
      <c r="J162">
        <v>3</v>
      </c>
      <c r="K162" s="17" t="s">
        <v>46</v>
      </c>
      <c r="L162">
        <v>80</v>
      </c>
      <c r="M162">
        <v>3</v>
      </c>
      <c r="N162">
        <v>1</v>
      </c>
      <c r="O162" s="17" t="s">
        <v>47</v>
      </c>
      <c r="P162" s="14">
        <v>4</v>
      </c>
      <c r="Q162" t="s">
        <v>48</v>
      </c>
      <c r="R162" s="14">
        <v>2323</v>
      </c>
      <c r="S162" s="17" t="str">
        <f t="shared" si="4"/>
        <v>low</v>
      </c>
      <c r="T162">
        <v>11992</v>
      </c>
      <c r="U162">
        <v>1</v>
      </c>
      <c r="V162" s="17" t="s">
        <v>43</v>
      </c>
      <c r="W162">
        <v>24</v>
      </c>
      <c r="X162">
        <v>4</v>
      </c>
      <c r="Y162">
        <v>1</v>
      </c>
      <c r="Z162">
        <v>2</v>
      </c>
      <c r="AA162">
        <v>2</v>
      </c>
      <c r="AB162">
        <v>6</v>
      </c>
      <c r="AC162">
        <v>3</v>
      </c>
      <c r="AD162" s="14">
        <v>2</v>
      </c>
      <c r="AE162" t="str">
        <f t="shared" si="5"/>
        <v>0-2 years</v>
      </c>
      <c r="AF162" s="14">
        <v>2</v>
      </c>
      <c r="AG162" s="14">
        <v>2</v>
      </c>
      <c r="AH162" s="14">
        <v>2</v>
      </c>
    </row>
    <row r="163" spans="1:34" x14ac:dyDescent="0.3">
      <c r="A163" s="14">
        <v>27</v>
      </c>
      <c r="B163" s="17" t="s">
        <v>43</v>
      </c>
      <c r="C163" t="s">
        <v>55</v>
      </c>
      <c r="D163">
        <v>691</v>
      </c>
      <c r="E163" s="17" t="s">
        <v>45</v>
      </c>
      <c r="F163">
        <v>9</v>
      </c>
      <c r="G163">
        <v>3</v>
      </c>
      <c r="H163" t="s">
        <v>51</v>
      </c>
      <c r="I163">
        <v>218</v>
      </c>
      <c r="J163">
        <v>4</v>
      </c>
      <c r="K163" s="17" t="s">
        <v>46</v>
      </c>
      <c r="L163">
        <v>57</v>
      </c>
      <c r="M163">
        <v>3</v>
      </c>
      <c r="N163">
        <v>1</v>
      </c>
      <c r="O163" s="17" t="s">
        <v>47</v>
      </c>
      <c r="P163" s="14">
        <v>2</v>
      </c>
      <c r="Q163" t="s">
        <v>52</v>
      </c>
      <c r="R163" s="14">
        <v>2024</v>
      </c>
      <c r="S163" s="17" t="str">
        <f t="shared" si="4"/>
        <v>low</v>
      </c>
      <c r="T163">
        <v>5970</v>
      </c>
      <c r="U163">
        <v>6</v>
      </c>
      <c r="V163" s="17" t="s">
        <v>43</v>
      </c>
      <c r="W163">
        <v>18</v>
      </c>
      <c r="X163">
        <v>3</v>
      </c>
      <c r="Y163">
        <v>4</v>
      </c>
      <c r="Z163">
        <v>1</v>
      </c>
      <c r="AA163">
        <v>6</v>
      </c>
      <c r="AB163">
        <v>1</v>
      </c>
      <c r="AC163">
        <v>1</v>
      </c>
      <c r="AD163" s="14">
        <v>2</v>
      </c>
      <c r="AE163" t="str">
        <f t="shared" si="5"/>
        <v>0-2 years</v>
      </c>
      <c r="AF163" s="14">
        <v>2</v>
      </c>
      <c r="AG163" s="14">
        <v>2</v>
      </c>
      <c r="AH163" s="14">
        <v>2</v>
      </c>
    </row>
    <row r="164" spans="1:34" x14ac:dyDescent="0.3">
      <c r="A164" s="14">
        <v>28</v>
      </c>
      <c r="B164" s="17" t="s">
        <v>43</v>
      </c>
      <c r="C164" t="s">
        <v>36</v>
      </c>
      <c r="D164">
        <v>440</v>
      </c>
      <c r="E164" s="17" t="s">
        <v>45</v>
      </c>
      <c r="F164">
        <v>21</v>
      </c>
      <c r="G164">
        <v>3</v>
      </c>
      <c r="H164" t="s">
        <v>51</v>
      </c>
      <c r="I164">
        <v>221</v>
      </c>
      <c r="J164">
        <v>3</v>
      </c>
      <c r="K164" s="17" t="s">
        <v>46</v>
      </c>
      <c r="L164">
        <v>42</v>
      </c>
      <c r="M164">
        <v>3</v>
      </c>
      <c r="N164">
        <v>1</v>
      </c>
      <c r="O164" s="17" t="s">
        <v>47</v>
      </c>
      <c r="P164" s="14">
        <v>4</v>
      </c>
      <c r="Q164" t="s">
        <v>48</v>
      </c>
      <c r="R164" s="14">
        <v>2713</v>
      </c>
      <c r="S164" s="17" t="str">
        <f t="shared" si="4"/>
        <v>low</v>
      </c>
      <c r="T164">
        <v>6672</v>
      </c>
      <c r="U164">
        <v>1</v>
      </c>
      <c r="V164" s="17" t="s">
        <v>43</v>
      </c>
      <c r="W164">
        <v>11</v>
      </c>
      <c r="X164">
        <v>3</v>
      </c>
      <c r="Y164">
        <v>3</v>
      </c>
      <c r="Z164">
        <v>1</v>
      </c>
      <c r="AA164">
        <v>5</v>
      </c>
      <c r="AB164">
        <v>2</v>
      </c>
      <c r="AC164">
        <v>1</v>
      </c>
      <c r="AD164" s="14">
        <v>5</v>
      </c>
      <c r="AE164" t="str">
        <f t="shared" si="5"/>
        <v>3-5 years</v>
      </c>
      <c r="AF164" s="14">
        <v>2</v>
      </c>
      <c r="AG164" s="14">
        <v>0</v>
      </c>
      <c r="AH164" s="14">
        <v>2</v>
      </c>
    </row>
    <row r="165" spans="1:34" x14ac:dyDescent="0.3">
      <c r="A165" s="14">
        <v>57</v>
      </c>
      <c r="B165" s="17" t="s">
        <v>43</v>
      </c>
      <c r="C165" t="s">
        <v>36</v>
      </c>
      <c r="D165">
        <v>334</v>
      </c>
      <c r="E165" s="17" t="s">
        <v>45</v>
      </c>
      <c r="F165">
        <v>24</v>
      </c>
      <c r="G165">
        <v>2</v>
      </c>
      <c r="H165" t="s">
        <v>38</v>
      </c>
      <c r="I165">
        <v>223</v>
      </c>
      <c r="J165">
        <v>3</v>
      </c>
      <c r="K165" s="17" t="s">
        <v>46</v>
      </c>
      <c r="L165">
        <v>83</v>
      </c>
      <c r="M165">
        <v>4</v>
      </c>
      <c r="N165">
        <v>3</v>
      </c>
      <c r="O165" s="17" t="s">
        <v>54</v>
      </c>
      <c r="P165" s="14">
        <v>4</v>
      </c>
      <c r="Q165" t="s">
        <v>52</v>
      </c>
      <c r="R165" s="14">
        <v>9439</v>
      </c>
      <c r="S165" s="17" t="str">
        <f t="shared" si="4"/>
        <v>high</v>
      </c>
      <c r="T165">
        <v>23402</v>
      </c>
      <c r="U165">
        <v>3</v>
      </c>
      <c r="V165" s="17" t="s">
        <v>35</v>
      </c>
      <c r="W165">
        <v>16</v>
      </c>
      <c r="X165">
        <v>3</v>
      </c>
      <c r="Y165">
        <v>2</v>
      </c>
      <c r="Z165">
        <v>1</v>
      </c>
      <c r="AA165">
        <v>12</v>
      </c>
      <c r="AB165">
        <v>2</v>
      </c>
      <c r="AC165">
        <v>1</v>
      </c>
      <c r="AD165" s="14">
        <v>5</v>
      </c>
      <c r="AE165" t="str">
        <f t="shared" si="5"/>
        <v>3-5 years</v>
      </c>
      <c r="AF165" s="14">
        <v>3</v>
      </c>
      <c r="AG165" s="14">
        <v>1</v>
      </c>
      <c r="AH165" s="14">
        <v>4</v>
      </c>
    </row>
    <row r="166" spans="1:34" x14ac:dyDescent="0.3">
      <c r="A166" s="14">
        <v>27</v>
      </c>
      <c r="B166" s="17" t="s">
        <v>43</v>
      </c>
      <c r="C166" t="s">
        <v>55</v>
      </c>
      <c r="D166">
        <v>1450</v>
      </c>
      <c r="E166" s="17" t="s">
        <v>45</v>
      </c>
      <c r="F166">
        <v>3</v>
      </c>
      <c r="G166">
        <v>3</v>
      </c>
      <c r="H166" t="s">
        <v>51</v>
      </c>
      <c r="I166">
        <v>224</v>
      </c>
      <c r="J166">
        <v>3</v>
      </c>
      <c r="K166" s="17" t="s">
        <v>46</v>
      </c>
      <c r="L166">
        <v>79</v>
      </c>
      <c r="M166">
        <v>2</v>
      </c>
      <c r="N166">
        <v>1</v>
      </c>
      <c r="O166" s="17" t="s">
        <v>47</v>
      </c>
      <c r="P166" s="14">
        <v>3</v>
      </c>
      <c r="Q166" t="s">
        <v>52</v>
      </c>
      <c r="R166" s="14">
        <v>2566</v>
      </c>
      <c r="S166" s="17" t="str">
        <f t="shared" si="4"/>
        <v>low</v>
      </c>
      <c r="T166">
        <v>25326</v>
      </c>
      <c r="U166">
        <v>1</v>
      </c>
      <c r="V166" s="17" t="s">
        <v>35</v>
      </c>
      <c r="W166">
        <v>15</v>
      </c>
      <c r="X166">
        <v>3</v>
      </c>
      <c r="Y166">
        <v>4</v>
      </c>
      <c r="Z166">
        <v>1</v>
      </c>
      <c r="AA166">
        <v>1</v>
      </c>
      <c r="AB166">
        <v>2</v>
      </c>
      <c r="AC166">
        <v>2</v>
      </c>
      <c r="AD166" s="14">
        <v>1</v>
      </c>
      <c r="AE166" t="str">
        <f t="shared" si="5"/>
        <v>0-2 years</v>
      </c>
      <c r="AF166" s="14">
        <v>1</v>
      </c>
      <c r="AG166" s="14">
        <v>0</v>
      </c>
      <c r="AH166" s="14">
        <v>1</v>
      </c>
    </row>
    <row r="167" spans="1:34" x14ac:dyDescent="0.3">
      <c r="A167" s="14">
        <v>50</v>
      </c>
      <c r="B167" s="17" t="s">
        <v>43</v>
      </c>
      <c r="C167" t="s">
        <v>36</v>
      </c>
      <c r="D167">
        <v>1452</v>
      </c>
      <c r="E167" s="17" t="s">
        <v>45</v>
      </c>
      <c r="F167">
        <v>11</v>
      </c>
      <c r="G167">
        <v>3</v>
      </c>
      <c r="H167" t="s">
        <v>38</v>
      </c>
      <c r="I167">
        <v>226</v>
      </c>
      <c r="J167">
        <v>3</v>
      </c>
      <c r="K167" s="17" t="s">
        <v>39</v>
      </c>
      <c r="L167">
        <v>53</v>
      </c>
      <c r="M167">
        <v>3</v>
      </c>
      <c r="N167">
        <v>5</v>
      </c>
      <c r="O167" s="17" t="s">
        <v>56</v>
      </c>
      <c r="P167" s="14">
        <v>2</v>
      </c>
      <c r="Q167" t="s">
        <v>41</v>
      </c>
      <c r="R167" s="14">
        <v>19926</v>
      </c>
      <c r="S167" s="17" t="str">
        <f t="shared" si="4"/>
        <v>high</v>
      </c>
      <c r="T167">
        <v>17053</v>
      </c>
      <c r="U167">
        <v>3</v>
      </c>
      <c r="V167" s="17" t="s">
        <v>43</v>
      </c>
      <c r="W167">
        <v>15</v>
      </c>
      <c r="X167">
        <v>3</v>
      </c>
      <c r="Y167">
        <v>2</v>
      </c>
      <c r="Z167">
        <v>0</v>
      </c>
      <c r="AA167">
        <v>21</v>
      </c>
      <c r="AB167">
        <v>5</v>
      </c>
      <c r="AC167">
        <v>3</v>
      </c>
      <c r="AD167" s="14">
        <v>5</v>
      </c>
      <c r="AE167" t="str">
        <f t="shared" si="5"/>
        <v>3-5 years</v>
      </c>
      <c r="AF167" s="14">
        <v>4</v>
      </c>
      <c r="AG167" s="14">
        <v>4</v>
      </c>
      <c r="AH167" s="14">
        <v>4</v>
      </c>
    </row>
    <row r="168" spans="1:34" x14ac:dyDescent="0.3">
      <c r="A168" s="14">
        <v>41</v>
      </c>
      <c r="B168" s="17" t="s">
        <v>43</v>
      </c>
      <c r="C168" t="s">
        <v>36</v>
      </c>
      <c r="D168">
        <v>465</v>
      </c>
      <c r="E168" s="17" t="s">
        <v>45</v>
      </c>
      <c r="F168">
        <v>14</v>
      </c>
      <c r="G168">
        <v>3</v>
      </c>
      <c r="H168" t="s">
        <v>38</v>
      </c>
      <c r="I168">
        <v>227</v>
      </c>
      <c r="J168">
        <v>1</v>
      </c>
      <c r="K168" s="17" t="s">
        <v>46</v>
      </c>
      <c r="L168">
        <v>56</v>
      </c>
      <c r="M168">
        <v>3</v>
      </c>
      <c r="N168">
        <v>1</v>
      </c>
      <c r="O168" s="17" t="s">
        <v>47</v>
      </c>
      <c r="P168" s="14">
        <v>3</v>
      </c>
      <c r="Q168" t="s">
        <v>52</v>
      </c>
      <c r="R168" s="14">
        <v>2451</v>
      </c>
      <c r="S168" s="17" t="str">
        <f t="shared" si="4"/>
        <v>low</v>
      </c>
      <c r="T168">
        <v>4609</v>
      </c>
      <c r="U168">
        <v>4</v>
      </c>
      <c r="V168" s="17" t="s">
        <v>43</v>
      </c>
      <c r="W168">
        <v>12</v>
      </c>
      <c r="X168">
        <v>3</v>
      </c>
      <c r="Y168">
        <v>1</v>
      </c>
      <c r="Z168">
        <v>1</v>
      </c>
      <c r="AA168">
        <v>13</v>
      </c>
      <c r="AB168">
        <v>2</v>
      </c>
      <c r="AC168">
        <v>3</v>
      </c>
      <c r="AD168" s="14">
        <v>9</v>
      </c>
      <c r="AE168" t="str">
        <f t="shared" si="5"/>
        <v>6-10 years</v>
      </c>
      <c r="AF168" s="14">
        <v>8</v>
      </c>
      <c r="AG168" s="14">
        <v>1</v>
      </c>
      <c r="AH168" s="14">
        <v>8</v>
      </c>
    </row>
    <row r="169" spans="1:34" x14ac:dyDescent="0.3">
      <c r="A169" s="14">
        <v>30</v>
      </c>
      <c r="B169" s="17" t="s">
        <v>43</v>
      </c>
      <c r="C169" t="s">
        <v>36</v>
      </c>
      <c r="D169">
        <v>1339</v>
      </c>
      <c r="E169" s="17" t="s">
        <v>37</v>
      </c>
      <c r="F169">
        <v>5</v>
      </c>
      <c r="G169">
        <v>3</v>
      </c>
      <c r="H169" t="s">
        <v>38</v>
      </c>
      <c r="I169">
        <v>228</v>
      </c>
      <c r="J169">
        <v>2</v>
      </c>
      <c r="K169" s="17" t="s">
        <v>39</v>
      </c>
      <c r="L169">
        <v>41</v>
      </c>
      <c r="M169">
        <v>3</v>
      </c>
      <c r="N169">
        <v>3</v>
      </c>
      <c r="O169" s="17" t="s">
        <v>40</v>
      </c>
      <c r="P169" s="14">
        <v>4</v>
      </c>
      <c r="Q169" t="s">
        <v>48</v>
      </c>
      <c r="R169" s="14">
        <v>9419</v>
      </c>
      <c r="S169" s="17" t="str">
        <f t="shared" si="4"/>
        <v>high</v>
      </c>
      <c r="T169">
        <v>8053</v>
      </c>
      <c r="U169">
        <v>2</v>
      </c>
      <c r="V169" s="17" t="s">
        <v>43</v>
      </c>
      <c r="W169">
        <v>12</v>
      </c>
      <c r="X169">
        <v>3</v>
      </c>
      <c r="Y169">
        <v>3</v>
      </c>
      <c r="Z169">
        <v>1</v>
      </c>
      <c r="AA169">
        <v>12</v>
      </c>
      <c r="AB169">
        <v>2</v>
      </c>
      <c r="AC169">
        <v>3</v>
      </c>
      <c r="AD169" s="14">
        <v>10</v>
      </c>
      <c r="AE169" t="str">
        <f t="shared" si="5"/>
        <v>6-10 years</v>
      </c>
      <c r="AF169" s="14">
        <v>9</v>
      </c>
      <c r="AG169" s="14">
        <v>7</v>
      </c>
      <c r="AH169" s="14">
        <v>4</v>
      </c>
    </row>
    <row r="170" spans="1:34" x14ac:dyDescent="0.3">
      <c r="A170" s="14">
        <v>38</v>
      </c>
      <c r="B170" s="17" t="s">
        <v>43</v>
      </c>
      <c r="C170" t="s">
        <v>36</v>
      </c>
      <c r="D170">
        <v>702</v>
      </c>
      <c r="E170" s="17" t="s">
        <v>37</v>
      </c>
      <c r="F170">
        <v>1</v>
      </c>
      <c r="G170">
        <v>4</v>
      </c>
      <c r="H170" t="s">
        <v>38</v>
      </c>
      <c r="I170">
        <v>230</v>
      </c>
      <c r="J170">
        <v>1</v>
      </c>
      <c r="K170" s="17" t="s">
        <v>39</v>
      </c>
      <c r="L170">
        <v>59</v>
      </c>
      <c r="M170">
        <v>2</v>
      </c>
      <c r="N170">
        <v>2</v>
      </c>
      <c r="O170" s="17" t="s">
        <v>40</v>
      </c>
      <c r="P170" s="14">
        <v>4</v>
      </c>
      <c r="Q170" t="s">
        <v>41</v>
      </c>
      <c r="R170" s="14">
        <v>8686</v>
      </c>
      <c r="S170" s="17" t="str">
        <f t="shared" si="4"/>
        <v>high</v>
      </c>
      <c r="T170">
        <v>12930</v>
      </c>
      <c r="U170">
        <v>4</v>
      </c>
      <c r="V170" s="17" t="s">
        <v>43</v>
      </c>
      <c r="W170">
        <v>22</v>
      </c>
      <c r="X170">
        <v>4</v>
      </c>
      <c r="Y170">
        <v>3</v>
      </c>
      <c r="Z170">
        <v>0</v>
      </c>
      <c r="AA170">
        <v>12</v>
      </c>
      <c r="AB170">
        <v>2</v>
      </c>
      <c r="AC170">
        <v>4</v>
      </c>
      <c r="AD170" s="14">
        <v>8</v>
      </c>
      <c r="AE170" t="str">
        <f t="shared" si="5"/>
        <v>6-10 years</v>
      </c>
      <c r="AF170" s="14">
        <v>3</v>
      </c>
      <c r="AG170" s="14">
        <v>0</v>
      </c>
      <c r="AH170" s="14">
        <v>7</v>
      </c>
    </row>
    <row r="171" spans="1:34" x14ac:dyDescent="0.3">
      <c r="A171" s="14">
        <v>32</v>
      </c>
      <c r="B171" s="17" t="s">
        <v>43</v>
      </c>
      <c r="C171" t="s">
        <v>36</v>
      </c>
      <c r="D171">
        <v>120</v>
      </c>
      <c r="E171" s="17" t="s">
        <v>45</v>
      </c>
      <c r="F171">
        <v>6</v>
      </c>
      <c r="G171">
        <v>5</v>
      </c>
      <c r="H171" t="s">
        <v>38</v>
      </c>
      <c r="I171">
        <v>231</v>
      </c>
      <c r="J171">
        <v>3</v>
      </c>
      <c r="K171" s="17" t="s">
        <v>46</v>
      </c>
      <c r="L171">
        <v>43</v>
      </c>
      <c r="M171">
        <v>3</v>
      </c>
      <c r="N171">
        <v>1</v>
      </c>
      <c r="O171" s="17" t="s">
        <v>47</v>
      </c>
      <c r="P171" s="14">
        <v>3</v>
      </c>
      <c r="Q171" t="s">
        <v>41</v>
      </c>
      <c r="R171" s="14">
        <v>3038</v>
      </c>
      <c r="S171" s="17" t="str">
        <f t="shared" si="4"/>
        <v>medium</v>
      </c>
      <c r="T171">
        <v>12430</v>
      </c>
      <c r="U171">
        <v>3</v>
      </c>
      <c r="V171" s="17" t="s">
        <v>43</v>
      </c>
      <c r="W171">
        <v>20</v>
      </c>
      <c r="X171">
        <v>4</v>
      </c>
      <c r="Y171">
        <v>1</v>
      </c>
      <c r="Z171">
        <v>0</v>
      </c>
      <c r="AA171">
        <v>8</v>
      </c>
      <c r="AB171">
        <v>2</v>
      </c>
      <c r="AC171">
        <v>3</v>
      </c>
      <c r="AD171" s="14">
        <v>5</v>
      </c>
      <c r="AE171" t="str">
        <f t="shared" si="5"/>
        <v>3-5 years</v>
      </c>
      <c r="AF171" s="14">
        <v>4</v>
      </c>
      <c r="AG171" s="14">
        <v>1</v>
      </c>
      <c r="AH171" s="14">
        <v>4</v>
      </c>
    </row>
    <row r="172" spans="1:34" x14ac:dyDescent="0.3">
      <c r="A172" s="14">
        <v>27</v>
      </c>
      <c r="B172" s="17" t="s">
        <v>43</v>
      </c>
      <c r="C172" t="s">
        <v>36</v>
      </c>
      <c r="D172">
        <v>1157</v>
      </c>
      <c r="E172" s="17" t="s">
        <v>45</v>
      </c>
      <c r="F172">
        <v>17</v>
      </c>
      <c r="G172">
        <v>3</v>
      </c>
      <c r="H172" t="s">
        <v>60</v>
      </c>
      <c r="I172">
        <v>233</v>
      </c>
      <c r="J172">
        <v>3</v>
      </c>
      <c r="K172" s="17" t="s">
        <v>46</v>
      </c>
      <c r="L172">
        <v>51</v>
      </c>
      <c r="M172">
        <v>3</v>
      </c>
      <c r="N172">
        <v>1</v>
      </c>
      <c r="O172" s="17" t="s">
        <v>47</v>
      </c>
      <c r="P172" s="14">
        <v>2</v>
      </c>
      <c r="Q172" t="s">
        <v>48</v>
      </c>
      <c r="R172" s="14">
        <v>3058</v>
      </c>
      <c r="S172" s="17" t="str">
        <f t="shared" si="4"/>
        <v>medium</v>
      </c>
      <c r="T172">
        <v>13364</v>
      </c>
      <c r="U172">
        <v>0</v>
      </c>
      <c r="V172" s="17" t="s">
        <v>35</v>
      </c>
      <c r="W172">
        <v>16</v>
      </c>
      <c r="X172">
        <v>3</v>
      </c>
      <c r="Y172">
        <v>4</v>
      </c>
      <c r="Z172">
        <v>1</v>
      </c>
      <c r="AA172">
        <v>6</v>
      </c>
      <c r="AB172">
        <v>3</v>
      </c>
      <c r="AC172">
        <v>2</v>
      </c>
      <c r="AD172" s="14">
        <v>5</v>
      </c>
      <c r="AE172" t="str">
        <f t="shared" si="5"/>
        <v>3-5 years</v>
      </c>
      <c r="AF172" s="14">
        <v>2</v>
      </c>
      <c r="AG172" s="14">
        <v>1</v>
      </c>
      <c r="AH172" s="14">
        <v>1</v>
      </c>
    </row>
    <row r="173" spans="1:34" x14ac:dyDescent="0.3">
      <c r="A173" s="14">
        <v>19</v>
      </c>
      <c r="B173" s="17" t="s">
        <v>35</v>
      </c>
      <c r="C173" t="s">
        <v>44</v>
      </c>
      <c r="D173">
        <v>602</v>
      </c>
      <c r="E173" s="17" t="s">
        <v>37</v>
      </c>
      <c r="F173">
        <v>1</v>
      </c>
      <c r="G173">
        <v>1</v>
      </c>
      <c r="H173" t="s">
        <v>60</v>
      </c>
      <c r="I173">
        <v>235</v>
      </c>
      <c r="J173">
        <v>3</v>
      </c>
      <c r="K173" s="17" t="s">
        <v>39</v>
      </c>
      <c r="L173">
        <v>100</v>
      </c>
      <c r="M173">
        <v>1</v>
      </c>
      <c r="N173">
        <v>1</v>
      </c>
      <c r="O173" s="17" t="s">
        <v>57</v>
      </c>
      <c r="P173" s="14">
        <v>1</v>
      </c>
      <c r="Q173" t="s">
        <v>41</v>
      </c>
      <c r="R173" s="14">
        <v>2325</v>
      </c>
      <c r="S173" s="17" t="str">
        <f t="shared" si="4"/>
        <v>low</v>
      </c>
      <c r="T173">
        <v>20989</v>
      </c>
      <c r="U173">
        <v>0</v>
      </c>
      <c r="V173" s="17" t="s">
        <v>43</v>
      </c>
      <c r="W173">
        <v>21</v>
      </c>
      <c r="X173">
        <v>4</v>
      </c>
      <c r="Y173">
        <v>1</v>
      </c>
      <c r="Z173">
        <v>0</v>
      </c>
      <c r="AA173">
        <v>1</v>
      </c>
      <c r="AB173">
        <v>5</v>
      </c>
      <c r="AC173">
        <v>4</v>
      </c>
      <c r="AD173" s="14">
        <v>0</v>
      </c>
      <c r="AE173" t="str">
        <f t="shared" si="5"/>
        <v>0-2 years</v>
      </c>
      <c r="AF173" s="14">
        <v>0</v>
      </c>
      <c r="AG173" s="14">
        <v>0</v>
      </c>
      <c r="AH173" s="14">
        <v>0</v>
      </c>
    </row>
    <row r="174" spans="1:34" x14ac:dyDescent="0.3">
      <c r="A174" s="14">
        <v>36</v>
      </c>
      <c r="B174" s="17" t="s">
        <v>43</v>
      </c>
      <c r="C174" t="s">
        <v>44</v>
      </c>
      <c r="D174">
        <v>1480</v>
      </c>
      <c r="E174" s="17" t="s">
        <v>45</v>
      </c>
      <c r="F174">
        <v>3</v>
      </c>
      <c r="G174">
        <v>2</v>
      </c>
      <c r="H174" t="s">
        <v>51</v>
      </c>
      <c r="I174">
        <v>238</v>
      </c>
      <c r="J174">
        <v>4</v>
      </c>
      <c r="K174" s="17" t="s">
        <v>46</v>
      </c>
      <c r="L174">
        <v>30</v>
      </c>
      <c r="M174">
        <v>3</v>
      </c>
      <c r="N174">
        <v>1</v>
      </c>
      <c r="O174" s="17" t="s">
        <v>50</v>
      </c>
      <c r="P174" s="14">
        <v>2</v>
      </c>
      <c r="Q174" t="s">
        <v>41</v>
      </c>
      <c r="R174" s="14">
        <v>2088</v>
      </c>
      <c r="S174" s="17" t="str">
        <f t="shared" si="4"/>
        <v>low</v>
      </c>
      <c r="T174">
        <v>15062</v>
      </c>
      <c r="U174">
        <v>4</v>
      </c>
      <c r="V174" s="17" t="s">
        <v>43</v>
      </c>
      <c r="W174">
        <v>12</v>
      </c>
      <c r="X174">
        <v>3</v>
      </c>
      <c r="Y174">
        <v>3</v>
      </c>
      <c r="Z174">
        <v>0</v>
      </c>
      <c r="AA174">
        <v>13</v>
      </c>
      <c r="AB174">
        <v>3</v>
      </c>
      <c r="AC174">
        <v>2</v>
      </c>
      <c r="AD174" s="14">
        <v>8</v>
      </c>
      <c r="AE174" t="str">
        <f t="shared" si="5"/>
        <v>6-10 years</v>
      </c>
      <c r="AF174" s="14">
        <v>7</v>
      </c>
      <c r="AG174" s="14">
        <v>7</v>
      </c>
      <c r="AH174" s="14">
        <v>2</v>
      </c>
    </row>
    <row r="175" spans="1:34" x14ac:dyDescent="0.3">
      <c r="A175" s="14">
        <v>30</v>
      </c>
      <c r="B175" s="17" t="s">
        <v>43</v>
      </c>
      <c r="C175" t="s">
        <v>55</v>
      </c>
      <c r="D175">
        <v>111</v>
      </c>
      <c r="E175" s="17" t="s">
        <v>45</v>
      </c>
      <c r="F175">
        <v>9</v>
      </c>
      <c r="G175">
        <v>3</v>
      </c>
      <c r="H175" t="s">
        <v>51</v>
      </c>
      <c r="I175">
        <v>239</v>
      </c>
      <c r="J175">
        <v>3</v>
      </c>
      <c r="K175" s="17" t="s">
        <v>46</v>
      </c>
      <c r="L175">
        <v>66</v>
      </c>
      <c r="M175">
        <v>3</v>
      </c>
      <c r="N175">
        <v>2</v>
      </c>
      <c r="O175" s="17" t="s">
        <v>50</v>
      </c>
      <c r="P175" s="14">
        <v>1</v>
      </c>
      <c r="Q175" t="s">
        <v>52</v>
      </c>
      <c r="R175" s="14">
        <v>3072</v>
      </c>
      <c r="S175" s="17" t="str">
        <f t="shared" si="4"/>
        <v>medium</v>
      </c>
      <c r="T175">
        <v>11012</v>
      </c>
      <c r="U175">
        <v>1</v>
      </c>
      <c r="V175" s="17" t="s">
        <v>43</v>
      </c>
      <c r="W175">
        <v>11</v>
      </c>
      <c r="X175">
        <v>3</v>
      </c>
      <c r="Y175">
        <v>3</v>
      </c>
      <c r="Z175">
        <v>2</v>
      </c>
      <c r="AA175">
        <v>12</v>
      </c>
      <c r="AB175">
        <v>4</v>
      </c>
      <c r="AC175">
        <v>3</v>
      </c>
      <c r="AD175" s="14">
        <v>12</v>
      </c>
      <c r="AE175" t="str">
        <f t="shared" si="5"/>
        <v>10+ years</v>
      </c>
      <c r="AF175" s="14">
        <v>9</v>
      </c>
      <c r="AG175" s="14">
        <v>6</v>
      </c>
      <c r="AH175" s="14">
        <v>10</v>
      </c>
    </row>
    <row r="176" spans="1:34" x14ac:dyDescent="0.3">
      <c r="A176" s="14">
        <v>45</v>
      </c>
      <c r="B176" s="17" t="s">
        <v>43</v>
      </c>
      <c r="C176" t="s">
        <v>36</v>
      </c>
      <c r="D176">
        <v>1268</v>
      </c>
      <c r="E176" s="17" t="s">
        <v>37</v>
      </c>
      <c r="F176">
        <v>4</v>
      </c>
      <c r="G176">
        <v>2</v>
      </c>
      <c r="H176" t="s">
        <v>38</v>
      </c>
      <c r="I176">
        <v>240</v>
      </c>
      <c r="J176">
        <v>3</v>
      </c>
      <c r="K176" s="17" t="s">
        <v>39</v>
      </c>
      <c r="L176">
        <v>30</v>
      </c>
      <c r="M176">
        <v>3</v>
      </c>
      <c r="N176">
        <v>2</v>
      </c>
      <c r="O176" s="17" t="s">
        <v>40</v>
      </c>
      <c r="P176" s="14">
        <v>1</v>
      </c>
      <c r="Q176" t="s">
        <v>52</v>
      </c>
      <c r="R176" s="14">
        <v>5006</v>
      </c>
      <c r="S176" s="17" t="str">
        <f t="shared" si="4"/>
        <v>medium</v>
      </c>
      <c r="T176">
        <v>6319</v>
      </c>
      <c r="U176">
        <v>4</v>
      </c>
      <c r="V176" s="17" t="s">
        <v>35</v>
      </c>
      <c r="W176">
        <v>11</v>
      </c>
      <c r="X176">
        <v>3</v>
      </c>
      <c r="Y176">
        <v>1</v>
      </c>
      <c r="Z176">
        <v>1</v>
      </c>
      <c r="AA176">
        <v>9</v>
      </c>
      <c r="AB176">
        <v>3</v>
      </c>
      <c r="AC176">
        <v>4</v>
      </c>
      <c r="AD176" s="14">
        <v>5</v>
      </c>
      <c r="AE176" t="str">
        <f t="shared" si="5"/>
        <v>3-5 years</v>
      </c>
      <c r="AF176" s="14">
        <v>4</v>
      </c>
      <c r="AG176" s="14">
        <v>0</v>
      </c>
      <c r="AH176" s="14">
        <v>3</v>
      </c>
    </row>
    <row r="177" spans="1:34" x14ac:dyDescent="0.3">
      <c r="A177" s="14">
        <v>56</v>
      </c>
      <c r="B177" s="17" t="s">
        <v>43</v>
      </c>
      <c r="C177" t="s">
        <v>36</v>
      </c>
      <c r="D177">
        <v>713</v>
      </c>
      <c r="E177" s="17" t="s">
        <v>45</v>
      </c>
      <c r="F177">
        <v>8</v>
      </c>
      <c r="G177">
        <v>3</v>
      </c>
      <c r="H177" t="s">
        <v>38</v>
      </c>
      <c r="I177">
        <v>241</v>
      </c>
      <c r="J177">
        <v>3</v>
      </c>
      <c r="K177" s="17" t="s">
        <v>39</v>
      </c>
      <c r="L177">
        <v>67</v>
      </c>
      <c r="M177">
        <v>3</v>
      </c>
      <c r="N177">
        <v>1</v>
      </c>
      <c r="O177" s="17" t="s">
        <v>47</v>
      </c>
      <c r="P177" s="14">
        <v>1</v>
      </c>
      <c r="Q177" t="s">
        <v>52</v>
      </c>
      <c r="R177" s="14">
        <v>4257</v>
      </c>
      <c r="S177" s="17" t="str">
        <f t="shared" si="4"/>
        <v>medium</v>
      </c>
      <c r="T177">
        <v>13939</v>
      </c>
      <c r="U177">
        <v>4</v>
      </c>
      <c r="V177" s="17" t="s">
        <v>35</v>
      </c>
      <c r="W177">
        <v>18</v>
      </c>
      <c r="X177">
        <v>3</v>
      </c>
      <c r="Y177">
        <v>3</v>
      </c>
      <c r="Z177">
        <v>1</v>
      </c>
      <c r="AA177">
        <v>19</v>
      </c>
      <c r="AB177">
        <v>3</v>
      </c>
      <c r="AC177">
        <v>3</v>
      </c>
      <c r="AD177" s="14">
        <v>2</v>
      </c>
      <c r="AE177" t="str">
        <f t="shared" si="5"/>
        <v>0-2 years</v>
      </c>
      <c r="AF177" s="14">
        <v>2</v>
      </c>
      <c r="AG177" s="14">
        <v>2</v>
      </c>
      <c r="AH177" s="14">
        <v>2</v>
      </c>
    </row>
    <row r="178" spans="1:34" x14ac:dyDescent="0.3">
      <c r="A178" s="14">
        <v>33</v>
      </c>
      <c r="B178" s="17" t="s">
        <v>43</v>
      </c>
      <c r="C178" t="s">
        <v>36</v>
      </c>
      <c r="D178">
        <v>134</v>
      </c>
      <c r="E178" s="17" t="s">
        <v>45</v>
      </c>
      <c r="F178">
        <v>2</v>
      </c>
      <c r="G178">
        <v>3</v>
      </c>
      <c r="H178" t="s">
        <v>38</v>
      </c>
      <c r="I178">
        <v>242</v>
      </c>
      <c r="J178">
        <v>3</v>
      </c>
      <c r="K178" s="17" t="s">
        <v>46</v>
      </c>
      <c r="L178">
        <v>90</v>
      </c>
      <c r="M178">
        <v>3</v>
      </c>
      <c r="N178">
        <v>1</v>
      </c>
      <c r="O178" s="17" t="s">
        <v>47</v>
      </c>
      <c r="P178" s="14">
        <v>4</v>
      </c>
      <c r="Q178" t="s">
        <v>41</v>
      </c>
      <c r="R178" s="14">
        <v>2500</v>
      </c>
      <c r="S178" s="17" t="str">
        <f t="shared" si="4"/>
        <v>low</v>
      </c>
      <c r="T178">
        <v>10515</v>
      </c>
      <c r="U178">
        <v>0</v>
      </c>
      <c r="V178" s="17" t="s">
        <v>43</v>
      </c>
      <c r="W178">
        <v>14</v>
      </c>
      <c r="X178">
        <v>3</v>
      </c>
      <c r="Y178">
        <v>1</v>
      </c>
      <c r="Z178">
        <v>0</v>
      </c>
      <c r="AA178">
        <v>4</v>
      </c>
      <c r="AB178">
        <v>2</v>
      </c>
      <c r="AC178">
        <v>4</v>
      </c>
      <c r="AD178" s="14">
        <v>3</v>
      </c>
      <c r="AE178" t="str">
        <f t="shared" si="5"/>
        <v>3-5 years</v>
      </c>
      <c r="AF178" s="14">
        <v>1</v>
      </c>
      <c r="AG178" s="14">
        <v>0</v>
      </c>
      <c r="AH178" s="14">
        <v>2</v>
      </c>
    </row>
    <row r="179" spans="1:34" x14ac:dyDescent="0.3">
      <c r="A179" s="14">
        <v>19</v>
      </c>
      <c r="B179" s="17" t="s">
        <v>35</v>
      </c>
      <c r="C179" t="s">
        <v>36</v>
      </c>
      <c r="D179">
        <v>303</v>
      </c>
      <c r="E179" s="17" t="s">
        <v>45</v>
      </c>
      <c r="F179">
        <v>2</v>
      </c>
      <c r="G179">
        <v>3</v>
      </c>
      <c r="H179" t="s">
        <v>38</v>
      </c>
      <c r="I179">
        <v>243</v>
      </c>
      <c r="J179">
        <v>2</v>
      </c>
      <c r="K179" s="17" t="s">
        <v>46</v>
      </c>
      <c r="L179">
        <v>47</v>
      </c>
      <c r="M179">
        <v>2</v>
      </c>
      <c r="N179">
        <v>1</v>
      </c>
      <c r="O179" s="17" t="s">
        <v>50</v>
      </c>
      <c r="P179" s="14">
        <v>4</v>
      </c>
      <c r="Q179" t="s">
        <v>41</v>
      </c>
      <c r="R179" s="14">
        <v>1102</v>
      </c>
      <c r="S179" s="17" t="str">
        <f t="shared" si="4"/>
        <v>low</v>
      </c>
      <c r="T179">
        <v>9241</v>
      </c>
      <c r="U179">
        <v>1</v>
      </c>
      <c r="V179" s="17" t="s">
        <v>43</v>
      </c>
      <c r="W179">
        <v>22</v>
      </c>
      <c r="X179">
        <v>4</v>
      </c>
      <c r="Y179">
        <v>3</v>
      </c>
      <c r="Z179">
        <v>0</v>
      </c>
      <c r="AA179">
        <v>1</v>
      </c>
      <c r="AB179">
        <v>3</v>
      </c>
      <c r="AC179">
        <v>2</v>
      </c>
      <c r="AD179" s="14">
        <v>1</v>
      </c>
      <c r="AE179" t="str">
        <f t="shared" si="5"/>
        <v>0-2 years</v>
      </c>
      <c r="AF179" s="14">
        <v>0</v>
      </c>
      <c r="AG179" s="14">
        <v>1</v>
      </c>
      <c r="AH179" s="14">
        <v>0</v>
      </c>
    </row>
    <row r="180" spans="1:34" x14ac:dyDescent="0.3">
      <c r="A180" s="14">
        <v>46</v>
      </c>
      <c r="B180" s="17" t="s">
        <v>43</v>
      </c>
      <c r="C180" t="s">
        <v>36</v>
      </c>
      <c r="D180">
        <v>526</v>
      </c>
      <c r="E180" s="17" t="s">
        <v>37</v>
      </c>
      <c r="F180">
        <v>1</v>
      </c>
      <c r="G180">
        <v>2</v>
      </c>
      <c r="H180" t="s">
        <v>59</v>
      </c>
      <c r="I180">
        <v>244</v>
      </c>
      <c r="J180">
        <v>2</v>
      </c>
      <c r="K180" s="17" t="s">
        <v>39</v>
      </c>
      <c r="L180">
        <v>92</v>
      </c>
      <c r="M180">
        <v>3</v>
      </c>
      <c r="N180">
        <v>3</v>
      </c>
      <c r="O180" s="17" t="s">
        <v>40</v>
      </c>
      <c r="P180" s="14">
        <v>1</v>
      </c>
      <c r="Q180" t="s">
        <v>52</v>
      </c>
      <c r="R180" s="14">
        <v>10453</v>
      </c>
      <c r="S180" s="17" t="str">
        <f t="shared" si="4"/>
        <v>high</v>
      </c>
      <c r="T180">
        <v>2137</v>
      </c>
      <c r="U180">
        <v>1</v>
      </c>
      <c r="V180" s="17" t="s">
        <v>43</v>
      </c>
      <c r="W180">
        <v>25</v>
      </c>
      <c r="X180">
        <v>4</v>
      </c>
      <c r="Y180">
        <v>3</v>
      </c>
      <c r="Z180">
        <v>3</v>
      </c>
      <c r="AA180">
        <v>24</v>
      </c>
      <c r="AB180">
        <v>2</v>
      </c>
      <c r="AC180">
        <v>3</v>
      </c>
      <c r="AD180" s="14">
        <v>24</v>
      </c>
      <c r="AE180" t="str">
        <f t="shared" si="5"/>
        <v>10+ years</v>
      </c>
      <c r="AF180" s="14">
        <v>13</v>
      </c>
      <c r="AG180" s="14">
        <v>15</v>
      </c>
      <c r="AH180" s="14">
        <v>7</v>
      </c>
    </row>
    <row r="181" spans="1:34" x14ac:dyDescent="0.3">
      <c r="A181" s="14">
        <v>38</v>
      </c>
      <c r="B181" s="17" t="s">
        <v>43</v>
      </c>
      <c r="C181" t="s">
        <v>36</v>
      </c>
      <c r="D181">
        <v>1380</v>
      </c>
      <c r="E181" s="17" t="s">
        <v>45</v>
      </c>
      <c r="F181">
        <v>9</v>
      </c>
      <c r="G181">
        <v>2</v>
      </c>
      <c r="H181" t="s">
        <v>38</v>
      </c>
      <c r="I181">
        <v>245</v>
      </c>
      <c r="J181">
        <v>3</v>
      </c>
      <c r="K181" s="17" t="s">
        <v>39</v>
      </c>
      <c r="L181">
        <v>75</v>
      </c>
      <c r="M181">
        <v>3</v>
      </c>
      <c r="N181">
        <v>1</v>
      </c>
      <c r="O181" s="17" t="s">
        <v>50</v>
      </c>
      <c r="P181" s="14">
        <v>4</v>
      </c>
      <c r="Q181" t="s">
        <v>41</v>
      </c>
      <c r="R181" s="14">
        <v>2288</v>
      </c>
      <c r="S181" s="17" t="str">
        <f t="shared" si="4"/>
        <v>low</v>
      </c>
      <c r="T181">
        <v>6319</v>
      </c>
      <c r="U181">
        <v>1</v>
      </c>
      <c r="V181" s="17" t="s">
        <v>43</v>
      </c>
      <c r="W181">
        <v>12</v>
      </c>
      <c r="X181">
        <v>3</v>
      </c>
      <c r="Y181">
        <v>3</v>
      </c>
      <c r="Z181">
        <v>0</v>
      </c>
      <c r="AA181">
        <v>2</v>
      </c>
      <c r="AB181">
        <v>3</v>
      </c>
      <c r="AC181">
        <v>3</v>
      </c>
      <c r="AD181" s="14">
        <v>2</v>
      </c>
      <c r="AE181" t="str">
        <f t="shared" si="5"/>
        <v>0-2 years</v>
      </c>
      <c r="AF181" s="14">
        <v>2</v>
      </c>
      <c r="AG181" s="14">
        <v>2</v>
      </c>
      <c r="AH181" s="14">
        <v>1</v>
      </c>
    </row>
    <row r="182" spans="1:34" x14ac:dyDescent="0.3">
      <c r="A182" s="14">
        <v>31</v>
      </c>
      <c r="B182" s="17" t="s">
        <v>43</v>
      </c>
      <c r="C182" t="s">
        <v>36</v>
      </c>
      <c r="D182">
        <v>140</v>
      </c>
      <c r="E182" s="17" t="s">
        <v>45</v>
      </c>
      <c r="F182">
        <v>12</v>
      </c>
      <c r="G182">
        <v>1</v>
      </c>
      <c r="H182" t="s">
        <v>51</v>
      </c>
      <c r="I182">
        <v>246</v>
      </c>
      <c r="J182">
        <v>3</v>
      </c>
      <c r="K182" s="17" t="s">
        <v>39</v>
      </c>
      <c r="L182">
        <v>95</v>
      </c>
      <c r="M182">
        <v>3</v>
      </c>
      <c r="N182">
        <v>1</v>
      </c>
      <c r="O182" s="17" t="s">
        <v>47</v>
      </c>
      <c r="P182" s="14">
        <v>4</v>
      </c>
      <c r="Q182" t="s">
        <v>48</v>
      </c>
      <c r="R182" s="14">
        <v>3929</v>
      </c>
      <c r="S182" s="17" t="str">
        <f t="shared" si="4"/>
        <v>medium</v>
      </c>
      <c r="T182">
        <v>6984</v>
      </c>
      <c r="U182">
        <v>8</v>
      </c>
      <c r="V182" s="17" t="s">
        <v>35</v>
      </c>
      <c r="W182">
        <v>23</v>
      </c>
      <c r="X182">
        <v>4</v>
      </c>
      <c r="Y182">
        <v>3</v>
      </c>
      <c r="Z182">
        <v>1</v>
      </c>
      <c r="AA182">
        <v>7</v>
      </c>
      <c r="AB182">
        <v>0</v>
      </c>
      <c r="AC182">
        <v>3</v>
      </c>
      <c r="AD182" s="14">
        <v>4</v>
      </c>
      <c r="AE182" t="str">
        <f t="shared" si="5"/>
        <v>3-5 years</v>
      </c>
      <c r="AF182" s="14">
        <v>2</v>
      </c>
      <c r="AG182" s="14">
        <v>0</v>
      </c>
      <c r="AH182" s="14">
        <v>2</v>
      </c>
    </row>
    <row r="183" spans="1:34" x14ac:dyDescent="0.3">
      <c r="A183" s="14">
        <v>34</v>
      </c>
      <c r="B183" s="17" t="s">
        <v>43</v>
      </c>
      <c r="C183" t="s">
        <v>36</v>
      </c>
      <c r="D183">
        <v>629</v>
      </c>
      <c r="E183" s="17" t="s">
        <v>45</v>
      </c>
      <c r="F183">
        <v>27</v>
      </c>
      <c r="G183">
        <v>2</v>
      </c>
      <c r="H183" t="s">
        <v>51</v>
      </c>
      <c r="I183">
        <v>247</v>
      </c>
      <c r="J183">
        <v>4</v>
      </c>
      <c r="K183" s="17" t="s">
        <v>39</v>
      </c>
      <c r="L183">
        <v>95</v>
      </c>
      <c r="M183">
        <v>3</v>
      </c>
      <c r="N183">
        <v>1</v>
      </c>
      <c r="O183" s="17" t="s">
        <v>47</v>
      </c>
      <c r="P183" s="14">
        <v>2</v>
      </c>
      <c r="Q183" t="s">
        <v>41</v>
      </c>
      <c r="R183" s="14">
        <v>2311</v>
      </c>
      <c r="S183" s="17" t="str">
        <f t="shared" si="4"/>
        <v>low</v>
      </c>
      <c r="T183">
        <v>5711</v>
      </c>
      <c r="U183">
        <v>2</v>
      </c>
      <c r="V183" s="17" t="s">
        <v>43</v>
      </c>
      <c r="W183">
        <v>15</v>
      </c>
      <c r="X183">
        <v>3</v>
      </c>
      <c r="Y183">
        <v>4</v>
      </c>
      <c r="Z183">
        <v>0</v>
      </c>
      <c r="AA183">
        <v>9</v>
      </c>
      <c r="AB183">
        <v>3</v>
      </c>
      <c r="AC183">
        <v>3</v>
      </c>
      <c r="AD183" s="14">
        <v>3</v>
      </c>
      <c r="AE183" t="str">
        <f t="shared" si="5"/>
        <v>3-5 years</v>
      </c>
      <c r="AF183" s="14">
        <v>2</v>
      </c>
      <c r="AG183" s="14">
        <v>1</v>
      </c>
      <c r="AH183" s="14">
        <v>2</v>
      </c>
    </row>
    <row r="184" spans="1:34" x14ac:dyDescent="0.3">
      <c r="A184" s="14">
        <v>41</v>
      </c>
      <c r="B184" s="17" t="s">
        <v>35</v>
      </c>
      <c r="C184" t="s">
        <v>36</v>
      </c>
      <c r="D184">
        <v>1356</v>
      </c>
      <c r="E184" s="17" t="s">
        <v>37</v>
      </c>
      <c r="F184">
        <v>20</v>
      </c>
      <c r="G184">
        <v>2</v>
      </c>
      <c r="H184" t="s">
        <v>59</v>
      </c>
      <c r="I184">
        <v>248</v>
      </c>
      <c r="J184">
        <v>2</v>
      </c>
      <c r="K184" s="17" t="s">
        <v>39</v>
      </c>
      <c r="L184">
        <v>70</v>
      </c>
      <c r="M184">
        <v>3</v>
      </c>
      <c r="N184">
        <v>1</v>
      </c>
      <c r="O184" s="17" t="s">
        <v>57</v>
      </c>
      <c r="P184" s="14">
        <v>2</v>
      </c>
      <c r="Q184" t="s">
        <v>41</v>
      </c>
      <c r="R184" s="14">
        <v>3140</v>
      </c>
      <c r="S184" s="17" t="str">
        <f t="shared" si="4"/>
        <v>medium</v>
      </c>
      <c r="T184">
        <v>21728</v>
      </c>
      <c r="U184">
        <v>1</v>
      </c>
      <c r="V184" s="17" t="s">
        <v>35</v>
      </c>
      <c r="W184">
        <v>22</v>
      </c>
      <c r="X184">
        <v>4</v>
      </c>
      <c r="Y184">
        <v>4</v>
      </c>
      <c r="Z184">
        <v>0</v>
      </c>
      <c r="AA184">
        <v>4</v>
      </c>
      <c r="AB184">
        <v>5</v>
      </c>
      <c r="AC184">
        <v>2</v>
      </c>
      <c r="AD184" s="14">
        <v>4</v>
      </c>
      <c r="AE184" t="str">
        <f t="shared" si="5"/>
        <v>3-5 years</v>
      </c>
      <c r="AF184" s="14">
        <v>3</v>
      </c>
      <c r="AG184" s="14">
        <v>0</v>
      </c>
      <c r="AH184" s="14">
        <v>2</v>
      </c>
    </row>
    <row r="185" spans="1:34" x14ac:dyDescent="0.3">
      <c r="A185" s="14">
        <v>50</v>
      </c>
      <c r="B185" s="17" t="s">
        <v>43</v>
      </c>
      <c r="C185" t="s">
        <v>36</v>
      </c>
      <c r="D185">
        <v>328</v>
      </c>
      <c r="E185" s="17" t="s">
        <v>45</v>
      </c>
      <c r="F185">
        <v>1</v>
      </c>
      <c r="G185">
        <v>3</v>
      </c>
      <c r="H185" t="s">
        <v>51</v>
      </c>
      <c r="I185">
        <v>249</v>
      </c>
      <c r="J185">
        <v>3</v>
      </c>
      <c r="K185" s="17" t="s">
        <v>46</v>
      </c>
      <c r="L185">
        <v>86</v>
      </c>
      <c r="M185">
        <v>2</v>
      </c>
      <c r="N185">
        <v>1</v>
      </c>
      <c r="O185" s="17" t="s">
        <v>50</v>
      </c>
      <c r="P185" s="14">
        <v>3</v>
      </c>
      <c r="Q185" t="s">
        <v>48</v>
      </c>
      <c r="R185" s="14">
        <v>3690</v>
      </c>
      <c r="S185" s="17" t="str">
        <f t="shared" si="4"/>
        <v>medium</v>
      </c>
      <c r="T185">
        <v>3425</v>
      </c>
      <c r="U185">
        <v>2</v>
      </c>
      <c r="V185" s="17" t="s">
        <v>43</v>
      </c>
      <c r="W185">
        <v>15</v>
      </c>
      <c r="X185">
        <v>3</v>
      </c>
      <c r="Y185">
        <v>4</v>
      </c>
      <c r="Z185">
        <v>1</v>
      </c>
      <c r="AA185">
        <v>5</v>
      </c>
      <c r="AB185">
        <v>2</v>
      </c>
      <c r="AC185">
        <v>2</v>
      </c>
      <c r="AD185" s="14">
        <v>3</v>
      </c>
      <c r="AE185" t="str">
        <f t="shared" si="5"/>
        <v>3-5 years</v>
      </c>
      <c r="AF185" s="14">
        <v>2</v>
      </c>
      <c r="AG185" s="14">
        <v>0</v>
      </c>
      <c r="AH185" s="14">
        <v>2</v>
      </c>
    </row>
    <row r="186" spans="1:34" x14ac:dyDescent="0.3">
      <c r="A186" s="14">
        <v>53</v>
      </c>
      <c r="B186" s="17" t="s">
        <v>43</v>
      </c>
      <c r="C186" t="s">
        <v>36</v>
      </c>
      <c r="D186">
        <v>1084</v>
      </c>
      <c r="E186" s="17" t="s">
        <v>45</v>
      </c>
      <c r="F186">
        <v>13</v>
      </c>
      <c r="G186">
        <v>2</v>
      </c>
      <c r="H186" t="s">
        <v>51</v>
      </c>
      <c r="I186">
        <v>250</v>
      </c>
      <c r="J186">
        <v>4</v>
      </c>
      <c r="K186" s="17" t="s">
        <v>39</v>
      </c>
      <c r="L186">
        <v>57</v>
      </c>
      <c r="M186">
        <v>4</v>
      </c>
      <c r="N186">
        <v>2</v>
      </c>
      <c r="O186" s="17" t="s">
        <v>53</v>
      </c>
      <c r="P186" s="14">
        <v>1</v>
      </c>
      <c r="Q186" t="s">
        <v>52</v>
      </c>
      <c r="R186" s="14">
        <v>4450</v>
      </c>
      <c r="S186" s="17" t="str">
        <f t="shared" si="4"/>
        <v>medium</v>
      </c>
      <c r="T186">
        <v>26250</v>
      </c>
      <c r="U186">
        <v>1</v>
      </c>
      <c r="V186" s="17" t="s">
        <v>43</v>
      </c>
      <c r="W186">
        <v>11</v>
      </c>
      <c r="X186">
        <v>3</v>
      </c>
      <c r="Y186">
        <v>3</v>
      </c>
      <c r="Z186">
        <v>2</v>
      </c>
      <c r="AA186">
        <v>5</v>
      </c>
      <c r="AB186">
        <v>3</v>
      </c>
      <c r="AC186">
        <v>3</v>
      </c>
      <c r="AD186" s="14">
        <v>4</v>
      </c>
      <c r="AE186" t="str">
        <f t="shared" si="5"/>
        <v>3-5 years</v>
      </c>
      <c r="AF186" s="14">
        <v>2</v>
      </c>
      <c r="AG186" s="14">
        <v>1</v>
      </c>
      <c r="AH186" s="14">
        <v>3</v>
      </c>
    </row>
    <row r="187" spans="1:34" x14ac:dyDescent="0.3">
      <c r="A187" s="14">
        <v>33</v>
      </c>
      <c r="B187" s="17" t="s">
        <v>43</v>
      </c>
      <c r="C187" t="s">
        <v>36</v>
      </c>
      <c r="D187">
        <v>931</v>
      </c>
      <c r="E187" s="17" t="s">
        <v>45</v>
      </c>
      <c r="F187">
        <v>14</v>
      </c>
      <c r="G187">
        <v>3</v>
      </c>
      <c r="H187" t="s">
        <v>51</v>
      </c>
      <c r="I187">
        <v>252</v>
      </c>
      <c r="J187">
        <v>4</v>
      </c>
      <c r="K187" s="17" t="s">
        <v>39</v>
      </c>
      <c r="L187">
        <v>72</v>
      </c>
      <c r="M187">
        <v>3</v>
      </c>
      <c r="N187">
        <v>1</v>
      </c>
      <c r="O187" s="17" t="s">
        <v>47</v>
      </c>
      <c r="P187" s="14">
        <v>2</v>
      </c>
      <c r="Q187" t="s">
        <v>48</v>
      </c>
      <c r="R187" s="14">
        <v>2756</v>
      </c>
      <c r="S187" s="17" t="str">
        <f t="shared" si="4"/>
        <v>low</v>
      </c>
      <c r="T187">
        <v>4673</v>
      </c>
      <c r="U187">
        <v>1</v>
      </c>
      <c r="V187" s="17" t="s">
        <v>43</v>
      </c>
      <c r="W187">
        <v>13</v>
      </c>
      <c r="X187">
        <v>3</v>
      </c>
      <c r="Y187">
        <v>4</v>
      </c>
      <c r="Z187">
        <v>1</v>
      </c>
      <c r="AA187">
        <v>8</v>
      </c>
      <c r="AB187">
        <v>5</v>
      </c>
      <c r="AC187">
        <v>3</v>
      </c>
      <c r="AD187" s="14">
        <v>8</v>
      </c>
      <c r="AE187" t="str">
        <f t="shared" si="5"/>
        <v>6-10 years</v>
      </c>
      <c r="AF187" s="14">
        <v>7</v>
      </c>
      <c r="AG187" s="14">
        <v>1</v>
      </c>
      <c r="AH187" s="14">
        <v>6</v>
      </c>
    </row>
    <row r="188" spans="1:34" x14ac:dyDescent="0.3">
      <c r="A188" s="14">
        <v>40</v>
      </c>
      <c r="B188" s="17" t="s">
        <v>43</v>
      </c>
      <c r="C188" t="s">
        <v>36</v>
      </c>
      <c r="D188">
        <v>989</v>
      </c>
      <c r="E188" s="17" t="s">
        <v>45</v>
      </c>
      <c r="F188">
        <v>4</v>
      </c>
      <c r="G188">
        <v>1</v>
      </c>
      <c r="H188" t="s">
        <v>51</v>
      </c>
      <c r="I188">
        <v>253</v>
      </c>
      <c r="J188">
        <v>4</v>
      </c>
      <c r="K188" s="17" t="s">
        <v>39</v>
      </c>
      <c r="L188">
        <v>46</v>
      </c>
      <c r="M188">
        <v>3</v>
      </c>
      <c r="N188">
        <v>5</v>
      </c>
      <c r="O188" s="17" t="s">
        <v>56</v>
      </c>
      <c r="P188" s="14">
        <v>3</v>
      </c>
      <c r="Q188" t="s">
        <v>48</v>
      </c>
      <c r="R188" s="14">
        <v>19033</v>
      </c>
      <c r="S188" s="17" t="str">
        <f t="shared" si="4"/>
        <v>high</v>
      </c>
      <c r="T188">
        <v>6499</v>
      </c>
      <c r="U188">
        <v>1</v>
      </c>
      <c r="V188" s="17" t="s">
        <v>43</v>
      </c>
      <c r="W188">
        <v>14</v>
      </c>
      <c r="X188">
        <v>3</v>
      </c>
      <c r="Y188">
        <v>2</v>
      </c>
      <c r="Z188">
        <v>1</v>
      </c>
      <c r="AA188">
        <v>21</v>
      </c>
      <c r="AB188">
        <v>2</v>
      </c>
      <c r="AC188">
        <v>3</v>
      </c>
      <c r="AD188" s="14">
        <v>20</v>
      </c>
      <c r="AE188" t="str">
        <f t="shared" si="5"/>
        <v>10+ years</v>
      </c>
      <c r="AF188" s="14">
        <v>8</v>
      </c>
      <c r="AG188" s="14">
        <v>9</v>
      </c>
      <c r="AH188" s="14">
        <v>9</v>
      </c>
    </row>
    <row r="189" spans="1:34" x14ac:dyDescent="0.3">
      <c r="A189" s="14">
        <v>55</v>
      </c>
      <c r="B189" s="17" t="s">
        <v>43</v>
      </c>
      <c r="C189" t="s">
        <v>36</v>
      </c>
      <c r="D189">
        <v>692</v>
      </c>
      <c r="E189" s="17" t="s">
        <v>45</v>
      </c>
      <c r="F189">
        <v>14</v>
      </c>
      <c r="G189">
        <v>4</v>
      </c>
      <c r="H189" t="s">
        <v>51</v>
      </c>
      <c r="I189">
        <v>254</v>
      </c>
      <c r="J189">
        <v>3</v>
      </c>
      <c r="K189" s="17" t="s">
        <v>46</v>
      </c>
      <c r="L189">
        <v>61</v>
      </c>
      <c r="M189">
        <v>4</v>
      </c>
      <c r="N189">
        <v>5</v>
      </c>
      <c r="O189" s="17" t="s">
        <v>58</v>
      </c>
      <c r="P189" s="14">
        <v>2</v>
      </c>
      <c r="Q189" t="s">
        <v>41</v>
      </c>
      <c r="R189" s="14">
        <v>18722</v>
      </c>
      <c r="S189" s="17" t="str">
        <f t="shared" si="4"/>
        <v>high</v>
      </c>
      <c r="T189">
        <v>13339</v>
      </c>
      <c r="U189">
        <v>8</v>
      </c>
      <c r="V189" s="17" t="s">
        <v>43</v>
      </c>
      <c r="W189">
        <v>11</v>
      </c>
      <c r="X189">
        <v>3</v>
      </c>
      <c r="Y189">
        <v>4</v>
      </c>
      <c r="Z189">
        <v>0</v>
      </c>
      <c r="AA189">
        <v>36</v>
      </c>
      <c r="AB189">
        <v>3</v>
      </c>
      <c r="AC189">
        <v>3</v>
      </c>
      <c r="AD189" s="14">
        <v>24</v>
      </c>
      <c r="AE189" t="str">
        <f t="shared" si="5"/>
        <v>10+ years</v>
      </c>
      <c r="AF189" s="14">
        <v>15</v>
      </c>
      <c r="AG189" s="14">
        <v>2</v>
      </c>
      <c r="AH189" s="14">
        <v>15</v>
      </c>
    </row>
    <row r="190" spans="1:34" x14ac:dyDescent="0.3">
      <c r="A190" s="14">
        <v>34</v>
      </c>
      <c r="B190" s="17" t="s">
        <v>43</v>
      </c>
      <c r="C190" t="s">
        <v>44</v>
      </c>
      <c r="D190">
        <v>1069</v>
      </c>
      <c r="E190" s="17" t="s">
        <v>45</v>
      </c>
      <c r="F190">
        <v>2</v>
      </c>
      <c r="G190">
        <v>1</v>
      </c>
      <c r="H190" t="s">
        <v>38</v>
      </c>
      <c r="I190">
        <v>256</v>
      </c>
      <c r="J190">
        <v>4</v>
      </c>
      <c r="K190" s="17" t="s">
        <v>46</v>
      </c>
      <c r="L190">
        <v>45</v>
      </c>
      <c r="M190">
        <v>2</v>
      </c>
      <c r="N190">
        <v>2</v>
      </c>
      <c r="O190" s="17" t="s">
        <v>53</v>
      </c>
      <c r="P190" s="14">
        <v>3</v>
      </c>
      <c r="Q190" t="s">
        <v>48</v>
      </c>
      <c r="R190" s="14">
        <v>9547</v>
      </c>
      <c r="S190" s="17" t="str">
        <f t="shared" si="4"/>
        <v>high</v>
      </c>
      <c r="T190">
        <v>14074</v>
      </c>
      <c r="U190">
        <v>1</v>
      </c>
      <c r="V190" s="17" t="s">
        <v>43</v>
      </c>
      <c r="W190">
        <v>17</v>
      </c>
      <c r="X190">
        <v>3</v>
      </c>
      <c r="Y190">
        <v>3</v>
      </c>
      <c r="Z190">
        <v>0</v>
      </c>
      <c r="AA190">
        <v>10</v>
      </c>
      <c r="AB190">
        <v>2</v>
      </c>
      <c r="AC190">
        <v>2</v>
      </c>
      <c r="AD190" s="14">
        <v>10</v>
      </c>
      <c r="AE190" t="str">
        <f t="shared" si="5"/>
        <v>6-10 years</v>
      </c>
      <c r="AF190" s="14">
        <v>9</v>
      </c>
      <c r="AG190" s="14">
        <v>1</v>
      </c>
      <c r="AH190" s="14">
        <v>9</v>
      </c>
    </row>
    <row r="191" spans="1:34" x14ac:dyDescent="0.3">
      <c r="A191" s="14">
        <v>51</v>
      </c>
      <c r="B191" s="17" t="s">
        <v>43</v>
      </c>
      <c r="C191" t="s">
        <v>36</v>
      </c>
      <c r="D191">
        <v>313</v>
      </c>
      <c r="E191" s="17" t="s">
        <v>45</v>
      </c>
      <c r="F191">
        <v>3</v>
      </c>
      <c r="G191">
        <v>3</v>
      </c>
      <c r="H191" t="s">
        <v>51</v>
      </c>
      <c r="I191">
        <v>258</v>
      </c>
      <c r="J191">
        <v>4</v>
      </c>
      <c r="K191" s="17" t="s">
        <v>39</v>
      </c>
      <c r="L191">
        <v>98</v>
      </c>
      <c r="M191">
        <v>3</v>
      </c>
      <c r="N191">
        <v>4</v>
      </c>
      <c r="O191" s="17" t="s">
        <v>54</v>
      </c>
      <c r="P191" s="14">
        <v>2</v>
      </c>
      <c r="Q191" t="s">
        <v>41</v>
      </c>
      <c r="R191" s="14">
        <v>13734</v>
      </c>
      <c r="S191" s="17" t="str">
        <f t="shared" si="4"/>
        <v>high</v>
      </c>
      <c r="T191">
        <v>7192</v>
      </c>
      <c r="U191">
        <v>3</v>
      </c>
      <c r="V191" s="17" t="s">
        <v>43</v>
      </c>
      <c r="W191">
        <v>18</v>
      </c>
      <c r="X191">
        <v>3</v>
      </c>
      <c r="Y191">
        <v>3</v>
      </c>
      <c r="Z191">
        <v>0</v>
      </c>
      <c r="AA191">
        <v>21</v>
      </c>
      <c r="AB191">
        <v>6</v>
      </c>
      <c r="AC191">
        <v>3</v>
      </c>
      <c r="AD191" s="14">
        <v>7</v>
      </c>
      <c r="AE191" t="str">
        <f t="shared" si="5"/>
        <v>6-10 years</v>
      </c>
      <c r="AF191" s="14">
        <v>7</v>
      </c>
      <c r="AG191" s="14">
        <v>1</v>
      </c>
      <c r="AH191" s="14">
        <v>0</v>
      </c>
    </row>
    <row r="192" spans="1:34" x14ac:dyDescent="0.3">
      <c r="A192" s="14">
        <v>52</v>
      </c>
      <c r="B192" s="17" t="s">
        <v>43</v>
      </c>
      <c r="C192" t="s">
        <v>36</v>
      </c>
      <c r="D192">
        <v>699</v>
      </c>
      <c r="E192" s="17" t="s">
        <v>45</v>
      </c>
      <c r="F192">
        <v>1</v>
      </c>
      <c r="G192">
        <v>4</v>
      </c>
      <c r="H192" t="s">
        <v>38</v>
      </c>
      <c r="I192">
        <v>259</v>
      </c>
      <c r="J192">
        <v>3</v>
      </c>
      <c r="K192" s="17" t="s">
        <v>46</v>
      </c>
      <c r="L192">
        <v>65</v>
      </c>
      <c r="M192">
        <v>2</v>
      </c>
      <c r="N192">
        <v>5</v>
      </c>
      <c r="O192" s="17" t="s">
        <v>56</v>
      </c>
      <c r="P192" s="14">
        <v>3</v>
      </c>
      <c r="Q192" t="s">
        <v>48</v>
      </c>
      <c r="R192" s="14">
        <v>19999</v>
      </c>
      <c r="S192" s="17" t="str">
        <f t="shared" si="4"/>
        <v>high</v>
      </c>
      <c r="T192">
        <v>5678</v>
      </c>
      <c r="U192">
        <v>0</v>
      </c>
      <c r="V192" s="17" t="s">
        <v>43</v>
      </c>
      <c r="W192">
        <v>14</v>
      </c>
      <c r="X192">
        <v>3</v>
      </c>
      <c r="Y192">
        <v>1</v>
      </c>
      <c r="Z192">
        <v>1</v>
      </c>
      <c r="AA192">
        <v>34</v>
      </c>
      <c r="AB192">
        <v>5</v>
      </c>
      <c r="AC192">
        <v>3</v>
      </c>
      <c r="AD192" s="14">
        <v>33</v>
      </c>
      <c r="AE192" t="str">
        <f t="shared" si="5"/>
        <v>10+ years</v>
      </c>
      <c r="AF192" s="14">
        <v>18</v>
      </c>
      <c r="AG192" s="14">
        <v>11</v>
      </c>
      <c r="AH192" s="14">
        <v>9</v>
      </c>
    </row>
    <row r="193" spans="1:34" x14ac:dyDescent="0.3">
      <c r="A193" s="14">
        <v>27</v>
      </c>
      <c r="B193" s="17" t="s">
        <v>43</v>
      </c>
      <c r="C193" t="s">
        <v>36</v>
      </c>
      <c r="D193">
        <v>894</v>
      </c>
      <c r="E193" s="17" t="s">
        <v>45</v>
      </c>
      <c r="F193">
        <v>9</v>
      </c>
      <c r="G193">
        <v>3</v>
      </c>
      <c r="H193" t="s">
        <v>51</v>
      </c>
      <c r="I193">
        <v>260</v>
      </c>
      <c r="J193">
        <v>4</v>
      </c>
      <c r="K193" s="17" t="s">
        <v>39</v>
      </c>
      <c r="L193">
        <v>99</v>
      </c>
      <c r="M193">
        <v>3</v>
      </c>
      <c r="N193">
        <v>1</v>
      </c>
      <c r="O193" s="17" t="s">
        <v>47</v>
      </c>
      <c r="P193" s="14">
        <v>2</v>
      </c>
      <c r="Q193" t="s">
        <v>41</v>
      </c>
      <c r="R193" s="14">
        <v>2279</v>
      </c>
      <c r="S193" s="17" t="str">
        <f t="shared" si="4"/>
        <v>low</v>
      </c>
      <c r="T193">
        <v>11781</v>
      </c>
      <c r="U193">
        <v>1</v>
      </c>
      <c r="V193" s="17" t="s">
        <v>43</v>
      </c>
      <c r="W193">
        <v>16</v>
      </c>
      <c r="X193">
        <v>3</v>
      </c>
      <c r="Y193">
        <v>4</v>
      </c>
      <c r="Z193">
        <v>0</v>
      </c>
      <c r="AA193">
        <v>7</v>
      </c>
      <c r="AB193">
        <v>2</v>
      </c>
      <c r="AC193">
        <v>2</v>
      </c>
      <c r="AD193" s="14">
        <v>7</v>
      </c>
      <c r="AE193" t="str">
        <f t="shared" si="5"/>
        <v>6-10 years</v>
      </c>
      <c r="AF193" s="14">
        <v>7</v>
      </c>
      <c r="AG193" s="14">
        <v>0</v>
      </c>
      <c r="AH193" s="14">
        <v>3</v>
      </c>
    </row>
    <row r="194" spans="1:34" x14ac:dyDescent="0.3">
      <c r="A194" s="14">
        <v>35</v>
      </c>
      <c r="B194" s="17" t="s">
        <v>35</v>
      </c>
      <c r="C194" t="s">
        <v>36</v>
      </c>
      <c r="D194">
        <v>556</v>
      </c>
      <c r="E194" s="17" t="s">
        <v>45</v>
      </c>
      <c r="F194">
        <v>23</v>
      </c>
      <c r="G194">
        <v>2</v>
      </c>
      <c r="H194" t="s">
        <v>38</v>
      </c>
      <c r="I194">
        <v>261</v>
      </c>
      <c r="J194">
        <v>2</v>
      </c>
      <c r="K194" s="17" t="s">
        <v>46</v>
      </c>
      <c r="L194">
        <v>50</v>
      </c>
      <c r="M194">
        <v>2</v>
      </c>
      <c r="N194">
        <v>2</v>
      </c>
      <c r="O194" s="17" t="s">
        <v>53</v>
      </c>
      <c r="P194" s="14">
        <v>3</v>
      </c>
      <c r="Q194" t="s">
        <v>48</v>
      </c>
      <c r="R194" s="14">
        <v>5916</v>
      </c>
      <c r="S194" s="17" t="str">
        <f t="shared" ref="S194:S257" si="6">IF(R194&lt;=3000, "low",IF(R194&lt;=7000,"medium","high"))</f>
        <v>medium</v>
      </c>
      <c r="T194">
        <v>15497</v>
      </c>
      <c r="U194">
        <v>3</v>
      </c>
      <c r="V194" s="17" t="s">
        <v>35</v>
      </c>
      <c r="W194">
        <v>13</v>
      </c>
      <c r="X194">
        <v>3</v>
      </c>
      <c r="Y194">
        <v>1</v>
      </c>
      <c r="Z194">
        <v>0</v>
      </c>
      <c r="AA194">
        <v>8</v>
      </c>
      <c r="AB194">
        <v>1</v>
      </c>
      <c r="AC194">
        <v>3</v>
      </c>
      <c r="AD194" s="14">
        <v>1</v>
      </c>
      <c r="AE194" t="str">
        <f t="shared" ref="AE194:AE257" si="7">IF(AD194&lt;=2,"0-2 years", IF(AD194&lt;=5,"3-5 years", IF(AD194&lt;=10,"6-10 years","10+ years")))</f>
        <v>0-2 years</v>
      </c>
      <c r="AF194" s="14">
        <v>0</v>
      </c>
      <c r="AG194" s="14">
        <v>0</v>
      </c>
      <c r="AH194" s="14">
        <v>1</v>
      </c>
    </row>
    <row r="195" spans="1:34" x14ac:dyDescent="0.3">
      <c r="A195" s="14">
        <v>43</v>
      </c>
      <c r="B195" s="17" t="s">
        <v>43</v>
      </c>
      <c r="C195" t="s">
        <v>55</v>
      </c>
      <c r="D195">
        <v>1344</v>
      </c>
      <c r="E195" s="17" t="s">
        <v>45</v>
      </c>
      <c r="F195">
        <v>7</v>
      </c>
      <c r="G195">
        <v>3</v>
      </c>
      <c r="H195" t="s">
        <v>51</v>
      </c>
      <c r="I195">
        <v>262</v>
      </c>
      <c r="J195">
        <v>4</v>
      </c>
      <c r="K195" s="17" t="s">
        <v>46</v>
      </c>
      <c r="L195">
        <v>37</v>
      </c>
      <c r="M195">
        <v>4</v>
      </c>
      <c r="N195">
        <v>1</v>
      </c>
      <c r="O195" s="17" t="s">
        <v>47</v>
      </c>
      <c r="P195" s="14">
        <v>4</v>
      </c>
      <c r="Q195" t="s">
        <v>52</v>
      </c>
      <c r="R195" s="14">
        <v>2089</v>
      </c>
      <c r="S195" s="17" t="str">
        <f t="shared" si="6"/>
        <v>low</v>
      </c>
      <c r="T195">
        <v>5228</v>
      </c>
      <c r="U195">
        <v>4</v>
      </c>
      <c r="V195" s="17" t="s">
        <v>43</v>
      </c>
      <c r="W195">
        <v>14</v>
      </c>
      <c r="X195">
        <v>3</v>
      </c>
      <c r="Y195">
        <v>4</v>
      </c>
      <c r="Z195">
        <v>3</v>
      </c>
      <c r="AA195">
        <v>7</v>
      </c>
      <c r="AB195">
        <v>3</v>
      </c>
      <c r="AC195">
        <v>4</v>
      </c>
      <c r="AD195" s="14">
        <v>5</v>
      </c>
      <c r="AE195" t="str">
        <f t="shared" si="7"/>
        <v>3-5 years</v>
      </c>
      <c r="AF195" s="14">
        <v>4</v>
      </c>
      <c r="AG195" s="14">
        <v>2</v>
      </c>
      <c r="AH195" s="14">
        <v>2</v>
      </c>
    </row>
    <row r="196" spans="1:34" x14ac:dyDescent="0.3">
      <c r="A196" s="14">
        <v>45</v>
      </c>
      <c r="B196" s="17" t="s">
        <v>43</v>
      </c>
      <c r="C196" t="s">
        <v>55</v>
      </c>
      <c r="D196">
        <v>1195</v>
      </c>
      <c r="E196" s="17" t="s">
        <v>45</v>
      </c>
      <c r="F196">
        <v>2</v>
      </c>
      <c r="G196">
        <v>2</v>
      </c>
      <c r="H196" t="s">
        <v>51</v>
      </c>
      <c r="I196">
        <v>264</v>
      </c>
      <c r="J196">
        <v>1</v>
      </c>
      <c r="K196" s="17" t="s">
        <v>46</v>
      </c>
      <c r="L196">
        <v>65</v>
      </c>
      <c r="M196">
        <v>2</v>
      </c>
      <c r="N196">
        <v>4</v>
      </c>
      <c r="O196" s="17" t="s">
        <v>56</v>
      </c>
      <c r="P196" s="14">
        <v>4</v>
      </c>
      <c r="Q196" t="s">
        <v>48</v>
      </c>
      <c r="R196" s="14">
        <v>16792</v>
      </c>
      <c r="S196" s="17" t="str">
        <f t="shared" si="6"/>
        <v>high</v>
      </c>
      <c r="T196">
        <v>20462</v>
      </c>
      <c r="U196">
        <v>9</v>
      </c>
      <c r="V196" s="17" t="s">
        <v>43</v>
      </c>
      <c r="W196">
        <v>23</v>
      </c>
      <c r="X196">
        <v>4</v>
      </c>
      <c r="Y196">
        <v>4</v>
      </c>
      <c r="Z196">
        <v>1</v>
      </c>
      <c r="AA196">
        <v>22</v>
      </c>
      <c r="AB196">
        <v>1</v>
      </c>
      <c r="AC196">
        <v>3</v>
      </c>
      <c r="AD196" s="14">
        <v>20</v>
      </c>
      <c r="AE196" t="str">
        <f t="shared" si="7"/>
        <v>10+ years</v>
      </c>
      <c r="AF196" s="14">
        <v>8</v>
      </c>
      <c r="AG196" s="14">
        <v>11</v>
      </c>
      <c r="AH196" s="14">
        <v>8</v>
      </c>
    </row>
    <row r="197" spans="1:34" x14ac:dyDescent="0.3">
      <c r="A197" s="14">
        <v>37</v>
      </c>
      <c r="B197" s="17" t="s">
        <v>43</v>
      </c>
      <c r="C197" t="s">
        <v>36</v>
      </c>
      <c r="D197">
        <v>290</v>
      </c>
      <c r="E197" s="17" t="s">
        <v>45</v>
      </c>
      <c r="F197">
        <v>21</v>
      </c>
      <c r="G197">
        <v>3</v>
      </c>
      <c r="H197" t="s">
        <v>38</v>
      </c>
      <c r="I197">
        <v>267</v>
      </c>
      <c r="J197">
        <v>2</v>
      </c>
      <c r="K197" s="17" t="s">
        <v>46</v>
      </c>
      <c r="L197">
        <v>65</v>
      </c>
      <c r="M197">
        <v>4</v>
      </c>
      <c r="N197">
        <v>1</v>
      </c>
      <c r="O197" s="17" t="s">
        <v>47</v>
      </c>
      <c r="P197" s="14">
        <v>1</v>
      </c>
      <c r="Q197" t="s">
        <v>48</v>
      </c>
      <c r="R197" s="14">
        <v>3564</v>
      </c>
      <c r="S197" s="17" t="str">
        <f t="shared" si="6"/>
        <v>medium</v>
      </c>
      <c r="T197">
        <v>22977</v>
      </c>
      <c r="U197">
        <v>1</v>
      </c>
      <c r="V197" s="17" t="s">
        <v>35</v>
      </c>
      <c r="W197">
        <v>12</v>
      </c>
      <c r="X197">
        <v>3</v>
      </c>
      <c r="Y197">
        <v>1</v>
      </c>
      <c r="Z197">
        <v>1</v>
      </c>
      <c r="AA197">
        <v>8</v>
      </c>
      <c r="AB197">
        <v>3</v>
      </c>
      <c r="AC197">
        <v>2</v>
      </c>
      <c r="AD197" s="14">
        <v>8</v>
      </c>
      <c r="AE197" t="str">
        <f t="shared" si="7"/>
        <v>6-10 years</v>
      </c>
      <c r="AF197" s="14">
        <v>7</v>
      </c>
      <c r="AG197" s="14">
        <v>1</v>
      </c>
      <c r="AH197" s="14">
        <v>7</v>
      </c>
    </row>
    <row r="198" spans="1:34" x14ac:dyDescent="0.3">
      <c r="A198" s="14">
        <v>35</v>
      </c>
      <c r="B198" s="17" t="s">
        <v>43</v>
      </c>
      <c r="C198" t="s">
        <v>44</v>
      </c>
      <c r="D198">
        <v>138</v>
      </c>
      <c r="E198" s="17" t="s">
        <v>45</v>
      </c>
      <c r="F198">
        <v>2</v>
      </c>
      <c r="G198">
        <v>3</v>
      </c>
      <c r="H198" t="s">
        <v>51</v>
      </c>
      <c r="I198">
        <v>269</v>
      </c>
      <c r="J198">
        <v>2</v>
      </c>
      <c r="K198" s="17" t="s">
        <v>39</v>
      </c>
      <c r="L198">
        <v>37</v>
      </c>
      <c r="M198">
        <v>3</v>
      </c>
      <c r="N198">
        <v>2</v>
      </c>
      <c r="O198" s="17" t="s">
        <v>50</v>
      </c>
      <c r="P198" s="14">
        <v>2</v>
      </c>
      <c r="Q198" t="s">
        <v>41</v>
      </c>
      <c r="R198" s="14">
        <v>4425</v>
      </c>
      <c r="S198" s="17" t="str">
        <f t="shared" si="6"/>
        <v>medium</v>
      </c>
      <c r="T198">
        <v>15986</v>
      </c>
      <c r="U198">
        <v>5</v>
      </c>
      <c r="V198" s="17" t="s">
        <v>43</v>
      </c>
      <c r="W198">
        <v>11</v>
      </c>
      <c r="X198">
        <v>3</v>
      </c>
      <c r="Y198">
        <v>4</v>
      </c>
      <c r="Z198">
        <v>0</v>
      </c>
      <c r="AA198">
        <v>10</v>
      </c>
      <c r="AB198">
        <v>5</v>
      </c>
      <c r="AC198">
        <v>3</v>
      </c>
      <c r="AD198" s="14">
        <v>6</v>
      </c>
      <c r="AE198" t="str">
        <f t="shared" si="7"/>
        <v>6-10 years</v>
      </c>
      <c r="AF198" s="14">
        <v>2</v>
      </c>
      <c r="AG198" s="14">
        <v>1</v>
      </c>
      <c r="AH198" s="14">
        <v>2</v>
      </c>
    </row>
    <row r="199" spans="1:34" x14ac:dyDescent="0.3">
      <c r="A199" s="14">
        <v>42</v>
      </c>
      <c r="B199" s="17" t="s">
        <v>43</v>
      </c>
      <c r="C199" t="s">
        <v>55</v>
      </c>
      <c r="D199">
        <v>926</v>
      </c>
      <c r="E199" s="17" t="s">
        <v>45</v>
      </c>
      <c r="F199">
        <v>21</v>
      </c>
      <c r="G199">
        <v>2</v>
      </c>
      <c r="H199" t="s">
        <v>51</v>
      </c>
      <c r="I199">
        <v>270</v>
      </c>
      <c r="J199">
        <v>3</v>
      </c>
      <c r="K199" s="17" t="s">
        <v>39</v>
      </c>
      <c r="L199">
        <v>36</v>
      </c>
      <c r="M199">
        <v>3</v>
      </c>
      <c r="N199">
        <v>2</v>
      </c>
      <c r="O199" s="17" t="s">
        <v>53</v>
      </c>
      <c r="P199" s="14">
        <v>3</v>
      </c>
      <c r="Q199" t="s">
        <v>52</v>
      </c>
      <c r="R199" s="14">
        <v>5265</v>
      </c>
      <c r="S199" s="17" t="str">
        <f t="shared" si="6"/>
        <v>medium</v>
      </c>
      <c r="T199">
        <v>16439</v>
      </c>
      <c r="U199">
        <v>2</v>
      </c>
      <c r="V199" s="17" t="s">
        <v>43</v>
      </c>
      <c r="W199">
        <v>16</v>
      </c>
      <c r="X199">
        <v>3</v>
      </c>
      <c r="Y199">
        <v>2</v>
      </c>
      <c r="Z199">
        <v>1</v>
      </c>
      <c r="AA199">
        <v>11</v>
      </c>
      <c r="AB199">
        <v>5</v>
      </c>
      <c r="AC199">
        <v>3</v>
      </c>
      <c r="AD199" s="14">
        <v>5</v>
      </c>
      <c r="AE199" t="str">
        <f t="shared" si="7"/>
        <v>3-5 years</v>
      </c>
      <c r="AF199" s="14">
        <v>3</v>
      </c>
      <c r="AG199" s="14">
        <v>0</v>
      </c>
      <c r="AH199" s="14">
        <v>2</v>
      </c>
    </row>
    <row r="200" spans="1:34" x14ac:dyDescent="0.3">
      <c r="A200" s="14">
        <v>38</v>
      </c>
      <c r="B200" s="17" t="s">
        <v>43</v>
      </c>
      <c r="C200" t="s">
        <v>36</v>
      </c>
      <c r="D200">
        <v>1261</v>
      </c>
      <c r="E200" s="17" t="s">
        <v>45</v>
      </c>
      <c r="F200">
        <v>2</v>
      </c>
      <c r="G200">
        <v>4</v>
      </c>
      <c r="H200" t="s">
        <v>38</v>
      </c>
      <c r="I200">
        <v>271</v>
      </c>
      <c r="J200">
        <v>4</v>
      </c>
      <c r="K200" s="17" t="s">
        <v>46</v>
      </c>
      <c r="L200">
        <v>88</v>
      </c>
      <c r="M200">
        <v>3</v>
      </c>
      <c r="N200">
        <v>2</v>
      </c>
      <c r="O200" s="17" t="s">
        <v>53</v>
      </c>
      <c r="P200" s="14">
        <v>3</v>
      </c>
      <c r="Q200" t="s">
        <v>48</v>
      </c>
      <c r="R200" s="14">
        <v>6553</v>
      </c>
      <c r="S200" s="17" t="str">
        <f t="shared" si="6"/>
        <v>medium</v>
      </c>
      <c r="T200">
        <v>7259</v>
      </c>
      <c r="U200">
        <v>9</v>
      </c>
      <c r="V200" s="17" t="s">
        <v>43</v>
      </c>
      <c r="W200">
        <v>14</v>
      </c>
      <c r="X200">
        <v>3</v>
      </c>
      <c r="Y200">
        <v>2</v>
      </c>
      <c r="Z200">
        <v>0</v>
      </c>
      <c r="AA200">
        <v>14</v>
      </c>
      <c r="AB200">
        <v>3</v>
      </c>
      <c r="AC200">
        <v>3</v>
      </c>
      <c r="AD200" s="14">
        <v>1</v>
      </c>
      <c r="AE200" t="str">
        <f t="shared" si="7"/>
        <v>0-2 years</v>
      </c>
      <c r="AF200" s="14">
        <v>0</v>
      </c>
      <c r="AG200" s="14">
        <v>0</v>
      </c>
      <c r="AH200" s="14">
        <v>0</v>
      </c>
    </row>
    <row r="201" spans="1:34" x14ac:dyDescent="0.3">
      <c r="A201" s="14">
        <v>38</v>
      </c>
      <c r="B201" s="17" t="s">
        <v>43</v>
      </c>
      <c r="C201" t="s">
        <v>36</v>
      </c>
      <c r="D201">
        <v>1084</v>
      </c>
      <c r="E201" s="17" t="s">
        <v>45</v>
      </c>
      <c r="F201">
        <v>29</v>
      </c>
      <c r="G201">
        <v>3</v>
      </c>
      <c r="H201" t="s">
        <v>60</v>
      </c>
      <c r="I201">
        <v>273</v>
      </c>
      <c r="J201">
        <v>4</v>
      </c>
      <c r="K201" s="17" t="s">
        <v>46</v>
      </c>
      <c r="L201">
        <v>54</v>
      </c>
      <c r="M201">
        <v>3</v>
      </c>
      <c r="N201">
        <v>2</v>
      </c>
      <c r="O201" s="17" t="s">
        <v>53</v>
      </c>
      <c r="P201" s="14">
        <v>4</v>
      </c>
      <c r="Q201" t="s">
        <v>48</v>
      </c>
      <c r="R201" s="14">
        <v>6261</v>
      </c>
      <c r="S201" s="17" t="str">
        <f t="shared" si="6"/>
        <v>medium</v>
      </c>
      <c r="T201">
        <v>4185</v>
      </c>
      <c r="U201">
        <v>3</v>
      </c>
      <c r="V201" s="17" t="s">
        <v>43</v>
      </c>
      <c r="W201">
        <v>18</v>
      </c>
      <c r="X201">
        <v>3</v>
      </c>
      <c r="Y201">
        <v>1</v>
      </c>
      <c r="Z201">
        <v>1</v>
      </c>
      <c r="AA201">
        <v>9</v>
      </c>
      <c r="AB201">
        <v>3</v>
      </c>
      <c r="AC201">
        <v>1</v>
      </c>
      <c r="AD201" s="14">
        <v>7</v>
      </c>
      <c r="AE201" t="str">
        <f t="shared" si="7"/>
        <v>6-10 years</v>
      </c>
      <c r="AF201" s="14">
        <v>7</v>
      </c>
      <c r="AG201" s="14">
        <v>1</v>
      </c>
      <c r="AH201" s="14">
        <v>7</v>
      </c>
    </row>
    <row r="202" spans="1:34" x14ac:dyDescent="0.3">
      <c r="A202" s="14">
        <v>27</v>
      </c>
      <c r="B202" s="17" t="s">
        <v>43</v>
      </c>
      <c r="C202" t="s">
        <v>44</v>
      </c>
      <c r="D202">
        <v>472</v>
      </c>
      <c r="E202" s="17" t="s">
        <v>45</v>
      </c>
      <c r="F202">
        <v>1</v>
      </c>
      <c r="G202">
        <v>1</v>
      </c>
      <c r="H202" t="s">
        <v>60</v>
      </c>
      <c r="I202">
        <v>274</v>
      </c>
      <c r="J202">
        <v>3</v>
      </c>
      <c r="K202" s="17" t="s">
        <v>46</v>
      </c>
      <c r="L202">
        <v>60</v>
      </c>
      <c r="M202">
        <v>2</v>
      </c>
      <c r="N202">
        <v>2</v>
      </c>
      <c r="O202" s="17" t="s">
        <v>53</v>
      </c>
      <c r="P202" s="14">
        <v>1</v>
      </c>
      <c r="Q202" t="s">
        <v>48</v>
      </c>
      <c r="R202" s="14">
        <v>4298</v>
      </c>
      <c r="S202" s="17" t="str">
        <f t="shared" si="6"/>
        <v>medium</v>
      </c>
      <c r="T202">
        <v>9679</v>
      </c>
      <c r="U202">
        <v>5</v>
      </c>
      <c r="V202" s="17" t="s">
        <v>43</v>
      </c>
      <c r="W202">
        <v>19</v>
      </c>
      <c r="X202">
        <v>3</v>
      </c>
      <c r="Y202">
        <v>3</v>
      </c>
      <c r="Z202">
        <v>1</v>
      </c>
      <c r="AA202">
        <v>6</v>
      </c>
      <c r="AB202">
        <v>1</v>
      </c>
      <c r="AC202">
        <v>3</v>
      </c>
      <c r="AD202" s="14">
        <v>2</v>
      </c>
      <c r="AE202" t="str">
        <f t="shared" si="7"/>
        <v>0-2 years</v>
      </c>
      <c r="AF202" s="14">
        <v>2</v>
      </c>
      <c r="AG202" s="14">
        <v>2</v>
      </c>
      <c r="AH202" s="14">
        <v>0</v>
      </c>
    </row>
    <row r="203" spans="1:34" x14ac:dyDescent="0.3">
      <c r="A203" s="14">
        <v>49</v>
      </c>
      <c r="B203" s="17" t="s">
        <v>43</v>
      </c>
      <c r="C203" t="s">
        <v>55</v>
      </c>
      <c r="D203">
        <v>1002</v>
      </c>
      <c r="E203" s="17" t="s">
        <v>45</v>
      </c>
      <c r="F203">
        <v>18</v>
      </c>
      <c r="G203">
        <v>4</v>
      </c>
      <c r="H203" t="s">
        <v>38</v>
      </c>
      <c r="I203">
        <v>275</v>
      </c>
      <c r="J203">
        <v>4</v>
      </c>
      <c r="K203" s="17" t="s">
        <v>46</v>
      </c>
      <c r="L203">
        <v>92</v>
      </c>
      <c r="M203">
        <v>3</v>
      </c>
      <c r="N203">
        <v>2</v>
      </c>
      <c r="O203" s="17" t="s">
        <v>53</v>
      </c>
      <c r="P203" s="14">
        <v>4</v>
      </c>
      <c r="Q203" t="s">
        <v>52</v>
      </c>
      <c r="R203" s="14">
        <v>6804</v>
      </c>
      <c r="S203" s="17" t="str">
        <f t="shared" si="6"/>
        <v>medium</v>
      </c>
      <c r="T203">
        <v>23793</v>
      </c>
      <c r="U203">
        <v>1</v>
      </c>
      <c r="V203" s="17" t="s">
        <v>35</v>
      </c>
      <c r="W203">
        <v>15</v>
      </c>
      <c r="X203">
        <v>3</v>
      </c>
      <c r="Y203">
        <v>1</v>
      </c>
      <c r="Z203">
        <v>2</v>
      </c>
      <c r="AA203">
        <v>7</v>
      </c>
      <c r="AB203">
        <v>0</v>
      </c>
      <c r="AC203">
        <v>3</v>
      </c>
      <c r="AD203" s="14">
        <v>7</v>
      </c>
      <c r="AE203" t="str">
        <f t="shared" si="7"/>
        <v>6-10 years</v>
      </c>
      <c r="AF203" s="14">
        <v>7</v>
      </c>
      <c r="AG203" s="14">
        <v>1</v>
      </c>
      <c r="AH203" s="14">
        <v>7</v>
      </c>
    </row>
    <row r="204" spans="1:34" x14ac:dyDescent="0.3">
      <c r="A204" s="14">
        <v>34</v>
      </c>
      <c r="B204" s="17" t="s">
        <v>43</v>
      </c>
      <c r="C204" t="s">
        <v>44</v>
      </c>
      <c r="D204">
        <v>878</v>
      </c>
      <c r="E204" s="17" t="s">
        <v>45</v>
      </c>
      <c r="F204">
        <v>10</v>
      </c>
      <c r="G204">
        <v>4</v>
      </c>
      <c r="H204" t="s">
        <v>51</v>
      </c>
      <c r="I204">
        <v>277</v>
      </c>
      <c r="J204">
        <v>4</v>
      </c>
      <c r="K204" s="17" t="s">
        <v>46</v>
      </c>
      <c r="L204">
        <v>43</v>
      </c>
      <c r="M204">
        <v>3</v>
      </c>
      <c r="N204">
        <v>1</v>
      </c>
      <c r="O204" s="17" t="s">
        <v>47</v>
      </c>
      <c r="P204" s="14">
        <v>3</v>
      </c>
      <c r="Q204" t="s">
        <v>52</v>
      </c>
      <c r="R204" s="14">
        <v>3815</v>
      </c>
      <c r="S204" s="17" t="str">
        <f t="shared" si="6"/>
        <v>medium</v>
      </c>
      <c r="T204">
        <v>5972</v>
      </c>
      <c r="U204">
        <v>1</v>
      </c>
      <c r="V204" s="17" t="s">
        <v>35</v>
      </c>
      <c r="W204">
        <v>17</v>
      </c>
      <c r="X204">
        <v>3</v>
      </c>
      <c r="Y204">
        <v>4</v>
      </c>
      <c r="Z204">
        <v>1</v>
      </c>
      <c r="AA204">
        <v>5</v>
      </c>
      <c r="AB204">
        <v>4</v>
      </c>
      <c r="AC204">
        <v>4</v>
      </c>
      <c r="AD204" s="14">
        <v>5</v>
      </c>
      <c r="AE204" t="str">
        <f t="shared" si="7"/>
        <v>3-5 years</v>
      </c>
      <c r="AF204" s="14">
        <v>3</v>
      </c>
      <c r="AG204" s="14">
        <v>2</v>
      </c>
      <c r="AH204" s="14">
        <v>0</v>
      </c>
    </row>
    <row r="205" spans="1:34" x14ac:dyDescent="0.3">
      <c r="A205" s="14">
        <v>40</v>
      </c>
      <c r="B205" s="17" t="s">
        <v>43</v>
      </c>
      <c r="C205" t="s">
        <v>36</v>
      </c>
      <c r="D205">
        <v>905</v>
      </c>
      <c r="E205" s="17" t="s">
        <v>45</v>
      </c>
      <c r="F205">
        <v>19</v>
      </c>
      <c r="G205">
        <v>2</v>
      </c>
      <c r="H205" t="s">
        <v>51</v>
      </c>
      <c r="I205">
        <v>281</v>
      </c>
      <c r="J205">
        <v>3</v>
      </c>
      <c r="K205" s="17" t="s">
        <v>46</v>
      </c>
      <c r="L205">
        <v>99</v>
      </c>
      <c r="M205">
        <v>3</v>
      </c>
      <c r="N205">
        <v>2</v>
      </c>
      <c r="O205" s="17" t="s">
        <v>50</v>
      </c>
      <c r="P205" s="14">
        <v>4</v>
      </c>
      <c r="Q205" t="s">
        <v>48</v>
      </c>
      <c r="R205" s="14">
        <v>2741</v>
      </c>
      <c r="S205" s="17" t="str">
        <f t="shared" si="6"/>
        <v>low</v>
      </c>
      <c r="T205">
        <v>16523</v>
      </c>
      <c r="U205">
        <v>8</v>
      </c>
      <c r="V205" s="17" t="s">
        <v>35</v>
      </c>
      <c r="W205">
        <v>15</v>
      </c>
      <c r="X205">
        <v>3</v>
      </c>
      <c r="Y205">
        <v>3</v>
      </c>
      <c r="Z205">
        <v>1</v>
      </c>
      <c r="AA205">
        <v>15</v>
      </c>
      <c r="AB205">
        <v>2</v>
      </c>
      <c r="AC205">
        <v>4</v>
      </c>
      <c r="AD205" s="14">
        <v>7</v>
      </c>
      <c r="AE205" t="str">
        <f t="shared" si="7"/>
        <v>6-10 years</v>
      </c>
      <c r="AF205" s="14">
        <v>2</v>
      </c>
      <c r="AG205" s="14">
        <v>3</v>
      </c>
      <c r="AH205" s="14">
        <v>7</v>
      </c>
    </row>
    <row r="206" spans="1:34" x14ac:dyDescent="0.3">
      <c r="A206" s="14">
        <v>38</v>
      </c>
      <c r="B206" s="17" t="s">
        <v>35</v>
      </c>
      <c r="C206" t="s">
        <v>36</v>
      </c>
      <c r="D206">
        <v>1180</v>
      </c>
      <c r="E206" s="17" t="s">
        <v>45</v>
      </c>
      <c r="F206">
        <v>29</v>
      </c>
      <c r="G206">
        <v>1</v>
      </c>
      <c r="H206" t="s">
        <v>51</v>
      </c>
      <c r="I206">
        <v>282</v>
      </c>
      <c r="J206">
        <v>2</v>
      </c>
      <c r="K206" s="17" t="s">
        <v>46</v>
      </c>
      <c r="L206">
        <v>70</v>
      </c>
      <c r="M206">
        <v>3</v>
      </c>
      <c r="N206">
        <v>2</v>
      </c>
      <c r="O206" s="17" t="s">
        <v>54</v>
      </c>
      <c r="P206" s="14">
        <v>1</v>
      </c>
      <c r="Q206" t="s">
        <v>48</v>
      </c>
      <c r="R206" s="14">
        <v>6673</v>
      </c>
      <c r="S206" s="17" t="str">
        <f t="shared" si="6"/>
        <v>medium</v>
      </c>
      <c r="T206">
        <v>11354</v>
      </c>
      <c r="U206">
        <v>7</v>
      </c>
      <c r="V206" s="17" t="s">
        <v>35</v>
      </c>
      <c r="W206">
        <v>19</v>
      </c>
      <c r="X206">
        <v>3</v>
      </c>
      <c r="Y206">
        <v>2</v>
      </c>
      <c r="Z206">
        <v>0</v>
      </c>
      <c r="AA206">
        <v>17</v>
      </c>
      <c r="AB206">
        <v>2</v>
      </c>
      <c r="AC206">
        <v>3</v>
      </c>
      <c r="AD206" s="14">
        <v>1</v>
      </c>
      <c r="AE206" t="str">
        <f t="shared" si="7"/>
        <v>0-2 years</v>
      </c>
      <c r="AF206" s="14">
        <v>0</v>
      </c>
      <c r="AG206" s="14">
        <v>0</v>
      </c>
      <c r="AH206" s="14">
        <v>0</v>
      </c>
    </row>
    <row r="207" spans="1:34" x14ac:dyDescent="0.3">
      <c r="A207" s="14">
        <v>29</v>
      </c>
      <c r="B207" s="17" t="s">
        <v>35</v>
      </c>
      <c r="C207" t="s">
        <v>36</v>
      </c>
      <c r="D207">
        <v>121</v>
      </c>
      <c r="E207" s="17" t="s">
        <v>37</v>
      </c>
      <c r="F207">
        <v>27</v>
      </c>
      <c r="G207">
        <v>3</v>
      </c>
      <c r="H207" t="s">
        <v>59</v>
      </c>
      <c r="I207">
        <v>283</v>
      </c>
      <c r="J207">
        <v>2</v>
      </c>
      <c r="K207" s="17" t="s">
        <v>39</v>
      </c>
      <c r="L207">
        <v>35</v>
      </c>
      <c r="M207">
        <v>3</v>
      </c>
      <c r="N207">
        <v>3</v>
      </c>
      <c r="O207" s="17" t="s">
        <v>40</v>
      </c>
      <c r="P207" s="14">
        <v>4</v>
      </c>
      <c r="Q207" t="s">
        <v>48</v>
      </c>
      <c r="R207" s="14">
        <v>7639</v>
      </c>
      <c r="S207" s="17" t="str">
        <f t="shared" si="6"/>
        <v>high</v>
      </c>
      <c r="T207">
        <v>24525</v>
      </c>
      <c r="U207">
        <v>1</v>
      </c>
      <c r="V207" s="17" t="s">
        <v>43</v>
      </c>
      <c r="W207">
        <v>22</v>
      </c>
      <c r="X207">
        <v>4</v>
      </c>
      <c r="Y207">
        <v>4</v>
      </c>
      <c r="Z207">
        <v>3</v>
      </c>
      <c r="AA207">
        <v>10</v>
      </c>
      <c r="AB207">
        <v>3</v>
      </c>
      <c r="AC207">
        <v>2</v>
      </c>
      <c r="AD207" s="14">
        <v>10</v>
      </c>
      <c r="AE207" t="str">
        <f t="shared" si="7"/>
        <v>6-10 years</v>
      </c>
      <c r="AF207" s="14">
        <v>4</v>
      </c>
      <c r="AG207" s="14">
        <v>1</v>
      </c>
      <c r="AH207" s="14">
        <v>9</v>
      </c>
    </row>
    <row r="208" spans="1:34" x14ac:dyDescent="0.3">
      <c r="A208" s="14">
        <v>22</v>
      </c>
      <c r="B208" s="17" t="s">
        <v>43</v>
      </c>
      <c r="C208" t="s">
        <v>36</v>
      </c>
      <c r="D208">
        <v>1136</v>
      </c>
      <c r="E208" s="17" t="s">
        <v>45</v>
      </c>
      <c r="F208">
        <v>5</v>
      </c>
      <c r="G208">
        <v>3</v>
      </c>
      <c r="H208" t="s">
        <v>38</v>
      </c>
      <c r="I208">
        <v>284</v>
      </c>
      <c r="J208">
        <v>4</v>
      </c>
      <c r="K208" s="17" t="s">
        <v>46</v>
      </c>
      <c r="L208">
        <v>60</v>
      </c>
      <c r="M208">
        <v>4</v>
      </c>
      <c r="N208">
        <v>1</v>
      </c>
      <c r="O208" s="17" t="s">
        <v>47</v>
      </c>
      <c r="P208" s="14">
        <v>2</v>
      </c>
      <c r="Q208" t="s">
        <v>52</v>
      </c>
      <c r="R208" s="14">
        <v>2328</v>
      </c>
      <c r="S208" s="17" t="str">
        <f t="shared" si="6"/>
        <v>low</v>
      </c>
      <c r="T208">
        <v>12392</v>
      </c>
      <c r="U208">
        <v>1</v>
      </c>
      <c r="V208" s="17" t="s">
        <v>35</v>
      </c>
      <c r="W208">
        <v>16</v>
      </c>
      <c r="X208">
        <v>3</v>
      </c>
      <c r="Y208">
        <v>1</v>
      </c>
      <c r="Z208">
        <v>1</v>
      </c>
      <c r="AA208">
        <v>4</v>
      </c>
      <c r="AB208">
        <v>2</v>
      </c>
      <c r="AC208">
        <v>2</v>
      </c>
      <c r="AD208" s="14">
        <v>4</v>
      </c>
      <c r="AE208" t="str">
        <f t="shared" si="7"/>
        <v>3-5 years</v>
      </c>
      <c r="AF208" s="14">
        <v>2</v>
      </c>
      <c r="AG208" s="14">
        <v>2</v>
      </c>
      <c r="AH208" s="14">
        <v>2</v>
      </c>
    </row>
    <row r="209" spans="1:34" x14ac:dyDescent="0.3">
      <c r="A209" s="14">
        <v>36</v>
      </c>
      <c r="B209" s="17" t="s">
        <v>43</v>
      </c>
      <c r="C209" t="s">
        <v>44</v>
      </c>
      <c r="D209">
        <v>635</v>
      </c>
      <c r="E209" s="17" t="s">
        <v>45</v>
      </c>
      <c r="F209">
        <v>18</v>
      </c>
      <c r="G209">
        <v>1</v>
      </c>
      <c r="H209" t="s">
        <v>51</v>
      </c>
      <c r="I209">
        <v>286</v>
      </c>
      <c r="J209">
        <v>2</v>
      </c>
      <c r="K209" s="17" t="s">
        <v>39</v>
      </c>
      <c r="L209">
        <v>73</v>
      </c>
      <c r="M209">
        <v>3</v>
      </c>
      <c r="N209">
        <v>1</v>
      </c>
      <c r="O209" s="17" t="s">
        <v>50</v>
      </c>
      <c r="P209" s="14">
        <v>4</v>
      </c>
      <c r="Q209" t="s">
        <v>41</v>
      </c>
      <c r="R209" s="14">
        <v>2153</v>
      </c>
      <c r="S209" s="17" t="str">
        <f t="shared" si="6"/>
        <v>low</v>
      </c>
      <c r="T209">
        <v>7703</v>
      </c>
      <c r="U209">
        <v>1</v>
      </c>
      <c r="V209" s="17" t="s">
        <v>43</v>
      </c>
      <c r="W209">
        <v>13</v>
      </c>
      <c r="X209">
        <v>3</v>
      </c>
      <c r="Y209">
        <v>1</v>
      </c>
      <c r="Z209">
        <v>0</v>
      </c>
      <c r="AA209">
        <v>8</v>
      </c>
      <c r="AB209">
        <v>2</v>
      </c>
      <c r="AC209">
        <v>3</v>
      </c>
      <c r="AD209" s="14">
        <v>8</v>
      </c>
      <c r="AE209" t="str">
        <f t="shared" si="7"/>
        <v>6-10 years</v>
      </c>
      <c r="AF209" s="14">
        <v>1</v>
      </c>
      <c r="AG209" s="14">
        <v>1</v>
      </c>
      <c r="AH209" s="14">
        <v>7</v>
      </c>
    </row>
    <row r="210" spans="1:34" x14ac:dyDescent="0.3">
      <c r="A210" s="14">
        <v>40</v>
      </c>
      <c r="B210" s="17" t="s">
        <v>43</v>
      </c>
      <c r="C210" t="s">
        <v>55</v>
      </c>
      <c r="D210">
        <v>1151</v>
      </c>
      <c r="E210" s="17" t="s">
        <v>45</v>
      </c>
      <c r="F210">
        <v>9</v>
      </c>
      <c r="G210">
        <v>5</v>
      </c>
      <c r="H210" t="s">
        <v>38</v>
      </c>
      <c r="I210">
        <v>287</v>
      </c>
      <c r="J210">
        <v>4</v>
      </c>
      <c r="K210" s="17" t="s">
        <v>46</v>
      </c>
      <c r="L210">
        <v>63</v>
      </c>
      <c r="M210">
        <v>2</v>
      </c>
      <c r="N210">
        <v>2</v>
      </c>
      <c r="O210" s="17" t="s">
        <v>54</v>
      </c>
      <c r="P210" s="14">
        <v>4</v>
      </c>
      <c r="Q210" t="s">
        <v>48</v>
      </c>
      <c r="R210" s="14">
        <v>4876</v>
      </c>
      <c r="S210" s="17" t="str">
        <f t="shared" si="6"/>
        <v>medium</v>
      </c>
      <c r="T210">
        <v>14242</v>
      </c>
      <c r="U210">
        <v>9</v>
      </c>
      <c r="V210" s="17" t="s">
        <v>43</v>
      </c>
      <c r="W210">
        <v>14</v>
      </c>
      <c r="X210">
        <v>3</v>
      </c>
      <c r="Y210">
        <v>4</v>
      </c>
      <c r="Z210">
        <v>1</v>
      </c>
      <c r="AA210">
        <v>5</v>
      </c>
      <c r="AB210">
        <v>5</v>
      </c>
      <c r="AC210">
        <v>1</v>
      </c>
      <c r="AD210" s="14">
        <v>3</v>
      </c>
      <c r="AE210" t="str">
        <f t="shared" si="7"/>
        <v>3-5 years</v>
      </c>
      <c r="AF210" s="14">
        <v>2</v>
      </c>
      <c r="AG210" s="14">
        <v>0</v>
      </c>
      <c r="AH210" s="14">
        <v>2</v>
      </c>
    </row>
    <row r="211" spans="1:34" x14ac:dyDescent="0.3">
      <c r="A211" s="14">
        <v>46</v>
      </c>
      <c r="B211" s="17" t="s">
        <v>43</v>
      </c>
      <c r="C211" t="s">
        <v>36</v>
      </c>
      <c r="D211">
        <v>644</v>
      </c>
      <c r="E211" s="17" t="s">
        <v>45</v>
      </c>
      <c r="F211">
        <v>1</v>
      </c>
      <c r="G211">
        <v>4</v>
      </c>
      <c r="H211" t="s">
        <v>51</v>
      </c>
      <c r="I211">
        <v>288</v>
      </c>
      <c r="J211">
        <v>4</v>
      </c>
      <c r="K211" s="17" t="s">
        <v>46</v>
      </c>
      <c r="L211">
        <v>97</v>
      </c>
      <c r="M211">
        <v>3</v>
      </c>
      <c r="N211">
        <v>3</v>
      </c>
      <c r="O211" s="17" t="s">
        <v>54</v>
      </c>
      <c r="P211" s="14">
        <v>1</v>
      </c>
      <c r="Q211" t="s">
        <v>52</v>
      </c>
      <c r="R211" s="14">
        <v>9396</v>
      </c>
      <c r="S211" s="17" t="str">
        <f t="shared" si="6"/>
        <v>high</v>
      </c>
      <c r="T211">
        <v>12368</v>
      </c>
      <c r="U211">
        <v>7</v>
      </c>
      <c r="V211" s="17" t="s">
        <v>43</v>
      </c>
      <c r="W211">
        <v>16</v>
      </c>
      <c r="X211">
        <v>3</v>
      </c>
      <c r="Y211">
        <v>3</v>
      </c>
      <c r="Z211">
        <v>1</v>
      </c>
      <c r="AA211">
        <v>17</v>
      </c>
      <c r="AB211">
        <v>3</v>
      </c>
      <c r="AC211">
        <v>3</v>
      </c>
      <c r="AD211" s="14">
        <v>4</v>
      </c>
      <c r="AE211" t="str">
        <f t="shared" si="7"/>
        <v>3-5 years</v>
      </c>
      <c r="AF211" s="14">
        <v>2</v>
      </c>
      <c r="AG211" s="14">
        <v>0</v>
      </c>
      <c r="AH211" s="14">
        <v>3</v>
      </c>
    </row>
    <row r="212" spans="1:34" x14ac:dyDescent="0.3">
      <c r="A212" s="14">
        <v>32</v>
      </c>
      <c r="B212" s="17" t="s">
        <v>35</v>
      </c>
      <c r="C212" t="s">
        <v>36</v>
      </c>
      <c r="D212">
        <v>1045</v>
      </c>
      <c r="E212" s="17" t="s">
        <v>37</v>
      </c>
      <c r="F212">
        <v>4</v>
      </c>
      <c r="G212">
        <v>4</v>
      </c>
      <c r="H212" t="s">
        <v>51</v>
      </c>
      <c r="I212">
        <v>291</v>
      </c>
      <c r="J212">
        <v>4</v>
      </c>
      <c r="K212" s="17" t="s">
        <v>46</v>
      </c>
      <c r="L212">
        <v>32</v>
      </c>
      <c r="M212">
        <v>1</v>
      </c>
      <c r="N212">
        <v>3</v>
      </c>
      <c r="O212" s="17" t="s">
        <v>40</v>
      </c>
      <c r="P212" s="14">
        <v>4</v>
      </c>
      <c r="Q212" t="s">
        <v>48</v>
      </c>
      <c r="R212" s="14">
        <v>10400</v>
      </c>
      <c r="S212" s="17" t="str">
        <f t="shared" si="6"/>
        <v>high</v>
      </c>
      <c r="T212">
        <v>25812</v>
      </c>
      <c r="U212">
        <v>1</v>
      </c>
      <c r="V212" s="17" t="s">
        <v>43</v>
      </c>
      <c r="W212">
        <v>11</v>
      </c>
      <c r="X212">
        <v>3</v>
      </c>
      <c r="Y212">
        <v>3</v>
      </c>
      <c r="Z212">
        <v>0</v>
      </c>
      <c r="AA212">
        <v>14</v>
      </c>
      <c r="AB212">
        <v>2</v>
      </c>
      <c r="AC212">
        <v>2</v>
      </c>
      <c r="AD212" s="14">
        <v>14</v>
      </c>
      <c r="AE212" t="str">
        <f t="shared" si="7"/>
        <v>10+ years</v>
      </c>
      <c r="AF212" s="14">
        <v>8</v>
      </c>
      <c r="AG212" s="14">
        <v>9</v>
      </c>
      <c r="AH212" s="14">
        <v>8</v>
      </c>
    </row>
    <row r="213" spans="1:34" x14ac:dyDescent="0.3">
      <c r="A213" s="14">
        <v>30</v>
      </c>
      <c r="B213" s="17" t="s">
        <v>43</v>
      </c>
      <c r="C213" t="s">
        <v>55</v>
      </c>
      <c r="D213">
        <v>829</v>
      </c>
      <c r="E213" s="17" t="s">
        <v>45</v>
      </c>
      <c r="F213">
        <v>1</v>
      </c>
      <c r="G213">
        <v>1</v>
      </c>
      <c r="H213" t="s">
        <v>38</v>
      </c>
      <c r="I213">
        <v>292</v>
      </c>
      <c r="J213">
        <v>3</v>
      </c>
      <c r="K213" s="17" t="s">
        <v>46</v>
      </c>
      <c r="L213">
        <v>88</v>
      </c>
      <c r="M213">
        <v>2</v>
      </c>
      <c r="N213">
        <v>3</v>
      </c>
      <c r="O213" s="17" t="s">
        <v>53</v>
      </c>
      <c r="P213" s="14">
        <v>3</v>
      </c>
      <c r="Q213" t="s">
        <v>41</v>
      </c>
      <c r="R213" s="14">
        <v>8474</v>
      </c>
      <c r="S213" s="17" t="str">
        <f t="shared" si="6"/>
        <v>high</v>
      </c>
      <c r="T213">
        <v>20925</v>
      </c>
      <c r="U213">
        <v>1</v>
      </c>
      <c r="V213" s="17" t="s">
        <v>43</v>
      </c>
      <c r="W213">
        <v>22</v>
      </c>
      <c r="X213">
        <v>4</v>
      </c>
      <c r="Y213">
        <v>3</v>
      </c>
      <c r="Z213">
        <v>0</v>
      </c>
      <c r="AA213">
        <v>12</v>
      </c>
      <c r="AB213">
        <v>2</v>
      </c>
      <c r="AC213">
        <v>3</v>
      </c>
      <c r="AD213" s="14">
        <v>11</v>
      </c>
      <c r="AE213" t="str">
        <f t="shared" si="7"/>
        <v>10+ years</v>
      </c>
      <c r="AF213" s="14">
        <v>8</v>
      </c>
      <c r="AG213" s="14">
        <v>5</v>
      </c>
      <c r="AH213" s="14">
        <v>8</v>
      </c>
    </row>
    <row r="214" spans="1:34" x14ac:dyDescent="0.3">
      <c r="A214" s="14">
        <v>27</v>
      </c>
      <c r="B214" s="17" t="s">
        <v>43</v>
      </c>
      <c r="C214" t="s">
        <v>44</v>
      </c>
      <c r="D214">
        <v>1242</v>
      </c>
      <c r="E214" s="17" t="s">
        <v>37</v>
      </c>
      <c r="F214">
        <v>20</v>
      </c>
      <c r="G214">
        <v>3</v>
      </c>
      <c r="H214" t="s">
        <v>38</v>
      </c>
      <c r="I214">
        <v>293</v>
      </c>
      <c r="J214">
        <v>4</v>
      </c>
      <c r="K214" s="17" t="s">
        <v>39</v>
      </c>
      <c r="L214">
        <v>90</v>
      </c>
      <c r="M214">
        <v>3</v>
      </c>
      <c r="N214">
        <v>2</v>
      </c>
      <c r="O214" s="17" t="s">
        <v>40</v>
      </c>
      <c r="P214" s="14">
        <v>3</v>
      </c>
      <c r="Q214" t="s">
        <v>41</v>
      </c>
      <c r="R214" s="14">
        <v>9981</v>
      </c>
      <c r="S214" s="17" t="str">
        <f t="shared" si="6"/>
        <v>high</v>
      </c>
      <c r="T214">
        <v>12916</v>
      </c>
      <c r="U214">
        <v>1</v>
      </c>
      <c r="V214" s="17" t="s">
        <v>43</v>
      </c>
      <c r="W214">
        <v>14</v>
      </c>
      <c r="X214">
        <v>3</v>
      </c>
      <c r="Y214">
        <v>4</v>
      </c>
      <c r="Z214">
        <v>0</v>
      </c>
      <c r="AA214">
        <v>7</v>
      </c>
      <c r="AB214">
        <v>2</v>
      </c>
      <c r="AC214">
        <v>3</v>
      </c>
      <c r="AD214" s="14">
        <v>7</v>
      </c>
      <c r="AE214" t="str">
        <f t="shared" si="7"/>
        <v>6-10 years</v>
      </c>
      <c r="AF214" s="14">
        <v>7</v>
      </c>
      <c r="AG214" s="14">
        <v>0</v>
      </c>
      <c r="AH214" s="14">
        <v>7</v>
      </c>
    </row>
    <row r="215" spans="1:34" x14ac:dyDescent="0.3">
      <c r="A215" s="14">
        <v>51</v>
      </c>
      <c r="B215" s="17" t="s">
        <v>43</v>
      </c>
      <c r="C215" t="s">
        <v>36</v>
      </c>
      <c r="D215">
        <v>1469</v>
      </c>
      <c r="E215" s="17" t="s">
        <v>45</v>
      </c>
      <c r="F215">
        <v>8</v>
      </c>
      <c r="G215">
        <v>4</v>
      </c>
      <c r="H215" t="s">
        <v>38</v>
      </c>
      <c r="I215">
        <v>296</v>
      </c>
      <c r="J215">
        <v>2</v>
      </c>
      <c r="K215" s="17" t="s">
        <v>46</v>
      </c>
      <c r="L215">
        <v>81</v>
      </c>
      <c r="M215">
        <v>2</v>
      </c>
      <c r="N215">
        <v>3</v>
      </c>
      <c r="O215" s="17" t="s">
        <v>58</v>
      </c>
      <c r="P215" s="14">
        <v>2</v>
      </c>
      <c r="Q215" t="s">
        <v>48</v>
      </c>
      <c r="R215" s="14">
        <v>12490</v>
      </c>
      <c r="S215" s="17" t="str">
        <f t="shared" si="6"/>
        <v>high</v>
      </c>
      <c r="T215">
        <v>15736</v>
      </c>
      <c r="U215">
        <v>5</v>
      </c>
      <c r="V215" s="17" t="s">
        <v>43</v>
      </c>
      <c r="W215">
        <v>16</v>
      </c>
      <c r="X215">
        <v>3</v>
      </c>
      <c r="Y215">
        <v>4</v>
      </c>
      <c r="Z215">
        <v>2</v>
      </c>
      <c r="AA215">
        <v>16</v>
      </c>
      <c r="AB215">
        <v>5</v>
      </c>
      <c r="AC215">
        <v>1</v>
      </c>
      <c r="AD215" s="14">
        <v>10</v>
      </c>
      <c r="AE215" t="str">
        <f t="shared" si="7"/>
        <v>6-10 years</v>
      </c>
      <c r="AF215" s="14">
        <v>9</v>
      </c>
      <c r="AG215" s="14">
        <v>4</v>
      </c>
      <c r="AH215" s="14">
        <v>7</v>
      </c>
    </row>
    <row r="216" spans="1:34" x14ac:dyDescent="0.3">
      <c r="A216" s="14">
        <v>30</v>
      </c>
      <c r="B216" s="17" t="s">
        <v>35</v>
      </c>
      <c r="C216" t="s">
        <v>36</v>
      </c>
      <c r="D216">
        <v>1005</v>
      </c>
      <c r="E216" s="17" t="s">
        <v>45</v>
      </c>
      <c r="F216">
        <v>3</v>
      </c>
      <c r="G216">
        <v>3</v>
      </c>
      <c r="H216" t="s">
        <v>60</v>
      </c>
      <c r="I216">
        <v>297</v>
      </c>
      <c r="J216">
        <v>4</v>
      </c>
      <c r="K216" s="17" t="s">
        <v>39</v>
      </c>
      <c r="L216">
        <v>88</v>
      </c>
      <c r="M216">
        <v>3</v>
      </c>
      <c r="N216">
        <v>1</v>
      </c>
      <c r="O216" s="17" t="s">
        <v>47</v>
      </c>
      <c r="P216" s="14">
        <v>1</v>
      </c>
      <c r="Q216" t="s">
        <v>41</v>
      </c>
      <c r="R216" s="14">
        <v>2657</v>
      </c>
      <c r="S216" s="17" t="str">
        <f t="shared" si="6"/>
        <v>low</v>
      </c>
      <c r="T216">
        <v>8556</v>
      </c>
      <c r="U216">
        <v>5</v>
      </c>
      <c r="V216" s="17" t="s">
        <v>35</v>
      </c>
      <c r="W216">
        <v>11</v>
      </c>
      <c r="X216">
        <v>3</v>
      </c>
      <c r="Y216">
        <v>3</v>
      </c>
      <c r="Z216">
        <v>0</v>
      </c>
      <c r="AA216">
        <v>8</v>
      </c>
      <c r="AB216">
        <v>5</v>
      </c>
      <c r="AC216">
        <v>3</v>
      </c>
      <c r="AD216" s="14">
        <v>5</v>
      </c>
      <c r="AE216" t="str">
        <f t="shared" si="7"/>
        <v>3-5 years</v>
      </c>
      <c r="AF216" s="14">
        <v>2</v>
      </c>
      <c r="AG216" s="14">
        <v>0</v>
      </c>
      <c r="AH216" s="14">
        <v>4</v>
      </c>
    </row>
    <row r="217" spans="1:34" x14ac:dyDescent="0.3">
      <c r="A217" s="14">
        <v>41</v>
      </c>
      <c r="B217" s="17" t="s">
        <v>43</v>
      </c>
      <c r="C217" t="s">
        <v>36</v>
      </c>
      <c r="D217">
        <v>896</v>
      </c>
      <c r="E217" s="17" t="s">
        <v>37</v>
      </c>
      <c r="F217">
        <v>6</v>
      </c>
      <c r="G217">
        <v>3</v>
      </c>
      <c r="H217" t="s">
        <v>38</v>
      </c>
      <c r="I217">
        <v>298</v>
      </c>
      <c r="J217">
        <v>4</v>
      </c>
      <c r="K217" s="17" t="s">
        <v>39</v>
      </c>
      <c r="L217">
        <v>75</v>
      </c>
      <c r="M217">
        <v>3</v>
      </c>
      <c r="N217">
        <v>3</v>
      </c>
      <c r="O217" s="17" t="s">
        <v>56</v>
      </c>
      <c r="P217" s="14">
        <v>4</v>
      </c>
      <c r="Q217" t="s">
        <v>41</v>
      </c>
      <c r="R217" s="14">
        <v>13591</v>
      </c>
      <c r="S217" s="17" t="str">
        <f t="shared" si="6"/>
        <v>high</v>
      </c>
      <c r="T217">
        <v>14674</v>
      </c>
      <c r="U217">
        <v>3</v>
      </c>
      <c r="V217" s="17" t="s">
        <v>35</v>
      </c>
      <c r="W217">
        <v>18</v>
      </c>
      <c r="X217">
        <v>3</v>
      </c>
      <c r="Y217">
        <v>3</v>
      </c>
      <c r="Z217">
        <v>0</v>
      </c>
      <c r="AA217">
        <v>16</v>
      </c>
      <c r="AB217">
        <v>3</v>
      </c>
      <c r="AC217">
        <v>3</v>
      </c>
      <c r="AD217" s="14">
        <v>1</v>
      </c>
      <c r="AE217" t="str">
        <f t="shared" si="7"/>
        <v>0-2 years</v>
      </c>
      <c r="AF217" s="14">
        <v>0</v>
      </c>
      <c r="AG217" s="14">
        <v>0</v>
      </c>
      <c r="AH217" s="14">
        <v>0</v>
      </c>
    </row>
    <row r="218" spans="1:34" x14ac:dyDescent="0.3">
      <c r="A218" s="14">
        <v>30</v>
      </c>
      <c r="B218" s="17" t="s">
        <v>35</v>
      </c>
      <c r="C218" t="s">
        <v>44</v>
      </c>
      <c r="D218">
        <v>334</v>
      </c>
      <c r="E218" s="17" t="s">
        <v>37</v>
      </c>
      <c r="F218">
        <v>26</v>
      </c>
      <c r="G218">
        <v>4</v>
      </c>
      <c r="H218" t="s">
        <v>59</v>
      </c>
      <c r="I218">
        <v>299</v>
      </c>
      <c r="J218">
        <v>3</v>
      </c>
      <c r="K218" s="17" t="s">
        <v>39</v>
      </c>
      <c r="L218">
        <v>52</v>
      </c>
      <c r="M218">
        <v>2</v>
      </c>
      <c r="N218">
        <v>2</v>
      </c>
      <c r="O218" s="17" t="s">
        <v>40</v>
      </c>
      <c r="P218" s="14">
        <v>1</v>
      </c>
      <c r="Q218" t="s">
        <v>41</v>
      </c>
      <c r="R218" s="14">
        <v>6696</v>
      </c>
      <c r="S218" s="17" t="str">
        <f t="shared" si="6"/>
        <v>medium</v>
      </c>
      <c r="T218">
        <v>22967</v>
      </c>
      <c r="U218">
        <v>5</v>
      </c>
      <c r="V218" s="17" t="s">
        <v>43</v>
      </c>
      <c r="W218">
        <v>15</v>
      </c>
      <c r="X218">
        <v>3</v>
      </c>
      <c r="Y218">
        <v>3</v>
      </c>
      <c r="Z218">
        <v>0</v>
      </c>
      <c r="AA218">
        <v>9</v>
      </c>
      <c r="AB218">
        <v>5</v>
      </c>
      <c r="AC218">
        <v>2</v>
      </c>
      <c r="AD218" s="14">
        <v>6</v>
      </c>
      <c r="AE218" t="str">
        <f t="shared" si="7"/>
        <v>6-10 years</v>
      </c>
      <c r="AF218" s="14">
        <v>3</v>
      </c>
      <c r="AG218" s="14">
        <v>0</v>
      </c>
      <c r="AH218" s="14">
        <v>1</v>
      </c>
    </row>
    <row r="219" spans="1:34" x14ac:dyDescent="0.3">
      <c r="A219" s="14">
        <v>29</v>
      </c>
      <c r="B219" s="17" t="s">
        <v>35</v>
      </c>
      <c r="C219" t="s">
        <v>36</v>
      </c>
      <c r="D219">
        <v>992</v>
      </c>
      <c r="E219" s="17" t="s">
        <v>45</v>
      </c>
      <c r="F219">
        <v>1</v>
      </c>
      <c r="G219">
        <v>3</v>
      </c>
      <c r="H219" t="s">
        <v>60</v>
      </c>
      <c r="I219">
        <v>300</v>
      </c>
      <c r="J219">
        <v>3</v>
      </c>
      <c r="K219" s="17" t="s">
        <v>46</v>
      </c>
      <c r="L219">
        <v>85</v>
      </c>
      <c r="M219">
        <v>3</v>
      </c>
      <c r="N219">
        <v>1</v>
      </c>
      <c r="O219" s="17" t="s">
        <v>47</v>
      </c>
      <c r="P219" s="14">
        <v>3</v>
      </c>
      <c r="Q219" t="s">
        <v>41</v>
      </c>
      <c r="R219" s="14">
        <v>2058</v>
      </c>
      <c r="S219" s="17" t="str">
        <f t="shared" si="6"/>
        <v>low</v>
      </c>
      <c r="T219">
        <v>19757</v>
      </c>
      <c r="U219">
        <v>0</v>
      </c>
      <c r="V219" s="17" t="s">
        <v>43</v>
      </c>
      <c r="W219">
        <v>14</v>
      </c>
      <c r="X219">
        <v>3</v>
      </c>
      <c r="Y219">
        <v>4</v>
      </c>
      <c r="Z219">
        <v>0</v>
      </c>
      <c r="AA219">
        <v>7</v>
      </c>
      <c r="AB219">
        <v>1</v>
      </c>
      <c r="AC219">
        <v>2</v>
      </c>
      <c r="AD219" s="14">
        <v>6</v>
      </c>
      <c r="AE219" t="str">
        <f t="shared" si="7"/>
        <v>6-10 years</v>
      </c>
      <c r="AF219" s="14">
        <v>2</v>
      </c>
      <c r="AG219" s="14">
        <v>1</v>
      </c>
      <c r="AH219" s="14">
        <v>5</v>
      </c>
    </row>
    <row r="220" spans="1:34" x14ac:dyDescent="0.3">
      <c r="A220" s="14">
        <v>45</v>
      </c>
      <c r="B220" s="17" t="s">
        <v>43</v>
      </c>
      <c r="C220" t="s">
        <v>55</v>
      </c>
      <c r="D220">
        <v>1052</v>
      </c>
      <c r="E220" s="17" t="s">
        <v>37</v>
      </c>
      <c r="F220">
        <v>6</v>
      </c>
      <c r="G220">
        <v>3</v>
      </c>
      <c r="H220" t="s">
        <v>51</v>
      </c>
      <c r="I220">
        <v>302</v>
      </c>
      <c r="J220">
        <v>4</v>
      </c>
      <c r="K220" s="17" t="s">
        <v>39</v>
      </c>
      <c r="L220">
        <v>57</v>
      </c>
      <c r="M220">
        <v>2</v>
      </c>
      <c r="N220">
        <v>3</v>
      </c>
      <c r="O220" s="17" t="s">
        <v>40</v>
      </c>
      <c r="P220" s="14">
        <v>4</v>
      </c>
      <c r="Q220" t="s">
        <v>41</v>
      </c>
      <c r="R220" s="14">
        <v>8865</v>
      </c>
      <c r="S220" s="17" t="str">
        <f t="shared" si="6"/>
        <v>high</v>
      </c>
      <c r="T220">
        <v>16840</v>
      </c>
      <c r="U220">
        <v>6</v>
      </c>
      <c r="V220" s="17" t="s">
        <v>43</v>
      </c>
      <c r="W220">
        <v>12</v>
      </c>
      <c r="X220">
        <v>3</v>
      </c>
      <c r="Y220">
        <v>4</v>
      </c>
      <c r="Z220">
        <v>0</v>
      </c>
      <c r="AA220">
        <v>23</v>
      </c>
      <c r="AB220">
        <v>2</v>
      </c>
      <c r="AC220">
        <v>3</v>
      </c>
      <c r="AD220" s="14">
        <v>19</v>
      </c>
      <c r="AE220" t="str">
        <f t="shared" si="7"/>
        <v>10+ years</v>
      </c>
      <c r="AF220" s="14">
        <v>7</v>
      </c>
      <c r="AG220" s="14">
        <v>12</v>
      </c>
      <c r="AH220" s="14">
        <v>8</v>
      </c>
    </row>
    <row r="221" spans="1:34" x14ac:dyDescent="0.3">
      <c r="A221" s="14">
        <v>54</v>
      </c>
      <c r="B221" s="17" t="s">
        <v>43</v>
      </c>
      <c r="C221" t="s">
        <v>36</v>
      </c>
      <c r="D221">
        <v>1147</v>
      </c>
      <c r="E221" s="17" t="s">
        <v>37</v>
      </c>
      <c r="F221">
        <v>3</v>
      </c>
      <c r="G221">
        <v>3</v>
      </c>
      <c r="H221" t="s">
        <v>59</v>
      </c>
      <c r="I221">
        <v>303</v>
      </c>
      <c r="J221">
        <v>4</v>
      </c>
      <c r="K221" s="17" t="s">
        <v>39</v>
      </c>
      <c r="L221">
        <v>52</v>
      </c>
      <c r="M221">
        <v>3</v>
      </c>
      <c r="N221">
        <v>2</v>
      </c>
      <c r="O221" s="17" t="s">
        <v>40</v>
      </c>
      <c r="P221" s="14">
        <v>1</v>
      </c>
      <c r="Q221" t="s">
        <v>48</v>
      </c>
      <c r="R221" s="14">
        <v>5940</v>
      </c>
      <c r="S221" s="17" t="str">
        <f t="shared" si="6"/>
        <v>medium</v>
      </c>
      <c r="T221">
        <v>17011</v>
      </c>
      <c r="U221">
        <v>2</v>
      </c>
      <c r="V221" s="17" t="s">
        <v>43</v>
      </c>
      <c r="W221">
        <v>14</v>
      </c>
      <c r="X221">
        <v>3</v>
      </c>
      <c r="Y221">
        <v>4</v>
      </c>
      <c r="Z221">
        <v>1</v>
      </c>
      <c r="AA221">
        <v>16</v>
      </c>
      <c r="AB221">
        <v>4</v>
      </c>
      <c r="AC221">
        <v>3</v>
      </c>
      <c r="AD221" s="14">
        <v>6</v>
      </c>
      <c r="AE221" t="str">
        <f t="shared" si="7"/>
        <v>6-10 years</v>
      </c>
      <c r="AF221" s="14">
        <v>2</v>
      </c>
      <c r="AG221" s="14">
        <v>0</v>
      </c>
      <c r="AH221" s="14">
        <v>5</v>
      </c>
    </row>
    <row r="222" spans="1:34" x14ac:dyDescent="0.3">
      <c r="A222" s="14">
        <v>36</v>
      </c>
      <c r="B222" s="17" t="s">
        <v>43</v>
      </c>
      <c r="C222" t="s">
        <v>36</v>
      </c>
      <c r="D222">
        <v>1396</v>
      </c>
      <c r="E222" s="17" t="s">
        <v>45</v>
      </c>
      <c r="F222">
        <v>5</v>
      </c>
      <c r="G222">
        <v>2</v>
      </c>
      <c r="H222" t="s">
        <v>38</v>
      </c>
      <c r="I222">
        <v>304</v>
      </c>
      <c r="J222">
        <v>4</v>
      </c>
      <c r="K222" s="17" t="s">
        <v>46</v>
      </c>
      <c r="L222">
        <v>62</v>
      </c>
      <c r="M222">
        <v>3</v>
      </c>
      <c r="N222">
        <v>2</v>
      </c>
      <c r="O222" s="17" t="s">
        <v>50</v>
      </c>
      <c r="P222" s="14">
        <v>2</v>
      </c>
      <c r="Q222" t="s">
        <v>41</v>
      </c>
      <c r="R222" s="14">
        <v>5914</v>
      </c>
      <c r="S222" s="17" t="str">
        <f t="shared" si="6"/>
        <v>medium</v>
      </c>
      <c r="T222">
        <v>9945</v>
      </c>
      <c r="U222">
        <v>8</v>
      </c>
      <c r="V222" s="17" t="s">
        <v>43</v>
      </c>
      <c r="W222">
        <v>16</v>
      </c>
      <c r="X222">
        <v>3</v>
      </c>
      <c r="Y222">
        <v>4</v>
      </c>
      <c r="Z222">
        <v>0</v>
      </c>
      <c r="AA222">
        <v>16</v>
      </c>
      <c r="AB222">
        <v>3</v>
      </c>
      <c r="AC222">
        <v>4</v>
      </c>
      <c r="AD222" s="14">
        <v>13</v>
      </c>
      <c r="AE222" t="str">
        <f t="shared" si="7"/>
        <v>10+ years</v>
      </c>
      <c r="AF222" s="14">
        <v>11</v>
      </c>
      <c r="AG222" s="14">
        <v>3</v>
      </c>
      <c r="AH222" s="14">
        <v>7</v>
      </c>
    </row>
    <row r="223" spans="1:34" x14ac:dyDescent="0.3">
      <c r="A223" s="14">
        <v>33</v>
      </c>
      <c r="B223" s="17" t="s">
        <v>43</v>
      </c>
      <c r="C223" t="s">
        <v>36</v>
      </c>
      <c r="D223">
        <v>147</v>
      </c>
      <c r="E223" s="17" t="s">
        <v>45</v>
      </c>
      <c r="F223">
        <v>4</v>
      </c>
      <c r="G223">
        <v>4</v>
      </c>
      <c r="H223" t="s">
        <v>51</v>
      </c>
      <c r="I223">
        <v>305</v>
      </c>
      <c r="J223">
        <v>3</v>
      </c>
      <c r="K223" s="17" t="s">
        <v>39</v>
      </c>
      <c r="L223">
        <v>47</v>
      </c>
      <c r="M223">
        <v>2</v>
      </c>
      <c r="N223">
        <v>1</v>
      </c>
      <c r="O223" s="17" t="s">
        <v>47</v>
      </c>
      <c r="P223" s="14">
        <v>2</v>
      </c>
      <c r="Q223" t="s">
        <v>48</v>
      </c>
      <c r="R223" s="14">
        <v>2622</v>
      </c>
      <c r="S223" s="17" t="str">
        <f t="shared" si="6"/>
        <v>low</v>
      </c>
      <c r="T223">
        <v>13248</v>
      </c>
      <c r="U223">
        <v>6</v>
      </c>
      <c r="V223" s="17" t="s">
        <v>43</v>
      </c>
      <c r="W223">
        <v>21</v>
      </c>
      <c r="X223">
        <v>4</v>
      </c>
      <c r="Y223">
        <v>4</v>
      </c>
      <c r="Z223">
        <v>0</v>
      </c>
      <c r="AA223">
        <v>7</v>
      </c>
      <c r="AB223">
        <v>3</v>
      </c>
      <c r="AC223">
        <v>3</v>
      </c>
      <c r="AD223" s="14">
        <v>3</v>
      </c>
      <c r="AE223" t="str">
        <f t="shared" si="7"/>
        <v>3-5 years</v>
      </c>
      <c r="AF223" s="14">
        <v>2</v>
      </c>
      <c r="AG223" s="14">
        <v>1</v>
      </c>
      <c r="AH223" s="14">
        <v>1</v>
      </c>
    </row>
    <row r="224" spans="1:34" x14ac:dyDescent="0.3">
      <c r="A224" s="14">
        <v>37</v>
      </c>
      <c r="B224" s="17" t="s">
        <v>43</v>
      </c>
      <c r="C224" t="s">
        <v>44</v>
      </c>
      <c r="D224">
        <v>663</v>
      </c>
      <c r="E224" s="17" t="s">
        <v>45</v>
      </c>
      <c r="F224">
        <v>11</v>
      </c>
      <c r="G224">
        <v>3</v>
      </c>
      <c r="H224" t="s">
        <v>49</v>
      </c>
      <c r="I224">
        <v>306</v>
      </c>
      <c r="J224">
        <v>2</v>
      </c>
      <c r="K224" s="17" t="s">
        <v>46</v>
      </c>
      <c r="L224">
        <v>47</v>
      </c>
      <c r="M224">
        <v>3</v>
      </c>
      <c r="N224">
        <v>3</v>
      </c>
      <c r="O224" s="17" t="s">
        <v>58</v>
      </c>
      <c r="P224" s="14">
        <v>4</v>
      </c>
      <c r="Q224" t="s">
        <v>52</v>
      </c>
      <c r="R224" s="14">
        <v>12185</v>
      </c>
      <c r="S224" s="17" t="str">
        <f t="shared" si="6"/>
        <v>high</v>
      </c>
      <c r="T224">
        <v>10056</v>
      </c>
      <c r="U224">
        <v>1</v>
      </c>
      <c r="V224" s="17" t="s">
        <v>35</v>
      </c>
      <c r="W224">
        <v>14</v>
      </c>
      <c r="X224">
        <v>3</v>
      </c>
      <c r="Y224">
        <v>3</v>
      </c>
      <c r="Z224">
        <v>3</v>
      </c>
      <c r="AA224">
        <v>10</v>
      </c>
      <c r="AB224">
        <v>1</v>
      </c>
      <c r="AC224">
        <v>3</v>
      </c>
      <c r="AD224" s="14">
        <v>10</v>
      </c>
      <c r="AE224" t="str">
        <f t="shared" si="7"/>
        <v>6-10 years</v>
      </c>
      <c r="AF224" s="14">
        <v>8</v>
      </c>
      <c r="AG224" s="14">
        <v>0</v>
      </c>
      <c r="AH224" s="14">
        <v>7</v>
      </c>
    </row>
    <row r="225" spans="1:34" x14ac:dyDescent="0.3">
      <c r="A225" s="14">
        <v>38</v>
      </c>
      <c r="B225" s="17" t="s">
        <v>43</v>
      </c>
      <c r="C225" t="s">
        <v>36</v>
      </c>
      <c r="D225">
        <v>119</v>
      </c>
      <c r="E225" s="17" t="s">
        <v>37</v>
      </c>
      <c r="F225">
        <v>3</v>
      </c>
      <c r="G225">
        <v>3</v>
      </c>
      <c r="H225" t="s">
        <v>38</v>
      </c>
      <c r="I225">
        <v>307</v>
      </c>
      <c r="J225">
        <v>1</v>
      </c>
      <c r="K225" s="17" t="s">
        <v>46</v>
      </c>
      <c r="L225">
        <v>76</v>
      </c>
      <c r="M225">
        <v>3</v>
      </c>
      <c r="N225">
        <v>3</v>
      </c>
      <c r="O225" s="17" t="s">
        <v>40</v>
      </c>
      <c r="P225" s="14">
        <v>3</v>
      </c>
      <c r="Q225" t="s">
        <v>52</v>
      </c>
      <c r="R225" s="14">
        <v>10609</v>
      </c>
      <c r="S225" s="17" t="str">
        <f t="shared" si="6"/>
        <v>high</v>
      </c>
      <c r="T225">
        <v>9647</v>
      </c>
      <c r="U225">
        <v>0</v>
      </c>
      <c r="V225" s="17" t="s">
        <v>43</v>
      </c>
      <c r="W225">
        <v>12</v>
      </c>
      <c r="X225">
        <v>3</v>
      </c>
      <c r="Y225">
        <v>3</v>
      </c>
      <c r="Z225">
        <v>2</v>
      </c>
      <c r="AA225">
        <v>17</v>
      </c>
      <c r="AB225">
        <v>6</v>
      </c>
      <c r="AC225">
        <v>2</v>
      </c>
      <c r="AD225" s="14">
        <v>16</v>
      </c>
      <c r="AE225" t="str">
        <f t="shared" si="7"/>
        <v>10+ years</v>
      </c>
      <c r="AF225" s="14">
        <v>10</v>
      </c>
      <c r="AG225" s="14">
        <v>5</v>
      </c>
      <c r="AH225" s="14">
        <v>13</v>
      </c>
    </row>
    <row r="226" spans="1:34" x14ac:dyDescent="0.3">
      <c r="A226" s="14">
        <v>31</v>
      </c>
      <c r="B226" s="17" t="s">
        <v>43</v>
      </c>
      <c r="C226" t="s">
        <v>55</v>
      </c>
      <c r="D226">
        <v>979</v>
      </c>
      <c r="E226" s="17" t="s">
        <v>45</v>
      </c>
      <c r="F226">
        <v>1</v>
      </c>
      <c r="G226">
        <v>4</v>
      </c>
      <c r="H226" t="s">
        <v>51</v>
      </c>
      <c r="I226">
        <v>308</v>
      </c>
      <c r="J226">
        <v>3</v>
      </c>
      <c r="K226" s="17" t="s">
        <v>46</v>
      </c>
      <c r="L226">
        <v>90</v>
      </c>
      <c r="M226">
        <v>1</v>
      </c>
      <c r="N226">
        <v>2</v>
      </c>
      <c r="O226" s="17" t="s">
        <v>53</v>
      </c>
      <c r="P226" s="14">
        <v>3</v>
      </c>
      <c r="Q226" t="s">
        <v>48</v>
      </c>
      <c r="R226" s="14">
        <v>4345</v>
      </c>
      <c r="S226" s="17" t="str">
        <f t="shared" si="6"/>
        <v>medium</v>
      </c>
      <c r="T226">
        <v>4381</v>
      </c>
      <c r="U226">
        <v>0</v>
      </c>
      <c r="V226" s="17" t="s">
        <v>43</v>
      </c>
      <c r="W226">
        <v>12</v>
      </c>
      <c r="X226">
        <v>3</v>
      </c>
      <c r="Y226">
        <v>4</v>
      </c>
      <c r="Z226">
        <v>1</v>
      </c>
      <c r="AA226">
        <v>6</v>
      </c>
      <c r="AB226">
        <v>2</v>
      </c>
      <c r="AC226">
        <v>3</v>
      </c>
      <c r="AD226" s="14">
        <v>5</v>
      </c>
      <c r="AE226" t="str">
        <f t="shared" si="7"/>
        <v>3-5 years</v>
      </c>
      <c r="AF226" s="14">
        <v>4</v>
      </c>
      <c r="AG226" s="14">
        <v>1</v>
      </c>
      <c r="AH226" s="14">
        <v>4</v>
      </c>
    </row>
    <row r="227" spans="1:34" x14ac:dyDescent="0.3">
      <c r="A227" s="14">
        <v>59</v>
      </c>
      <c r="B227" s="17" t="s">
        <v>43</v>
      </c>
      <c r="C227" t="s">
        <v>36</v>
      </c>
      <c r="D227">
        <v>142</v>
      </c>
      <c r="E227" s="17" t="s">
        <v>45</v>
      </c>
      <c r="F227">
        <v>3</v>
      </c>
      <c r="G227">
        <v>3</v>
      </c>
      <c r="H227" t="s">
        <v>38</v>
      </c>
      <c r="I227">
        <v>309</v>
      </c>
      <c r="J227">
        <v>3</v>
      </c>
      <c r="K227" s="17" t="s">
        <v>46</v>
      </c>
      <c r="L227">
        <v>70</v>
      </c>
      <c r="M227">
        <v>2</v>
      </c>
      <c r="N227">
        <v>1</v>
      </c>
      <c r="O227" s="17" t="s">
        <v>47</v>
      </c>
      <c r="P227" s="14">
        <v>4</v>
      </c>
      <c r="Q227" t="s">
        <v>48</v>
      </c>
      <c r="R227" s="14">
        <v>2177</v>
      </c>
      <c r="S227" s="17" t="str">
        <f t="shared" si="6"/>
        <v>low</v>
      </c>
      <c r="T227">
        <v>8456</v>
      </c>
      <c r="U227">
        <v>3</v>
      </c>
      <c r="V227" s="17" t="s">
        <v>43</v>
      </c>
      <c r="W227">
        <v>17</v>
      </c>
      <c r="X227">
        <v>3</v>
      </c>
      <c r="Y227">
        <v>1</v>
      </c>
      <c r="Z227">
        <v>1</v>
      </c>
      <c r="AA227">
        <v>7</v>
      </c>
      <c r="AB227">
        <v>6</v>
      </c>
      <c r="AC227">
        <v>3</v>
      </c>
      <c r="AD227" s="14">
        <v>1</v>
      </c>
      <c r="AE227" t="str">
        <f t="shared" si="7"/>
        <v>0-2 years</v>
      </c>
      <c r="AF227" s="14">
        <v>0</v>
      </c>
      <c r="AG227" s="14">
        <v>0</v>
      </c>
      <c r="AH227" s="14">
        <v>0</v>
      </c>
    </row>
    <row r="228" spans="1:34" x14ac:dyDescent="0.3">
      <c r="A228" s="14">
        <v>37</v>
      </c>
      <c r="B228" s="17" t="s">
        <v>43</v>
      </c>
      <c r="C228" t="s">
        <v>44</v>
      </c>
      <c r="D228">
        <v>319</v>
      </c>
      <c r="E228" s="17" t="s">
        <v>37</v>
      </c>
      <c r="F228">
        <v>4</v>
      </c>
      <c r="G228">
        <v>4</v>
      </c>
      <c r="H228" t="s">
        <v>59</v>
      </c>
      <c r="I228">
        <v>311</v>
      </c>
      <c r="J228">
        <v>1</v>
      </c>
      <c r="K228" s="17" t="s">
        <v>46</v>
      </c>
      <c r="L228">
        <v>41</v>
      </c>
      <c r="M228">
        <v>3</v>
      </c>
      <c r="N228">
        <v>1</v>
      </c>
      <c r="O228" s="17" t="s">
        <v>57</v>
      </c>
      <c r="P228" s="14">
        <v>4</v>
      </c>
      <c r="Q228" t="s">
        <v>52</v>
      </c>
      <c r="R228" s="14">
        <v>2793</v>
      </c>
      <c r="S228" s="17" t="str">
        <f t="shared" si="6"/>
        <v>low</v>
      </c>
      <c r="T228">
        <v>2539</v>
      </c>
      <c r="U228">
        <v>4</v>
      </c>
      <c r="V228" s="17" t="s">
        <v>43</v>
      </c>
      <c r="W228">
        <v>17</v>
      </c>
      <c r="X228">
        <v>3</v>
      </c>
      <c r="Y228">
        <v>3</v>
      </c>
      <c r="Z228">
        <v>1</v>
      </c>
      <c r="AA228">
        <v>13</v>
      </c>
      <c r="AB228">
        <v>2</v>
      </c>
      <c r="AC228">
        <v>3</v>
      </c>
      <c r="AD228" s="14">
        <v>9</v>
      </c>
      <c r="AE228" t="str">
        <f t="shared" si="7"/>
        <v>6-10 years</v>
      </c>
      <c r="AF228" s="14">
        <v>8</v>
      </c>
      <c r="AG228" s="14">
        <v>5</v>
      </c>
      <c r="AH228" s="14">
        <v>8</v>
      </c>
    </row>
    <row r="229" spans="1:34" x14ac:dyDescent="0.3">
      <c r="A229" s="14">
        <v>29</v>
      </c>
      <c r="B229" s="17" t="s">
        <v>43</v>
      </c>
      <c r="C229" t="s">
        <v>44</v>
      </c>
      <c r="D229">
        <v>1413</v>
      </c>
      <c r="E229" s="17" t="s">
        <v>37</v>
      </c>
      <c r="F229">
        <v>1</v>
      </c>
      <c r="G229">
        <v>1</v>
      </c>
      <c r="H229" t="s">
        <v>51</v>
      </c>
      <c r="I229">
        <v>312</v>
      </c>
      <c r="J229">
        <v>2</v>
      </c>
      <c r="K229" s="17" t="s">
        <v>39</v>
      </c>
      <c r="L229">
        <v>42</v>
      </c>
      <c r="M229">
        <v>3</v>
      </c>
      <c r="N229">
        <v>3</v>
      </c>
      <c r="O229" s="17" t="s">
        <v>40</v>
      </c>
      <c r="P229" s="14">
        <v>4</v>
      </c>
      <c r="Q229" t="s">
        <v>48</v>
      </c>
      <c r="R229" s="14">
        <v>7918</v>
      </c>
      <c r="S229" s="17" t="str">
        <f t="shared" si="6"/>
        <v>high</v>
      </c>
      <c r="T229">
        <v>6599</v>
      </c>
      <c r="U229">
        <v>1</v>
      </c>
      <c r="V229" s="17" t="s">
        <v>43</v>
      </c>
      <c r="W229">
        <v>14</v>
      </c>
      <c r="X229">
        <v>3</v>
      </c>
      <c r="Y229">
        <v>4</v>
      </c>
      <c r="Z229">
        <v>1</v>
      </c>
      <c r="AA229">
        <v>11</v>
      </c>
      <c r="AB229">
        <v>5</v>
      </c>
      <c r="AC229">
        <v>3</v>
      </c>
      <c r="AD229" s="14">
        <v>11</v>
      </c>
      <c r="AE229" t="str">
        <f t="shared" si="7"/>
        <v>10+ years</v>
      </c>
      <c r="AF229" s="14">
        <v>10</v>
      </c>
      <c r="AG229" s="14">
        <v>4</v>
      </c>
      <c r="AH229" s="14">
        <v>1</v>
      </c>
    </row>
    <row r="230" spans="1:34" x14ac:dyDescent="0.3">
      <c r="A230" s="14">
        <v>35</v>
      </c>
      <c r="B230" s="17" t="s">
        <v>43</v>
      </c>
      <c r="C230" t="s">
        <v>44</v>
      </c>
      <c r="D230">
        <v>944</v>
      </c>
      <c r="E230" s="17" t="s">
        <v>37</v>
      </c>
      <c r="F230">
        <v>1</v>
      </c>
      <c r="G230">
        <v>3</v>
      </c>
      <c r="H230" t="s">
        <v>59</v>
      </c>
      <c r="I230">
        <v>314</v>
      </c>
      <c r="J230">
        <v>3</v>
      </c>
      <c r="K230" s="17" t="s">
        <v>39</v>
      </c>
      <c r="L230">
        <v>92</v>
      </c>
      <c r="M230">
        <v>3</v>
      </c>
      <c r="N230">
        <v>3</v>
      </c>
      <c r="O230" s="17" t="s">
        <v>40</v>
      </c>
      <c r="P230" s="14">
        <v>3</v>
      </c>
      <c r="Q230" t="s">
        <v>41</v>
      </c>
      <c r="R230" s="14">
        <v>8789</v>
      </c>
      <c r="S230" s="17" t="str">
        <f t="shared" si="6"/>
        <v>high</v>
      </c>
      <c r="T230">
        <v>9096</v>
      </c>
      <c r="U230">
        <v>1</v>
      </c>
      <c r="V230" s="17" t="s">
        <v>43</v>
      </c>
      <c r="W230">
        <v>14</v>
      </c>
      <c r="X230">
        <v>3</v>
      </c>
      <c r="Y230">
        <v>1</v>
      </c>
      <c r="Z230">
        <v>0</v>
      </c>
      <c r="AA230">
        <v>10</v>
      </c>
      <c r="AB230">
        <v>3</v>
      </c>
      <c r="AC230">
        <v>4</v>
      </c>
      <c r="AD230" s="14">
        <v>10</v>
      </c>
      <c r="AE230" t="str">
        <f t="shared" si="7"/>
        <v>6-10 years</v>
      </c>
      <c r="AF230" s="14">
        <v>7</v>
      </c>
      <c r="AG230" s="14">
        <v>0</v>
      </c>
      <c r="AH230" s="14">
        <v>8</v>
      </c>
    </row>
    <row r="231" spans="1:34" x14ac:dyDescent="0.3">
      <c r="A231" s="14">
        <v>29</v>
      </c>
      <c r="B231" s="17" t="s">
        <v>35</v>
      </c>
      <c r="C231" t="s">
        <v>36</v>
      </c>
      <c r="D231">
        <v>896</v>
      </c>
      <c r="E231" s="17" t="s">
        <v>45</v>
      </c>
      <c r="F231">
        <v>18</v>
      </c>
      <c r="G231">
        <v>1</v>
      </c>
      <c r="H231" t="s">
        <v>51</v>
      </c>
      <c r="I231">
        <v>315</v>
      </c>
      <c r="J231">
        <v>3</v>
      </c>
      <c r="K231" s="17" t="s">
        <v>46</v>
      </c>
      <c r="L231">
        <v>86</v>
      </c>
      <c r="M231">
        <v>2</v>
      </c>
      <c r="N231">
        <v>1</v>
      </c>
      <c r="O231" s="17" t="s">
        <v>47</v>
      </c>
      <c r="P231" s="14">
        <v>4</v>
      </c>
      <c r="Q231" t="s">
        <v>41</v>
      </c>
      <c r="R231" s="14">
        <v>2389</v>
      </c>
      <c r="S231" s="17" t="str">
        <f t="shared" si="6"/>
        <v>low</v>
      </c>
      <c r="T231">
        <v>14961</v>
      </c>
      <c r="U231">
        <v>1</v>
      </c>
      <c r="V231" s="17" t="s">
        <v>35</v>
      </c>
      <c r="W231">
        <v>13</v>
      </c>
      <c r="X231">
        <v>3</v>
      </c>
      <c r="Y231">
        <v>3</v>
      </c>
      <c r="Z231">
        <v>0</v>
      </c>
      <c r="AA231">
        <v>4</v>
      </c>
      <c r="AB231">
        <v>3</v>
      </c>
      <c r="AC231">
        <v>2</v>
      </c>
      <c r="AD231" s="14">
        <v>4</v>
      </c>
      <c r="AE231" t="str">
        <f t="shared" si="7"/>
        <v>3-5 years</v>
      </c>
      <c r="AF231" s="14">
        <v>3</v>
      </c>
      <c r="AG231" s="14">
        <v>0</v>
      </c>
      <c r="AH231" s="14">
        <v>1</v>
      </c>
    </row>
    <row r="232" spans="1:34" x14ac:dyDescent="0.3">
      <c r="A232" s="14">
        <v>52</v>
      </c>
      <c r="B232" s="17" t="s">
        <v>43</v>
      </c>
      <c r="C232" t="s">
        <v>36</v>
      </c>
      <c r="D232">
        <v>1323</v>
      </c>
      <c r="E232" s="17" t="s">
        <v>45</v>
      </c>
      <c r="F232">
        <v>2</v>
      </c>
      <c r="G232">
        <v>3</v>
      </c>
      <c r="H232" t="s">
        <v>38</v>
      </c>
      <c r="I232">
        <v>316</v>
      </c>
      <c r="J232">
        <v>3</v>
      </c>
      <c r="K232" s="17" t="s">
        <v>39</v>
      </c>
      <c r="L232">
        <v>89</v>
      </c>
      <c r="M232">
        <v>2</v>
      </c>
      <c r="N232">
        <v>1</v>
      </c>
      <c r="O232" s="17" t="s">
        <v>50</v>
      </c>
      <c r="P232" s="14">
        <v>4</v>
      </c>
      <c r="Q232" t="s">
        <v>41</v>
      </c>
      <c r="R232" s="14">
        <v>3212</v>
      </c>
      <c r="S232" s="17" t="str">
        <f t="shared" si="6"/>
        <v>medium</v>
      </c>
      <c r="T232">
        <v>3300</v>
      </c>
      <c r="U232">
        <v>7</v>
      </c>
      <c r="V232" s="17" t="s">
        <v>43</v>
      </c>
      <c r="W232">
        <v>15</v>
      </c>
      <c r="X232">
        <v>3</v>
      </c>
      <c r="Y232">
        <v>2</v>
      </c>
      <c r="Z232">
        <v>0</v>
      </c>
      <c r="AA232">
        <v>6</v>
      </c>
      <c r="AB232">
        <v>3</v>
      </c>
      <c r="AC232">
        <v>2</v>
      </c>
      <c r="AD232" s="14">
        <v>2</v>
      </c>
      <c r="AE232" t="str">
        <f t="shared" si="7"/>
        <v>0-2 years</v>
      </c>
      <c r="AF232" s="14">
        <v>2</v>
      </c>
      <c r="AG232" s="14">
        <v>2</v>
      </c>
      <c r="AH232" s="14">
        <v>2</v>
      </c>
    </row>
    <row r="233" spans="1:34" x14ac:dyDescent="0.3">
      <c r="A233" s="14">
        <v>42</v>
      </c>
      <c r="B233" s="17" t="s">
        <v>43</v>
      </c>
      <c r="C233" t="s">
        <v>36</v>
      </c>
      <c r="D233">
        <v>532</v>
      </c>
      <c r="E233" s="17" t="s">
        <v>45</v>
      </c>
      <c r="F233">
        <v>4</v>
      </c>
      <c r="G233">
        <v>2</v>
      </c>
      <c r="H233" t="s">
        <v>60</v>
      </c>
      <c r="I233">
        <v>319</v>
      </c>
      <c r="J233">
        <v>3</v>
      </c>
      <c r="K233" s="17" t="s">
        <v>46</v>
      </c>
      <c r="L233">
        <v>58</v>
      </c>
      <c r="M233">
        <v>3</v>
      </c>
      <c r="N233">
        <v>5</v>
      </c>
      <c r="O233" s="17" t="s">
        <v>56</v>
      </c>
      <c r="P233" s="14">
        <v>4</v>
      </c>
      <c r="Q233" t="s">
        <v>48</v>
      </c>
      <c r="R233" s="14">
        <v>19232</v>
      </c>
      <c r="S233" s="17" t="str">
        <f t="shared" si="6"/>
        <v>high</v>
      </c>
      <c r="T233">
        <v>4933</v>
      </c>
      <c r="U233">
        <v>1</v>
      </c>
      <c r="V233" s="17" t="s">
        <v>43</v>
      </c>
      <c r="W233">
        <v>11</v>
      </c>
      <c r="X233">
        <v>3</v>
      </c>
      <c r="Y233">
        <v>4</v>
      </c>
      <c r="Z233">
        <v>0</v>
      </c>
      <c r="AA233">
        <v>22</v>
      </c>
      <c r="AB233">
        <v>3</v>
      </c>
      <c r="AC233">
        <v>3</v>
      </c>
      <c r="AD233" s="14">
        <v>22</v>
      </c>
      <c r="AE233" t="str">
        <f t="shared" si="7"/>
        <v>10+ years</v>
      </c>
      <c r="AF233" s="14">
        <v>17</v>
      </c>
      <c r="AG233" s="14">
        <v>11</v>
      </c>
      <c r="AH233" s="14">
        <v>15</v>
      </c>
    </row>
    <row r="234" spans="1:34" x14ac:dyDescent="0.3">
      <c r="A234" s="14">
        <v>59</v>
      </c>
      <c r="B234" s="17" t="s">
        <v>43</v>
      </c>
      <c r="C234" t="s">
        <v>36</v>
      </c>
      <c r="D234">
        <v>818</v>
      </c>
      <c r="E234" s="17" t="s">
        <v>61</v>
      </c>
      <c r="F234">
        <v>6</v>
      </c>
      <c r="G234">
        <v>2</v>
      </c>
      <c r="H234" t="s">
        <v>51</v>
      </c>
      <c r="I234">
        <v>321</v>
      </c>
      <c r="J234">
        <v>2</v>
      </c>
      <c r="K234" s="17" t="s">
        <v>46</v>
      </c>
      <c r="L234">
        <v>52</v>
      </c>
      <c r="M234">
        <v>3</v>
      </c>
      <c r="N234">
        <v>1</v>
      </c>
      <c r="O234" s="17" t="s">
        <v>61</v>
      </c>
      <c r="P234" s="14">
        <v>3</v>
      </c>
      <c r="Q234" t="s">
        <v>48</v>
      </c>
      <c r="R234" s="14">
        <v>2267</v>
      </c>
      <c r="S234" s="17" t="str">
        <f t="shared" si="6"/>
        <v>low</v>
      </c>
      <c r="T234">
        <v>25657</v>
      </c>
      <c r="U234">
        <v>8</v>
      </c>
      <c r="V234" s="17" t="s">
        <v>43</v>
      </c>
      <c r="W234">
        <v>17</v>
      </c>
      <c r="X234">
        <v>3</v>
      </c>
      <c r="Y234">
        <v>4</v>
      </c>
      <c r="Z234">
        <v>0</v>
      </c>
      <c r="AA234">
        <v>7</v>
      </c>
      <c r="AB234">
        <v>2</v>
      </c>
      <c r="AC234">
        <v>2</v>
      </c>
      <c r="AD234" s="14">
        <v>2</v>
      </c>
      <c r="AE234" t="str">
        <f t="shared" si="7"/>
        <v>0-2 years</v>
      </c>
      <c r="AF234" s="14">
        <v>2</v>
      </c>
      <c r="AG234" s="14">
        <v>2</v>
      </c>
      <c r="AH234" s="14">
        <v>2</v>
      </c>
    </row>
    <row r="235" spans="1:34" x14ac:dyDescent="0.3">
      <c r="A235" s="14">
        <v>50</v>
      </c>
      <c r="B235" s="17" t="s">
        <v>43</v>
      </c>
      <c r="C235" t="s">
        <v>36</v>
      </c>
      <c r="D235">
        <v>854</v>
      </c>
      <c r="E235" s="17" t="s">
        <v>37</v>
      </c>
      <c r="F235">
        <v>1</v>
      </c>
      <c r="G235">
        <v>4</v>
      </c>
      <c r="H235" t="s">
        <v>51</v>
      </c>
      <c r="I235">
        <v>323</v>
      </c>
      <c r="J235">
        <v>4</v>
      </c>
      <c r="K235" s="17" t="s">
        <v>39</v>
      </c>
      <c r="L235">
        <v>68</v>
      </c>
      <c r="M235">
        <v>3</v>
      </c>
      <c r="N235">
        <v>5</v>
      </c>
      <c r="O235" s="17" t="s">
        <v>56</v>
      </c>
      <c r="P235" s="14">
        <v>4</v>
      </c>
      <c r="Q235" t="s">
        <v>52</v>
      </c>
      <c r="R235" s="14">
        <v>19517</v>
      </c>
      <c r="S235" s="17" t="str">
        <f t="shared" si="6"/>
        <v>high</v>
      </c>
      <c r="T235">
        <v>24118</v>
      </c>
      <c r="U235">
        <v>3</v>
      </c>
      <c r="V235" s="17" t="s">
        <v>43</v>
      </c>
      <c r="W235">
        <v>11</v>
      </c>
      <c r="X235">
        <v>3</v>
      </c>
      <c r="Y235">
        <v>3</v>
      </c>
      <c r="Z235">
        <v>1</v>
      </c>
      <c r="AA235">
        <v>32</v>
      </c>
      <c r="AB235">
        <v>3</v>
      </c>
      <c r="AC235">
        <v>2</v>
      </c>
      <c r="AD235" s="14">
        <v>7</v>
      </c>
      <c r="AE235" t="str">
        <f t="shared" si="7"/>
        <v>6-10 years</v>
      </c>
      <c r="AF235" s="14">
        <v>0</v>
      </c>
      <c r="AG235" s="14">
        <v>0</v>
      </c>
      <c r="AH235" s="14">
        <v>6</v>
      </c>
    </row>
    <row r="236" spans="1:34" x14ac:dyDescent="0.3">
      <c r="A236" s="14">
        <v>33</v>
      </c>
      <c r="B236" s="17" t="s">
        <v>35</v>
      </c>
      <c r="C236" t="s">
        <v>36</v>
      </c>
      <c r="D236">
        <v>813</v>
      </c>
      <c r="E236" s="17" t="s">
        <v>45</v>
      </c>
      <c r="F236">
        <v>14</v>
      </c>
      <c r="G236">
        <v>3</v>
      </c>
      <c r="H236" t="s">
        <v>51</v>
      </c>
      <c r="I236">
        <v>325</v>
      </c>
      <c r="J236">
        <v>3</v>
      </c>
      <c r="K236" s="17" t="s">
        <v>46</v>
      </c>
      <c r="L236">
        <v>58</v>
      </c>
      <c r="M236">
        <v>3</v>
      </c>
      <c r="N236">
        <v>1</v>
      </c>
      <c r="O236" s="17" t="s">
        <v>50</v>
      </c>
      <c r="P236" s="14">
        <v>4</v>
      </c>
      <c r="Q236" t="s">
        <v>48</v>
      </c>
      <c r="R236" s="14">
        <v>2436</v>
      </c>
      <c r="S236" s="17" t="str">
        <f t="shared" si="6"/>
        <v>low</v>
      </c>
      <c r="T236">
        <v>22149</v>
      </c>
      <c r="U236">
        <v>5</v>
      </c>
      <c r="V236" s="17" t="s">
        <v>35</v>
      </c>
      <c r="W236">
        <v>13</v>
      </c>
      <c r="X236">
        <v>3</v>
      </c>
      <c r="Y236">
        <v>3</v>
      </c>
      <c r="Z236">
        <v>1</v>
      </c>
      <c r="AA236">
        <v>8</v>
      </c>
      <c r="AB236">
        <v>2</v>
      </c>
      <c r="AC236">
        <v>1</v>
      </c>
      <c r="AD236" s="14">
        <v>5</v>
      </c>
      <c r="AE236" t="str">
        <f t="shared" si="7"/>
        <v>3-5 years</v>
      </c>
      <c r="AF236" s="14">
        <v>4</v>
      </c>
      <c r="AG236" s="14">
        <v>0</v>
      </c>
      <c r="AH236" s="14">
        <v>4</v>
      </c>
    </row>
    <row r="237" spans="1:34" x14ac:dyDescent="0.3">
      <c r="A237" s="14">
        <v>43</v>
      </c>
      <c r="B237" s="17" t="s">
        <v>43</v>
      </c>
      <c r="C237" t="s">
        <v>36</v>
      </c>
      <c r="D237">
        <v>1034</v>
      </c>
      <c r="E237" s="17" t="s">
        <v>37</v>
      </c>
      <c r="F237">
        <v>16</v>
      </c>
      <c r="G237">
        <v>3</v>
      </c>
      <c r="H237" t="s">
        <v>59</v>
      </c>
      <c r="I237">
        <v>327</v>
      </c>
      <c r="J237">
        <v>4</v>
      </c>
      <c r="K237" s="17" t="s">
        <v>39</v>
      </c>
      <c r="L237">
        <v>80</v>
      </c>
      <c r="M237">
        <v>3</v>
      </c>
      <c r="N237">
        <v>4</v>
      </c>
      <c r="O237" s="17" t="s">
        <v>56</v>
      </c>
      <c r="P237" s="14">
        <v>4</v>
      </c>
      <c r="Q237" t="s">
        <v>48</v>
      </c>
      <c r="R237" s="14">
        <v>16064</v>
      </c>
      <c r="S237" s="17" t="str">
        <f t="shared" si="6"/>
        <v>high</v>
      </c>
      <c r="T237">
        <v>7744</v>
      </c>
      <c r="U237">
        <v>5</v>
      </c>
      <c r="V237" s="17" t="s">
        <v>35</v>
      </c>
      <c r="W237">
        <v>22</v>
      </c>
      <c r="X237">
        <v>4</v>
      </c>
      <c r="Y237">
        <v>3</v>
      </c>
      <c r="Z237">
        <v>1</v>
      </c>
      <c r="AA237">
        <v>22</v>
      </c>
      <c r="AB237">
        <v>3</v>
      </c>
      <c r="AC237">
        <v>3</v>
      </c>
      <c r="AD237" s="14">
        <v>17</v>
      </c>
      <c r="AE237" t="str">
        <f t="shared" si="7"/>
        <v>10+ years</v>
      </c>
      <c r="AF237" s="14">
        <v>13</v>
      </c>
      <c r="AG237" s="14">
        <v>1</v>
      </c>
      <c r="AH237" s="14">
        <v>9</v>
      </c>
    </row>
    <row r="238" spans="1:34" x14ac:dyDescent="0.3">
      <c r="A238" s="14">
        <v>33</v>
      </c>
      <c r="B238" s="17" t="s">
        <v>35</v>
      </c>
      <c r="C238" t="s">
        <v>36</v>
      </c>
      <c r="D238">
        <v>465</v>
      </c>
      <c r="E238" s="17" t="s">
        <v>45</v>
      </c>
      <c r="F238">
        <v>2</v>
      </c>
      <c r="G238">
        <v>2</v>
      </c>
      <c r="H238" t="s">
        <v>38</v>
      </c>
      <c r="I238">
        <v>328</v>
      </c>
      <c r="J238">
        <v>1</v>
      </c>
      <c r="K238" s="17" t="s">
        <v>39</v>
      </c>
      <c r="L238">
        <v>39</v>
      </c>
      <c r="M238">
        <v>3</v>
      </c>
      <c r="N238">
        <v>1</v>
      </c>
      <c r="O238" s="17" t="s">
        <v>50</v>
      </c>
      <c r="P238" s="14">
        <v>1</v>
      </c>
      <c r="Q238" t="s">
        <v>48</v>
      </c>
      <c r="R238" s="14">
        <v>2707</v>
      </c>
      <c r="S238" s="17" t="str">
        <f t="shared" si="6"/>
        <v>low</v>
      </c>
      <c r="T238">
        <v>21509</v>
      </c>
      <c r="U238">
        <v>7</v>
      </c>
      <c r="V238" s="17" t="s">
        <v>43</v>
      </c>
      <c r="W238">
        <v>20</v>
      </c>
      <c r="X238">
        <v>4</v>
      </c>
      <c r="Y238">
        <v>1</v>
      </c>
      <c r="Z238">
        <v>0</v>
      </c>
      <c r="AA238">
        <v>13</v>
      </c>
      <c r="AB238">
        <v>3</v>
      </c>
      <c r="AC238">
        <v>4</v>
      </c>
      <c r="AD238" s="14">
        <v>9</v>
      </c>
      <c r="AE238" t="str">
        <f t="shared" si="7"/>
        <v>6-10 years</v>
      </c>
      <c r="AF238" s="14">
        <v>7</v>
      </c>
      <c r="AG238" s="14">
        <v>1</v>
      </c>
      <c r="AH238" s="14">
        <v>7</v>
      </c>
    </row>
    <row r="239" spans="1:34" x14ac:dyDescent="0.3">
      <c r="A239" s="14">
        <v>52</v>
      </c>
      <c r="B239" s="17" t="s">
        <v>43</v>
      </c>
      <c r="C239" t="s">
        <v>55</v>
      </c>
      <c r="D239">
        <v>771</v>
      </c>
      <c r="E239" s="17" t="s">
        <v>37</v>
      </c>
      <c r="F239">
        <v>2</v>
      </c>
      <c r="G239">
        <v>4</v>
      </c>
      <c r="H239" t="s">
        <v>38</v>
      </c>
      <c r="I239">
        <v>329</v>
      </c>
      <c r="J239">
        <v>1</v>
      </c>
      <c r="K239" s="17" t="s">
        <v>46</v>
      </c>
      <c r="L239">
        <v>79</v>
      </c>
      <c r="M239">
        <v>2</v>
      </c>
      <c r="N239">
        <v>5</v>
      </c>
      <c r="O239" s="17" t="s">
        <v>56</v>
      </c>
      <c r="P239" s="14">
        <v>3</v>
      </c>
      <c r="Q239" t="s">
        <v>41</v>
      </c>
      <c r="R239" s="14">
        <v>19068</v>
      </c>
      <c r="S239" s="17" t="str">
        <f t="shared" si="6"/>
        <v>high</v>
      </c>
      <c r="T239">
        <v>21030</v>
      </c>
      <c r="U239">
        <v>1</v>
      </c>
      <c r="V239" s="17" t="s">
        <v>35</v>
      </c>
      <c r="W239">
        <v>18</v>
      </c>
      <c r="X239">
        <v>3</v>
      </c>
      <c r="Y239">
        <v>4</v>
      </c>
      <c r="Z239">
        <v>0</v>
      </c>
      <c r="AA239">
        <v>33</v>
      </c>
      <c r="AB239">
        <v>2</v>
      </c>
      <c r="AC239">
        <v>4</v>
      </c>
      <c r="AD239" s="14">
        <v>33</v>
      </c>
      <c r="AE239" t="str">
        <f t="shared" si="7"/>
        <v>10+ years</v>
      </c>
      <c r="AF239" s="14">
        <v>7</v>
      </c>
      <c r="AG239" s="14">
        <v>15</v>
      </c>
      <c r="AH239" s="14">
        <v>12</v>
      </c>
    </row>
    <row r="240" spans="1:34" x14ac:dyDescent="0.3">
      <c r="A240" s="14">
        <v>32</v>
      </c>
      <c r="B240" s="17" t="s">
        <v>43</v>
      </c>
      <c r="C240" t="s">
        <v>36</v>
      </c>
      <c r="D240">
        <v>1401</v>
      </c>
      <c r="E240" s="17" t="s">
        <v>37</v>
      </c>
      <c r="F240">
        <v>4</v>
      </c>
      <c r="G240">
        <v>2</v>
      </c>
      <c r="H240" t="s">
        <v>38</v>
      </c>
      <c r="I240">
        <v>330</v>
      </c>
      <c r="J240">
        <v>3</v>
      </c>
      <c r="K240" s="17" t="s">
        <v>39</v>
      </c>
      <c r="L240">
        <v>56</v>
      </c>
      <c r="M240">
        <v>3</v>
      </c>
      <c r="N240">
        <v>1</v>
      </c>
      <c r="O240" s="17" t="s">
        <v>57</v>
      </c>
      <c r="P240" s="14">
        <v>2</v>
      </c>
      <c r="Q240" t="s">
        <v>48</v>
      </c>
      <c r="R240" s="14">
        <v>3931</v>
      </c>
      <c r="S240" s="17" t="str">
        <f t="shared" si="6"/>
        <v>medium</v>
      </c>
      <c r="T240">
        <v>20990</v>
      </c>
      <c r="U240">
        <v>2</v>
      </c>
      <c r="V240" s="17" t="s">
        <v>43</v>
      </c>
      <c r="W240">
        <v>11</v>
      </c>
      <c r="X240">
        <v>3</v>
      </c>
      <c r="Y240">
        <v>1</v>
      </c>
      <c r="Z240">
        <v>1</v>
      </c>
      <c r="AA240">
        <v>6</v>
      </c>
      <c r="AB240">
        <v>5</v>
      </c>
      <c r="AC240">
        <v>3</v>
      </c>
      <c r="AD240" s="14">
        <v>4</v>
      </c>
      <c r="AE240" t="str">
        <f t="shared" si="7"/>
        <v>3-5 years</v>
      </c>
      <c r="AF240" s="14">
        <v>3</v>
      </c>
      <c r="AG240" s="14">
        <v>1</v>
      </c>
      <c r="AH240" s="14">
        <v>2</v>
      </c>
    </row>
    <row r="241" spans="1:34" x14ac:dyDescent="0.3">
      <c r="A241" s="14">
        <v>32</v>
      </c>
      <c r="B241" s="17" t="s">
        <v>35</v>
      </c>
      <c r="C241" t="s">
        <v>36</v>
      </c>
      <c r="D241">
        <v>515</v>
      </c>
      <c r="E241" s="17" t="s">
        <v>45</v>
      </c>
      <c r="F241">
        <v>1</v>
      </c>
      <c r="G241">
        <v>3</v>
      </c>
      <c r="H241" t="s">
        <v>38</v>
      </c>
      <c r="I241">
        <v>331</v>
      </c>
      <c r="J241">
        <v>4</v>
      </c>
      <c r="K241" s="17" t="s">
        <v>46</v>
      </c>
      <c r="L241">
        <v>62</v>
      </c>
      <c r="M241">
        <v>2</v>
      </c>
      <c r="N241">
        <v>1</v>
      </c>
      <c r="O241" s="17" t="s">
        <v>50</v>
      </c>
      <c r="P241" s="14">
        <v>3</v>
      </c>
      <c r="Q241" t="s">
        <v>41</v>
      </c>
      <c r="R241" s="14">
        <v>3730</v>
      </c>
      <c r="S241" s="17" t="str">
        <f t="shared" si="6"/>
        <v>medium</v>
      </c>
      <c r="T241">
        <v>9571</v>
      </c>
      <c r="U241">
        <v>0</v>
      </c>
      <c r="V241" s="17" t="s">
        <v>35</v>
      </c>
      <c r="W241">
        <v>14</v>
      </c>
      <c r="X241">
        <v>3</v>
      </c>
      <c r="Y241">
        <v>4</v>
      </c>
      <c r="Z241">
        <v>0</v>
      </c>
      <c r="AA241">
        <v>4</v>
      </c>
      <c r="AB241">
        <v>2</v>
      </c>
      <c r="AC241">
        <v>1</v>
      </c>
      <c r="AD241" s="14">
        <v>3</v>
      </c>
      <c r="AE241" t="str">
        <f t="shared" si="7"/>
        <v>3-5 years</v>
      </c>
      <c r="AF241" s="14">
        <v>2</v>
      </c>
      <c r="AG241" s="14">
        <v>1</v>
      </c>
      <c r="AH241" s="14">
        <v>2</v>
      </c>
    </row>
    <row r="242" spans="1:34" x14ac:dyDescent="0.3">
      <c r="A242" s="14">
        <v>39</v>
      </c>
      <c r="B242" s="17" t="s">
        <v>43</v>
      </c>
      <c r="C242" t="s">
        <v>36</v>
      </c>
      <c r="D242">
        <v>1431</v>
      </c>
      <c r="E242" s="17" t="s">
        <v>45</v>
      </c>
      <c r="F242">
        <v>1</v>
      </c>
      <c r="G242">
        <v>4</v>
      </c>
      <c r="H242" t="s">
        <v>51</v>
      </c>
      <c r="I242">
        <v>332</v>
      </c>
      <c r="J242">
        <v>3</v>
      </c>
      <c r="K242" s="17" t="s">
        <v>39</v>
      </c>
      <c r="L242">
        <v>96</v>
      </c>
      <c r="M242">
        <v>3</v>
      </c>
      <c r="N242">
        <v>1</v>
      </c>
      <c r="O242" s="17" t="s">
        <v>50</v>
      </c>
      <c r="P242" s="14">
        <v>3</v>
      </c>
      <c r="Q242" t="s">
        <v>52</v>
      </c>
      <c r="R242" s="14">
        <v>2232</v>
      </c>
      <c r="S242" s="17" t="str">
        <f t="shared" si="6"/>
        <v>low</v>
      </c>
      <c r="T242">
        <v>15417</v>
      </c>
      <c r="U242">
        <v>7</v>
      </c>
      <c r="V242" s="17" t="s">
        <v>43</v>
      </c>
      <c r="W242">
        <v>14</v>
      </c>
      <c r="X242">
        <v>3</v>
      </c>
      <c r="Y242">
        <v>3</v>
      </c>
      <c r="Z242">
        <v>3</v>
      </c>
      <c r="AA242">
        <v>7</v>
      </c>
      <c r="AB242">
        <v>1</v>
      </c>
      <c r="AC242">
        <v>3</v>
      </c>
      <c r="AD242" s="14">
        <v>3</v>
      </c>
      <c r="AE242" t="str">
        <f t="shared" si="7"/>
        <v>3-5 years</v>
      </c>
      <c r="AF242" s="14">
        <v>2</v>
      </c>
      <c r="AG242" s="14">
        <v>1</v>
      </c>
      <c r="AH242" s="14">
        <v>2</v>
      </c>
    </row>
    <row r="243" spans="1:34" x14ac:dyDescent="0.3">
      <c r="A243" s="14">
        <v>32</v>
      </c>
      <c r="B243" s="17" t="s">
        <v>43</v>
      </c>
      <c r="C243" t="s">
        <v>55</v>
      </c>
      <c r="D243">
        <v>976</v>
      </c>
      <c r="E243" s="17" t="s">
        <v>37</v>
      </c>
      <c r="F243">
        <v>26</v>
      </c>
      <c r="G243">
        <v>4</v>
      </c>
      <c r="H243" t="s">
        <v>59</v>
      </c>
      <c r="I243">
        <v>333</v>
      </c>
      <c r="J243">
        <v>3</v>
      </c>
      <c r="K243" s="17" t="s">
        <v>46</v>
      </c>
      <c r="L243">
        <v>100</v>
      </c>
      <c r="M243">
        <v>3</v>
      </c>
      <c r="N243">
        <v>2</v>
      </c>
      <c r="O243" s="17" t="s">
        <v>40</v>
      </c>
      <c r="P243" s="14">
        <v>4</v>
      </c>
      <c r="Q243" t="s">
        <v>48</v>
      </c>
      <c r="R243" s="14">
        <v>4465</v>
      </c>
      <c r="S243" s="17" t="str">
        <f t="shared" si="6"/>
        <v>medium</v>
      </c>
      <c r="T243">
        <v>12069</v>
      </c>
      <c r="U243">
        <v>0</v>
      </c>
      <c r="V243" s="17" t="s">
        <v>43</v>
      </c>
      <c r="W243">
        <v>18</v>
      </c>
      <c r="X243">
        <v>3</v>
      </c>
      <c r="Y243">
        <v>1</v>
      </c>
      <c r="Z243">
        <v>0</v>
      </c>
      <c r="AA243">
        <v>4</v>
      </c>
      <c r="AB243">
        <v>2</v>
      </c>
      <c r="AC243">
        <v>3</v>
      </c>
      <c r="AD243" s="14">
        <v>3</v>
      </c>
      <c r="AE243" t="str">
        <f t="shared" si="7"/>
        <v>3-5 years</v>
      </c>
      <c r="AF243" s="14">
        <v>2</v>
      </c>
      <c r="AG243" s="14">
        <v>2</v>
      </c>
      <c r="AH243" s="14">
        <v>2</v>
      </c>
    </row>
    <row r="244" spans="1:34" x14ac:dyDescent="0.3">
      <c r="A244" s="14">
        <v>41</v>
      </c>
      <c r="B244" s="17" t="s">
        <v>43</v>
      </c>
      <c r="C244" t="s">
        <v>36</v>
      </c>
      <c r="D244">
        <v>1411</v>
      </c>
      <c r="E244" s="17" t="s">
        <v>45</v>
      </c>
      <c r="F244">
        <v>19</v>
      </c>
      <c r="G244">
        <v>2</v>
      </c>
      <c r="H244" t="s">
        <v>38</v>
      </c>
      <c r="I244">
        <v>334</v>
      </c>
      <c r="J244">
        <v>3</v>
      </c>
      <c r="K244" s="17" t="s">
        <v>46</v>
      </c>
      <c r="L244">
        <v>36</v>
      </c>
      <c r="M244">
        <v>3</v>
      </c>
      <c r="N244">
        <v>2</v>
      </c>
      <c r="O244" s="17" t="s">
        <v>47</v>
      </c>
      <c r="P244" s="14">
        <v>1</v>
      </c>
      <c r="Q244" t="s">
        <v>52</v>
      </c>
      <c r="R244" s="14">
        <v>3072</v>
      </c>
      <c r="S244" s="17" t="str">
        <f t="shared" si="6"/>
        <v>medium</v>
      </c>
      <c r="T244">
        <v>19877</v>
      </c>
      <c r="U244">
        <v>2</v>
      </c>
      <c r="V244" s="17" t="s">
        <v>43</v>
      </c>
      <c r="W244">
        <v>16</v>
      </c>
      <c r="X244">
        <v>3</v>
      </c>
      <c r="Y244">
        <v>1</v>
      </c>
      <c r="Z244">
        <v>2</v>
      </c>
      <c r="AA244">
        <v>17</v>
      </c>
      <c r="AB244">
        <v>2</v>
      </c>
      <c r="AC244">
        <v>2</v>
      </c>
      <c r="AD244" s="14">
        <v>1</v>
      </c>
      <c r="AE244" t="str">
        <f t="shared" si="7"/>
        <v>0-2 years</v>
      </c>
      <c r="AF244" s="14">
        <v>0</v>
      </c>
      <c r="AG244" s="14">
        <v>0</v>
      </c>
      <c r="AH244" s="14">
        <v>0</v>
      </c>
    </row>
    <row r="245" spans="1:34" x14ac:dyDescent="0.3">
      <c r="A245" s="14">
        <v>40</v>
      </c>
      <c r="B245" s="17" t="s">
        <v>43</v>
      </c>
      <c r="C245" t="s">
        <v>36</v>
      </c>
      <c r="D245">
        <v>1300</v>
      </c>
      <c r="E245" s="17" t="s">
        <v>45</v>
      </c>
      <c r="F245">
        <v>24</v>
      </c>
      <c r="G245">
        <v>2</v>
      </c>
      <c r="H245" t="s">
        <v>60</v>
      </c>
      <c r="I245">
        <v>335</v>
      </c>
      <c r="J245">
        <v>1</v>
      </c>
      <c r="K245" s="17" t="s">
        <v>46</v>
      </c>
      <c r="L245">
        <v>62</v>
      </c>
      <c r="M245">
        <v>3</v>
      </c>
      <c r="N245">
        <v>2</v>
      </c>
      <c r="O245" s="17" t="s">
        <v>47</v>
      </c>
      <c r="P245" s="14">
        <v>4</v>
      </c>
      <c r="Q245" t="s">
        <v>52</v>
      </c>
      <c r="R245" s="14">
        <v>3319</v>
      </c>
      <c r="S245" s="17" t="str">
        <f t="shared" si="6"/>
        <v>medium</v>
      </c>
      <c r="T245">
        <v>24447</v>
      </c>
      <c r="U245">
        <v>1</v>
      </c>
      <c r="V245" s="17" t="s">
        <v>43</v>
      </c>
      <c r="W245">
        <v>17</v>
      </c>
      <c r="X245">
        <v>3</v>
      </c>
      <c r="Y245">
        <v>1</v>
      </c>
      <c r="Z245">
        <v>2</v>
      </c>
      <c r="AA245">
        <v>9</v>
      </c>
      <c r="AB245">
        <v>3</v>
      </c>
      <c r="AC245">
        <v>3</v>
      </c>
      <c r="AD245" s="14">
        <v>9</v>
      </c>
      <c r="AE245" t="str">
        <f t="shared" si="7"/>
        <v>6-10 years</v>
      </c>
      <c r="AF245" s="14">
        <v>8</v>
      </c>
      <c r="AG245" s="14">
        <v>4</v>
      </c>
      <c r="AH245" s="14">
        <v>7</v>
      </c>
    </row>
    <row r="246" spans="1:34" x14ac:dyDescent="0.3">
      <c r="A246" s="14">
        <v>45</v>
      </c>
      <c r="B246" s="17" t="s">
        <v>43</v>
      </c>
      <c r="C246" t="s">
        <v>36</v>
      </c>
      <c r="D246">
        <v>252</v>
      </c>
      <c r="E246" s="17" t="s">
        <v>45</v>
      </c>
      <c r="F246">
        <v>1</v>
      </c>
      <c r="G246">
        <v>3</v>
      </c>
      <c r="H246" t="s">
        <v>49</v>
      </c>
      <c r="I246">
        <v>336</v>
      </c>
      <c r="J246">
        <v>3</v>
      </c>
      <c r="K246" s="17" t="s">
        <v>46</v>
      </c>
      <c r="L246">
        <v>70</v>
      </c>
      <c r="M246">
        <v>4</v>
      </c>
      <c r="N246">
        <v>5</v>
      </c>
      <c r="O246" s="17" t="s">
        <v>56</v>
      </c>
      <c r="P246" s="14">
        <v>4</v>
      </c>
      <c r="Q246" t="s">
        <v>48</v>
      </c>
      <c r="R246" s="14">
        <v>19202</v>
      </c>
      <c r="S246" s="17" t="str">
        <f t="shared" si="6"/>
        <v>high</v>
      </c>
      <c r="T246">
        <v>15970</v>
      </c>
      <c r="U246">
        <v>0</v>
      </c>
      <c r="V246" s="17" t="s">
        <v>43</v>
      </c>
      <c r="W246">
        <v>11</v>
      </c>
      <c r="X246">
        <v>3</v>
      </c>
      <c r="Y246">
        <v>3</v>
      </c>
      <c r="Z246">
        <v>1</v>
      </c>
      <c r="AA246">
        <v>25</v>
      </c>
      <c r="AB246">
        <v>2</v>
      </c>
      <c r="AC246">
        <v>3</v>
      </c>
      <c r="AD246" s="14">
        <v>24</v>
      </c>
      <c r="AE246" t="str">
        <f t="shared" si="7"/>
        <v>10+ years</v>
      </c>
      <c r="AF246" s="14">
        <v>0</v>
      </c>
      <c r="AG246" s="14">
        <v>1</v>
      </c>
      <c r="AH246" s="14">
        <v>7</v>
      </c>
    </row>
    <row r="247" spans="1:34" x14ac:dyDescent="0.3">
      <c r="A247" s="14">
        <v>31</v>
      </c>
      <c r="B247" s="17" t="s">
        <v>43</v>
      </c>
      <c r="C247" t="s">
        <v>44</v>
      </c>
      <c r="D247">
        <v>1327</v>
      </c>
      <c r="E247" s="17" t="s">
        <v>45</v>
      </c>
      <c r="F247">
        <v>3</v>
      </c>
      <c r="G247">
        <v>4</v>
      </c>
      <c r="H247" t="s">
        <v>51</v>
      </c>
      <c r="I247">
        <v>337</v>
      </c>
      <c r="J247">
        <v>2</v>
      </c>
      <c r="K247" s="17" t="s">
        <v>46</v>
      </c>
      <c r="L247">
        <v>73</v>
      </c>
      <c r="M247">
        <v>3</v>
      </c>
      <c r="N247">
        <v>3</v>
      </c>
      <c r="O247" s="17" t="s">
        <v>58</v>
      </c>
      <c r="P247" s="14">
        <v>3</v>
      </c>
      <c r="Q247" t="s">
        <v>52</v>
      </c>
      <c r="R247" s="14">
        <v>13675</v>
      </c>
      <c r="S247" s="17" t="str">
        <f t="shared" si="6"/>
        <v>high</v>
      </c>
      <c r="T247">
        <v>13523</v>
      </c>
      <c r="U247">
        <v>9</v>
      </c>
      <c r="V247" s="17" t="s">
        <v>43</v>
      </c>
      <c r="W247">
        <v>12</v>
      </c>
      <c r="X247">
        <v>3</v>
      </c>
      <c r="Y247">
        <v>1</v>
      </c>
      <c r="Z247">
        <v>1</v>
      </c>
      <c r="AA247">
        <v>9</v>
      </c>
      <c r="AB247">
        <v>3</v>
      </c>
      <c r="AC247">
        <v>3</v>
      </c>
      <c r="AD247" s="14">
        <v>2</v>
      </c>
      <c r="AE247" t="str">
        <f t="shared" si="7"/>
        <v>0-2 years</v>
      </c>
      <c r="AF247" s="14">
        <v>2</v>
      </c>
      <c r="AG247" s="14">
        <v>2</v>
      </c>
      <c r="AH247" s="14">
        <v>2</v>
      </c>
    </row>
    <row r="248" spans="1:34" x14ac:dyDescent="0.3">
      <c r="A248" s="14">
        <v>33</v>
      </c>
      <c r="B248" s="17" t="s">
        <v>43</v>
      </c>
      <c r="C248" t="s">
        <v>36</v>
      </c>
      <c r="D248">
        <v>832</v>
      </c>
      <c r="E248" s="17" t="s">
        <v>45</v>
      </c>
      <c r="F248">
        <v>5</v>
      </c>
      <c r="G248">
        <v>4</v>
      </c>
      <c r="H248" t="s">
        <v>38</v>
      </c>
      <c r="I248">
        <v>338</v>
      </c>
      <c r="J248">
        <v>3</v>
      </c>
      <c r="K248" s="17" t="s">
        <v>39</v>
      </c>
      <c r="L248">
        <v>63</v>
      </c>
      <c r="M248">
        <v>2</v>
      </c>
      <c r="N248">
        <v>1</v>
      </c>
      <c r="O248" s="17" t="s">
        <v>47</v>
      </c>
      <c r="P248" s="14">
        <v>4</v>
      </c>
      <c r="Q248" t="s">
        <v>48</v>
      </c>
      <c r="R248" s="14">
        <v>2911</v>
      </c>
      <c r="S248" s="17" t="str">
        <f t="shared" si="6"/>
        <v>low</v>
      </c>
      <c r="T248">
        <v>14776</v>
      </c>
      <c r="U248">
        <v>1</v>
      </c>
      <c r="V248" s="17" t="s">
        <v>43</v>
      </c>
      <c r="W248">
        <v>13</v>
      </c>
      <c r="X248">
        <v>3</v>
      </c>
      <c r="Y248">
        <v>3</v>
      </c>
      <c r="Z248">
        <v>1</v>
      </c>
      <c r="AA248">
        <v>2</v>
      </c>
      <c r="AB248">
        <v>2</v>
      </c>
      <c r="AC248">
        <v>2</v>
      </c>
      <c r="AD248" s="14">
        <v>2</v>
      </c>
      <c r="AE248" t="str">
        <f t="shared" si="7"/>
        <v>0-2 years</v>
      </c>
      <c r="AF248" s="14">
        <v>2</v>
      </c>
      <c r="AG248" s="14">
        <v>0</v>
      </c>
      <c r="AH248" s="14">
        <v>2</v>
      </c>
    </row>
    <row r="249" spans="1:34" x14ac:dyDescent="0.3">
      <c r="A249" s="14">
        <v>34</v>
      </c>
      <c r="B249" s="17" t="s">
        <v>43</v>
      </c>
      <c r="C249" t="s">
        <v>36</v>
      </c>
      <c r="D249">
        <v>470</v>
      </c>
      <c r="E249" s="17" t="s">
        <v>45</v>
      </c>
      <c r="F249">
        <v>2</v>
      </c>
      <c r="G249">
        <v>4</v>
      </c>
      <c r="H249" t="s">
        <v>38</v>
      </c>
      <c r="I249">
        <v>339</v>
      </c>
      <c r="J249">
        <v>4</v>
      </c>
      <c r="K249" s="17" t="s">
        <v>46</v>
      </c>
      <c r="L249">
        <v>84</v>
      </c>
      <c r="M249">
        <v>2</v>
      </c>
      <c r="N249">
        <v>2</v>
      </c>
      <c r="O249" s="17" t="s">
        <v>53</v>
      </c>
      <c r="P249" s="14">
        <v>1</v>
      </c>
      <c r="Q249" t="s">
        <v>48</v>
      </c>
      <c r="R249" s="14">
        <v>5957</v>
      </c>
      <c r="S249" s="17" t="str">
        <f t="shared" si="6"/>
        <v>medium</v>
      </c>
      <c r="T249">
        <v>23687</v>
      </c>
      <c r="U249">
        <v>6</v>
      </c>
      <c r="V249" s="17" t="s">
        <v>43</v>
      </c>
      <c r="W249">
        <v>13</v>
      </c>
      <c r="X249">
        <v>3</v>
      </c>
      <c r="Y249">
        <v>2</v>
      </c>
      <c r="Z249">
        <v>1</v>
      </c>
      <c r="AA249">
        <v>13</v>
      </c>
      <c r="AB249">
        <v>3</v>
      </c>
      <c r="AC249">
        <v>3</v>
      </c>
      <c r="AD249" s="14">
        <v>11</v>
      </c>
      <c r="AE249" t="str">
        <f t="shared" si="7"/>
        <v>10+ years</v>
      </c>
      <c r="AF249" s="14">
        <v>9</v>
      </c>
      <c r="AG249" s="14">
        <v>5</v>
      </c>
      <c r="AH249" s="14">
        <v>9</v>
      </c>
    </row>
    <row r="250" spans="1:34" x14ac:dyDescent="0.3">
      <c r="A250" s="14">
        <v>37</v>
      </c>
      <c r="B250" s="17" t="s">
        <v>43</v>
      </c>
      <c r="C250" t="s">
        <v>36</v>
      </c>
      <c r="D250">
        <v>1017</v>
      </c>
      <c r="E250" s="17" t="s">
        <v>45</v>
      </c>
      <c r="F250">
        <v>1</v>
      </c>
      <c r="G250">
        <v>2</v>
      </c>
      <c r="H250" t="s">
        <v>51</v>
      </c>
      <c r="I250">
        <v>340</v>
      </c>
      <c r="J250">
        <v>3</v>
      </c>
      <c r="K250" s="17" t="s">
        <v>39</v>
      </c>
      <c r="L250">
        <v>83</v>
      </c>
      <c r="M250">
        <v>2</v>
      </c>
      <c r="N250">
        <v>1</v>
      </c>
      <c r="O250" s="17" t="s">
        <v>47</v>
      </c>
      <c r="P250" s="14">
        <v>1</v>
      </c>
      <c r="Q250" t="s">
        <v>48</v>
      </c>
      <c r="R250" s="14">
        <v>3920</v>
      </c>
      <c r="S250" s="17" t="str">
        <f t="shared" si="6"/>
        <v>medium</v>
      </c>
      <c r="T250">
        <v>18697</v>
      </c>
      <c r="U250">
        <v>2</v>
      </c>
      <c r="V250" s="17" t="s">
        <v>43</v>
      </c>
      <c r="W250">
        <v>14</v>
      </c>
      <c r="X250">
        <v>3</v>
      </c>
      <c r="Y250">
        <v>1</v>
      </c>
      <c r="Z250">
        <v>1</v>
      </c>
      <c r="AA250">
        <v>17</v>
      </c>
      <c r="AB250">
        <v>2</v>
      </c>
      <c r="AC250">
        <v>2</v>
      </c>
      <c r="AD250" s="14">
        <v>3</v>
      </c>
      <c r="AE250" t="str">
        <f t="shared" si="7"/>
        <v>3-5 years</v>
      </c>
      <c r="AF250" s="14">
        <v>1</v>
      </c>
      <c r="AG250" s="14">
        <v>0</v>
      </c>
      <c r="AH250" s="14">
        <v>2</v>
      </c>
    </row>
    <row r="251" spans="1:34" x14ac:dyDescent="0.3">
      <c r="A251" s="14">
        <v>45</v>
      </c>
      <c r="B251" s="17" t="s">
        <v>43</v>
      </c>
      <c r="C251" t="s">
        <v>44</v>
      </c>
      <c r="D251">
        <v>1199</v>
      </c>
      <c r="E251" s="17" t="s">
        <v>45</v>
      </c>
      <c r="F251">
        <v>7</v>
      </c>
      <c r="G251">
        <v>4</v>
      </c>
      <c r="H251" t="s">
        <v>38</v>
      </c>
      <c r="I251">
        <v>341</v>
      </c>
      <c r="J251">
        <v>1</v>
      </c>
      <c r="K251" s="17" t="s">
        <v>46</v>
      </c>
      <c r="L251">
        <v>77</v>
      </c>
      <c r="M251">
        <v>4</v>
      </c>
      <c r="N251">
        <v>2</v>
      </c>
      <c r="O251" s="17" t="s">
        <v>53</v>
      </c>
      <c r="P251" s="14">
        <v>3</v>
      </c>
      <c r="Q251" t="s">
        <v>48</v>
      </c>
      <c r="R251" s="14">
        <v>6434</v>
      </c>
      <c r="S251" s="17" t="str">
        <f t="shared" si="6"/>
        <v>medium</v>
      </c>
      <c r="T251">
        <v>5118</v>
      </c>
      <c r="U251">
        <v>4</v>
      </c>
      <c r="V251" s="17" t="s">
        <v>43</v>
      </c>
      <c r="W251">
        <v>17</v>
      </c>
      <c r="X251">
        <v>3</v>
      </c>
      <c r="Y251">
        <v>4</v>
      </c>
      <c r="Z251">
        <v>1</v>
      </c>
      <c r="AA251">
        <v>9</v>
      </c>
      <c r="AB251">
        <v>1</v>
      </c>
      <c r="AC251">
        <v>3</v>
      </c>
      <c r="AD251" s="14">
        <v>3</v>
      </c>
      <c r="AE251" t="str">
        <f t="shared" si="7"/>
        <v>3-5 years</v>
      </c>
      <c r="AF251" s="14">
        <v>2</v>
      </c>
      <c r="AG251" s="14">
        <v>0</v>
      </c>
      <c r="AH251" s="14">
        <v>2</v>
      </c>
    </row>
    <row r="252" spans="1:34" x14ac:dyDescent="0.3">
      <c r="A252" s="14">
        <v>37</v>
      </c>
      <c r="B252" s="17" t="s">
        <v>35</v>
      </c>
      <c r="C252" t="s">
        <v>44</v>
      </c>
      <c r="D252">
        <v>504</v>
      </c>
      <c r="E252" s="17" t="s">
        <v>45</v>
      </c>
      <c r="F252">
        <v>10</v>
      </c>
      <c r="G252">
        <v>3</v>
      </c>
      <c r="H252" t="s">
        <v>51</v>
      </c>
      <c r="I252">
        <v>342</v>
      </c>
      <c r="J252">
        <v>1</v>
      </c>
      <c r="K252" s="17" t="s">
        <v>46</v>
      </c>
      <c r="L252">
        <v>61</v>
      </c>
      <c r="M252">
        <v>3</v>
      </c>
      <c r="N252">
        <v>3</v>
      </c>
      <c r="O252" s="17" t="s">
        <v>53</v>
      </c>
      <c r="P252" s="14">
        <v>3</v>
      </c>
      <c r="Q252" t="s">
        <v>52</v>
      </c>
      <c r="R252" s="14">
        <v>10048</v>
      </c>
      <c r="S252" s="17" t="str">
        <f t="shared" si="6"/>
        <v>high</v>
      </c>
      <c r="T252">
        <v>22573</v>
      </c>
      <c r="U252">
        <v>6</v>
      </c>
      <c r="V252" s="17" t="s">
        <v>43</v>
      </c>
      <c r="W252">
        <v>11</v>
      </c>
      <c r="X252">
        <v>3</v>
      </c>
      <c r="Y252">
        <v>2</v>
      </c>
      <c r="Z252">
        <v>2</v>
      </c>
      <c r="AA252">
        <v>17</v>
      </c>
      <c r="AB252">
        <v>5</v>
      </c>
      <c r="AC252">
        <v>3</v>
      </c>
      <c r="AD252" s="14">
        <v>1</v>
      </c>
      <c r="AE252" t="str">
        <f t="shared" si="7"/>
        <v>0-2 years</v>
      </c>
      <c r="AF252" s="14">
        <v>0</v>
      </c>
      <c r="AG252" s="14">
        <v>0</v>
      </c>
      <c r="AH252" s="14">
        <v>0</v>
      </c>
    </row>
    <row r="253" spans="1:34" x14ac:dyDescent="0.3">
      <c r="A253" s="14">
        <v>39</v>
      </c>
      <c r="B253" s="17" t="s">
        <v>43</v>
      </c>
      <c r="C253" t="s">
        <v>44</v>
      </c>
      <c r="D253">
        <v>505</v>
      </c>
      <c r="E253" s="17" t="s">
        <v>45</v>
      </c>
      <c r="F253">
        <v>2</v>
      </c>
      <c r="G253">
        <v>4</v>
      </c>
      <c r="H253" t="s">
        <v>60</v>
      </c>
      <c r="I253">
        <v>343</v>
      </c>
      <c r="J253">
        <v>3</v>
      </c>
      <c r="K253" s="17" t="s">
        <v>39</v>
      </c>
      <c r="L253">
        <v>64</v>
      </c>
      <c r="M253">
        <v>3</v>
      </c>
      <c r="N253">
        <v>3</v>
      </c>
      <c r="O253" s="17" t="s">
        <v>54</v>
      </c>
      <c r="P253" s="14">
        <v>3</v>
      </c>
      <c r="Q253" t="s">
        <v>41</v>
      </c>
      <c r="R253" s="14">
        <v>10938</v>
      </c>
      <c r="S253" s="17" t="str">
        <f t="shared" si="6"/>
        <v>high</v>
      </c>
      <c r="T253">
        <v>6420</v>
      </c>
      <c r="U253">
        <v>0</v>
      </c>
      <c r="V253" s="17" t="s">
        <v>43</v>
      </c>
      <c r="W253">
        <v>25</v>
      </c>
      <c r="X253">
        <v>4</v>
      </c>
      <c r="Y253">
        <v>4</v>
      </c>
      <c r="Z253">
        <v>0</v>
      </c>
      <c r="AA253">
        <v>20</v>
      </c>
      <c r="AB253">
        <v>1</v>
      </c>
      <c r="AC253">
        <v>3</v>
      </c>
      <c r="AD253" s="14">
        <v>19</v>
      </c>
      <c r="AE253" t="str">
        <f t="shared" si="7"/>
        <v>10+ years</v>
      </c>
      <c r="AF253" s="14">
        <v>6</v>
      </c>
      <c r="AG253" s="14">
        <v>11</v>
      </c>
      <c r="AH253" s="14">
        <v>8</v>
      </c>
    </row>
    <row r="254" spans="1:34" x14ac:dyDescent="0.3">
      <c r="A254" s="14">
        <v>29</v>
      </c>
      <c r="B254" s="17" t="s">
        <v>43</v>
      </c>
      <c r="C254" t="s">
        <v>36</v>
      </c>
      <c r="D254">
        <v>665</v>
      </c>
      <c r="E254" s="17" t="s">
        <v>45</v>
      </c>
      <c r="F254">
        <v>15</v>
      </c>
      <c r="G254">
        <v>3</v>
      </c>
      <c r="H254" t="s">
        <v>38</v>
      </c>
      <c r="I254">
        <v>346</v>
      </c>
      <c r="J254">
        <v>3</v>
      </c>
      <c r="K254" s="17" t="s">
        <v>46</v>
      </c>
      <c r="L254">
        <v>60</v>
      </c>
      <c r="M254">
        <v>3</v>
      </c>
      <c r="N254">
        <v>1</v>
      </c>
      <c r="O254" s="17" t="s">
        <v>47</v>
      </c>
      <c r="P254" s="14">
        <v>4</v>
      </c>
      <c r="Q254" t="s">
        <v>41</v>
      </c>
      <c r="R254" s="14">
        <v>2340</v>
      </c>
      <c r="S254" s="17" t="str">
        <f t="shared" si="6"/>
        <v>low</v>
      </c>
      <c r="T254">
        <v>22673</v>
      </c>
      <c r="U254">
        <v>1</v>
      </c>
      <c r="V254" s="17" t="s">
        <v>43</v>
      </c>
      <c r="W254">
        <v>19</v>
      </c>
      <c r="X254">
        <v>3</v>
      </c>
      <c r="Y254">
        <v>1</v>
      </c>
      <c r="Z254">
        <v>0</v>
      </c>
      <c r="AA254">
        <v>6</v>
      </c>
      <c r="AB254">
        <v>1</v>
      </c>
      <c r="AC254">
        <v>3</v>
      </c>
      <c r="AD254" s="14">
        <v>6</v>
      </c>
      <c r="AE254" t="str">
        <f t="shared" si="7"/>
        <v>6-10 years</v>
      </c>
      <c r="AF254" s="14">
        <v>5</v>
      </c>
      <c r="AG254" s="14">
        <v>1</v>
      </c>
      <c r="AH254" s="14">
        <v>5</v>
      </c>
    </row>
    <row r="255" spans="1:34" x14ac:dyDescent="0.3">
      <c r="A255" s="14">
        <v>42</v>
      </c>
      <c r="B255" s="17" t="s">
        <v>43</v>
      </c>
      <c r="C255" t="s">
        <v>36</v>
      </c>
      <c r="D255">
        <v>916</v>
      </c>
      <c r="E255" s="17" t="s">
        <v>45</v>
      </c>
      <c r="F255">
        <v>17</v>
      </c>
      <c r="G255">
        <v>2</v>
      </c>
      <c r="H255" t="s">
        <v>38</v>
      </c>
      <c r="I255">
        <v>347</v>
      </c>
      <c r="J255">
        <v>4</v>
      </c>
      <c r="K255" s="17" t="s">
        <v>39</v>
      </c>
      <c r="L255">
        <v>82</v>
      </c>
      <c r="M255">
        <v>4</v>
      </c>
      <c r="N255">
        <v>2</v>
      </c>
      <c r="O255" s="17" t="s">
        <v>47</v>
      </c>
      <c r="P255" s="14">
        <v>1</v>
      </c>
      <c r="Q255" t="s">
        <v>41</v>
      </c>
      <c r="R255" s="14">
        <v>6545</v>
      </c>
      <c r="S255" s="17" t="str">
        <f t="shared" si="6"/>
        <v>medium</v>
      </c>
      <c r="T255">
        <v>23016</v>
      </c>
      <c r="U255">
        <v>3</v>
      </c>
      <c r="V255" s="17" t="s">
        <v>35</v>
      </c>
      <c r="W255">
        <v>13</v>
      </c>
      <c r="X255">
        <v>3</v>
      </c>
      <c r="Y255">
        <v>3</v>
      </c>
      <c r="Z255">
        <v>0</v>
      </c>
      <c r="AA255">
        <v>10</v>
      </c>
      <c r="AB255">
        <v>1</v>
      </c>
      <c r="AC255">
        <v>3</v>
      </c>
      <c r="AD255" s="14">
        <v>3</v>
      </c>
      <c r="AE255" t="str">
        <f t="shared" si="7"/>
        <v>3-5 years</v>
      </c>
      <c r="AF255" s="14">
        <v>2</v>
      </c>
      <c r="AG255" s="14">
        <v>0</v>
      </c>
      <c r="AH255" s="14">
        <v>2</v>
      </c>
    </row>
    <row r="256" spans="1:34" x14ac:dyDescent="0.3">
      <c r="A256" s="14">
        <v>29</v>
      </c>
      <c r="B256" s="17" t="s">
        <v>43</v>
      </c>
      <c r="C256" t="s">
        <v>36</v>
      </c>
      <c r="D256">
        <v>1247</v>
      </c>
      <c r="E256" s="17" t="s">
        <v>37</v>
      </c>
      <c r="F256">
        <v>20</v>
      </c>
      <c r="G256">
        <v>2</v>
      </c>
      <c r="H256" t="s">
        <v>59</v>
      </c>
      <c r="I256">
        <v>349</v>
      </c>
      <c r="J256">
        <v>4</v>
      </c>
      <c r="K256" s="17" t="s">
        <v>46</v>
      </c>
      <c r="L256">
        <v>45</v>
      </c>
      <c r="M256">
        <v>3</v>
      </c>
      <c r="N256">
        <v>2</v>
      </c>
      <c r="O256" s="17" t="s">
        <v>40</v>
      </c>
      <c r="P256" s="14">
        <v>4</v>
      </c>
      <c r="Q256" t="s">
        <v>52</v>
      </c>
      <c r="R256" s="14">
        <v>6931</v>
      </c>
      <c r="S256" s="17" t="str">
        <f t="shared" si="6"/>
        <v>medium</v>
      </c>
      <c r="T256">
        <v>10732</v>
      </c>
      <c r="U256">
        <v>2</v>
      </c>
      <c r="V256" s="17" t="s">
        <v>43</v>
      </c>
      <c r="W256">
        <v>14</v>
      </c>
      <c r="X256">
        <v>3</v>
      </c>
      <c r="Y256">
        <v>4</v>
      </c>
      <c r="Z256">
        <v>1</v>
      </c>
      <c r="AA256">
        <v>10</v>
      </c>
      <c r="AB256">
        <v>2</v>
      </c>
      <c r="AC256">
        <v>3</v>
      </c>
      <c r="AD256" s="14">
        <v>3</v>
      </c>
      <c r="AE256" t="str">
        <f t="shared" si="7"/>
        <v>3-5 years</v>
      </c>
      <c r="AF256" s="14">
        <v>2</v>
      </c>
      <c r="AG256" s="14">
        <v>0</v>
      </c>
      <c r="AH256" s="14">
        <v>2</v>
      </c>
    </row>
    <row r="257" spans="1:34" x14ac:dyDescent="0.3">
      <c r="A257" s="14">
        <v>25</v>
      </c>
      <c r="B257" s="17" t="s">
        <v>43</v>
      </c>
      <c r="C257" t="s">
        <v>36</v>
      </c>
      <c r="D257">
        <v>685</v>
      </c>
      <c r="E257" s="17" t="s">
        <v>45</v>
      </c>
      <c r="F257">
        <v>1</v>
      </c>
      <c r="G257">
        <v>3</v>
      </c>
      <c r="H257" t="s">
        <v>38</v>
      </c>
      <c r="I257">
        <v>350</v>
      </c>
      <c r="J257">
        <v>1</v>
      </c>
      <c r="K257" s="17" t="s">
        <v>39</v>
      </c>
      <c r="L257">
        <v>62</v>
      </c>
      <c r="M257">
        <v>3</v>
      </c>
      <c r="N257">
        <v>2</v>
      </c>
      <c r="O257" s="17" t="s">
        <v>53</v>
      </c>
      <c r="P257" s="14">
        <v>3</v>
      </c>
      <c r="Q257" t="s">
        <v>48</v>
      </c>
      <c r="R257" s="14">
        <v>4898</v>
      </c>
      <c r="S257" s="17" t="str">
        <f t="shared" si="6"/>
        <v>medium</v>
      </c>
      <c r="T257">
        <v>7505</v>
      </c>
      <c r="U257">
        <v>0</v>
      </c>
      <c r="V257" s="17" t="s">
        <v>43</v>
      </c>
      <c r="W257">
        <v>12</v>
      </c>
      <c r="X257">
        <v>3</v>
      </c>
      <c r="Y257">
        <v>4</v>
      </c>
      <c r="Z257">
        <v>2</v>
      </c>
      <c r="AA257">
        <v>5</v>
      </c>
      <c r="AB257">
        <v>3</v>
      </c>
      <c r="AC257">
        <v>3</v>
      </c>
      <c r="AD257" s="14">
        <v>4</v>
      </c>
      <c r="AE257" t="str">
        <f t="shared" si="7"/>
        <v>3-5 years</v>
      </c>
      <c r="AF257" s="14">
        <v>2</v>
      </c>
      <c r="AG257" s="14">
        <v>1</v>
      </c>
      <c r="AH257" s="14">
        <v>2</v>
      </c>
    </row>
    <row r="258" spans="1:34" x14ac:dyDescent="0.3">
      <c r="A258" s="14">
        <v>42</v>
      </c>
      <c r="B258" s="17" t="s">
        <v>43</v>
      </c>
      <c r="C258" t="s">
        <v>36</v>
      </c>
      <c r="D258">
        <v>269</v>
      </c>
      <c r="E258" s="17" t="s">
        <v>45</v>
      </c>
      <c r="F258">
        <v>2</v>
      </c>
      <c r="G258">
        <v>3</v>
      </c>
      <c r="H258" t="s">
        <v>51</v>
      </c>
      <c r="I258">
        <v>351</v>
      </c>
      <c r="J258">
        <v>4</v>
      </c>
      <c r="K258" s="17" t="s">
        <v>39</v>
      </c>
      <c r="L258">
        <v>56</v>
      </c>
      <c r="M258">
        <v>2</v>
      </c>
      <c r="N258">
        <v>1</v>
      </c>
      <c r="O258" s="17" t="s">
        <v>50</v>
      </c>
      <c r="P258" s="14">
        <v>1</v>
      </c>
      <c r="Q258" t="s">
        <v>52</v>
      </c>
      <c r="R258" s="14">
        <v>2593</v>
      </c>
      <c r="S258" s="17" t="str">
        <f t="shared" ref="S258:S321" si="8">IF(R258&lt;=3000, "low",IF(R258&lt;=7000,"medium","high"))</f>
        <v>low</v>
      </c>
      <c r="T258">
        <v>8007</v>
      </c>
      <c r="U258">
        <v>0</v>
      </c>
      <c r="V258" s="17" t="s">
        <v>35</v>
      </c>
      <c r="W258">
        <v>11</v>
      </c>
      <c r="X258">
        <v>3</v>
      </c>
      <c r="Y258">
        <v>3</v>
      </c>
      <c r="Z258">
        <v>1</v>
      </c>
      <c r="AA258">
        <v>10</v>
      </c>
      <c r="AB258">
        <v>4</v>
      </c>
      <c r="AC258">
        <v>3</v>
      </c>
      <c r="AD258" s="14">
        <v>9</v>
      </c>
      <c r="AE258" t="str">
        <f t="shared" ref="AE258:AE321" si="9">IF(AD258&lt;=2,"0-2 years", IF(AD258&lt;=5,"3-5 years", IF(AD258&lt;=10,"6-10 years","10+ years")))</f>
        <v>6-10 years</v>
      </c>
      <c r="AF258" s="14">
        <v>6</v>
      </c>
      <c r="AG258" s="14">
        <v>7</v>
      </c>
      <c r="AH258" s="14">
        <v>8</v>
      </c>
    </row>
    <row r="259" spans="1:34" x14ac:dyDescent="0.3">
      <c r="A259" s="14">
        <v>40</v>
      </c>
      <c r="B259" s="17" t="s">
        <v>43</v>
      </c>
      <c r="C259" t="s">
        <v>36</v>
      </c>
      <c r="D259">
        <v>1416</v>
      </c>
      <c r="E259" s="17" t="s">
        <v>45</v>
      </c>
      <c r="F259">
        <v>2</v>
      </c>
      <c r="G259">
        <v>2</v>
      </c>
      <c r="H259" t="s">
        <v>51</v>
      </c>
      <c r="I259">
        <v>352</v>
      </c>
      <c r="J259">
        <v>1</v>
      </c>
      <c r="K259" s="17" t="s">
        <v>46</v>
      </c>
      <c r="L259">
        <v>49</v>
      </c>
      <c r="M259">
        <v>3</v>
      </c>
      <c r="N259">
        <v>5</v>
      </c>
      <c r="O259" s="17" t="s">
        <v>58</v>
      </c>
      <c r="P259" s="14">
        <v>3</v>
      </c>
      <c r="Q259" t="s">
        <v>52</v>
      </c>
      <c r="R259" s="14">
        <v>19436</v>
      </c>
      <c r="S259" s="17" t="str">
        <f t="shared" si="8"/>
        <v>high</v>
      </c>
      <c r="T259">
        <v>5949</v>
      </c>
      <c r="U259">
        <v>0</v>
      </c>
      <c r="V259" s="17" t="s">
        <v>43</v>
      </c>
      <c r="W259">
        <v>19</v>
      </c>
      <c r="X259">
        <v>3</v>
      </c>
      <c r="Y259">
        <v>4</v>
      </c>
      <c r="Z259">
        <v>1</v>
      </c>
      <c r="AA259">
        <v>22</v>
      </c>
      <c r="AB259">
        <v>5</v>
      </c>
      <c r="AC259">
        <v>3</v>
      </c>
      <c r="AD259" s="14">
        <v>21</v>
      </c>
      <c r="AE259" t="str">
        <f t="shared" si="9"/>
        <v>10+ years</v>
      </c>
      <c r="AF259" s="14">
        <v>7</v>
      </c>
      <c r="AG259" s="14">
        <v>3</v>
      </c>
      <c r="AH259" s="14">
        <v>9</v>
      </c>
    </row>
    <row r="260" spans="1:34" x14ac:dyDescent="0.3">
      <c r="A260" s="14">
        <v>51</v>
      </c>
      <c r="B260" s="17" t="s">
        <v>43</v>
      </c>
      <c r="C260" t="s">
        <v>36</v>
      </c>
      <c r="D260">
        <v>833</v>
      </c>
      <c r="E260" s="17" t="s">
        <v>45</v>
      </c>
      <c r="F260">
        <v>1</v>
      </c>
      <c r="G260">
        <v>3</v>
      </c>
      <c r="H260" t="s">
        <v>38</v>
      </c>
      <c r="I260">
        <v>353</v>
      </c>
      <c r="J260">
        <v>3</v>
      </c>
      <c r="K260" s="17" t="s">
        <v>46</v>
      </c>
      <c r="L260">
        <v>96</v>
      </c>
      <c r="M260">
        <v>3</v>
      </c>
      <c r="N260">
        <v>1</v>
      </c>
      <c r="O260" s="17" t="s">
        <v>47</v>
      </c>
      <c r="P260" s="14">
        <v>4</v>
      </c>
      <c r="Q260" t="s">
        <v>48</v>
      </c>
      <c r="R260" s="14">
        <v>2723</v>
      </c>
      <c r="S260" s="17" t="str">
        <f t="shared" si="8"/>
        <v>low</v>
      </c>
      <c r="T260">
        <v>23231</v>
      </c>
      <c r="U260">
        <v>1</v>
      </c>
      <c r="V260" s="17" t="s">
        <v>43</v>
      </c>
      <c r="W260">
        <v>11</v>
      </c>
      <c r="X260">
        <v>3</v>
      </c>
      <c r="Y260">
        <v>2</v>
      </c>
      <c r="Z260">
        <v>0</v>
      </c>
      <c r="AA260">
        <v>1</v>
      </c>
      <c r="AB260">
        <v>0</v>
      </c>
      <c r="AC260">
        <v>2</v>
      </c>
      <c r="AD260" s="14">
        <v>1</v>
      </c>
      <c r="AE260" t="str">
        <f t="shared" si="9"/>
        <v>0-2 years</v>
      </c>
      <c r="AF260" s="14">
        <v>0</v>
      </c>
      <c r="AG260" s="14">
        <v>0</v>
      </c>
      <c r="AH260" s="14">
        <v>0</v>
      </c>
    </row>
    <row r="261" spans="1:34" x14ac:dyDescent="0.3">
      <c r="A261" s="14">
        <v>31</v>
      </c>
      <c r="B261" s="17" t="s">
        <v>35</v>
      </c>
      <c r="C261" t="s">
        <v>44</v>
      </c>
      <c r="D261">
        <v>307</v>
      </c>
      <c r="E261" s="17" t="s">
        <v>45</v>
      </c>
      <c r="F261">
        <v>29</v>
      </c>
      <c r="G261">
        <v>2</v>
      </c>
      <c r="H261" t="s">
        <v>51</v>
      </c>
      <c r="I261">
        <v>355</v>
      </c>
      <c r="J261">
        <v>3</v>
      </c>
      <c r="K261" s="17" t="s">
        <v>46</v>
      </c>
      <c r="L261">
        <v>71</v>
      </c>
      <c r="M261">
        <v>2</v>
      </c>
      <c r="N261">
        <v>1</v>
      </c>
      <c r="O261" s="17" t="s">
        <v>50</v>
      </c>
      <c r="P261" s="14">
        <v>2</v>
      </c>
      <c r="Q261" t="s">
        <v>41</v>
      </c>
      <c r="R261" s="14">
        <v>3479</v>
      </c>
      <c r="S261" s="17" t="str">
        <f t="shared" si="8"/>
        <v>medium</v>
      </c>
      <c r="T261">
        <v>11652</v>
      </c>
      <c r="U261">
        <v>0</v>
      </c>
      <c r="V261" s="17" t="s">
        <v>43</v>
      </c>
      <c r="W261">
        <v>11</v>
      </c>
      <c r="X261">
        <v>3</v>
      </c>
      <c r="Y261">
        <v>2</v>
      </c>
      <c r="Z261">
        <v>0</v>
      </c>
      <c r="AA261">
        <v>6</v>
      </c>
      <c r="AB261">
        <v>2</v>
      </c>
      <c r="AC261">
        <v>4</v>
      </c>
      <c r="AD261" s="14">
        <v>5</v>
      </c>
      <c r="AE261" t="str">
        <f t="shared" si="9"/>
        <v>3-5 years</v>
      </c>
      <c r="AF261" s="14">
        <v>4</v>
      </c>
      <c r="AG261" s="14">
        <v>1</v>
      </c>
      <c r="AH261" s="14">
        <v>4</v>
      </c>
    </row>
    <row r="262" spans="1:34" x14ac:dyDescent="0.3">
      <c r="A262" s="14">
        <v>32</v>
      </c>
      <c r="B262" s="17" t="s">
        <v>43</v>
      </c>
      <c r="C262" t="s">
        <v>44</v>
      </c>
      <c r="D262">
        <v>1311</v>
      </c>
      <c r="E262" s="17" t="s">
        <v>45</v>
      </c>
      <c r="F262">
        <v>7</v>
      </c>
      <c r="G262">
        <v>3</v>
      </c>
      <c r="H262" t="s">
        <v>38</v>
      </c>
      <c r="I262">
        <v>359</v>
      </c>
      <c r="J262">
        <v>2</v>
      </c>
      <c r="K262" s="17" t="s">
        <v>46</v>
      </c>
      <c r="L262">
        <v>100</v>
      </c>
      <c r="M262">
        <v>4</v>
      </c>
      <c r="N262">
        <v>1</v>
      </c>
      <c r="O262" s="17" t="s">
        <v>50</v>
      </c>
      <c r="P262" s="14">
        <v>2</v>
      </c>
      <c r="Q262" t="s">
        <v>48</v>
      </c>
      <c r="R262" s="14">
        <v>2794</v>
      </c>
      <c r="S262" s="17" t="str">
        <f t="shared" si="8"/>
        <v>low</v>
      </c>
      <c r="T262">
        <v>26062</v>
      </c>
      <c r="U262">
        <v>1</v>
      </c>
      <c r="V262" s="17" t="s">
        <v>43</v>
      </c>
      <c r="W262">
        <v>20</v>
      </c>
      <c r="X262">
        <v>4</v>
      </c>
      <c r="Y262">
        <v>3</v>
      </c>
      <c r="Z262">
        <v>0</v>
      </c>
      <c r="AA262">
        <v>5</v>
      </c>
      <c r="AB262">
        <v>3</v>
      </c>
      <c r="AC262">
        <v>1</v>
      </c>
      <c r="AD262" s="14">
        <v>5</v>
      </c>
      <c r="AE262" t="str">
        <f t="shared" si="9"/>
        <v>3-5 years</v>
      </c>
      <c r="AF262" s="14">
        <v>1</v>
      </c>
      <c r="AG262" s="14">
        <v>0</v>
      </c>
      <c r="AH262" s="14">
        <v>3</v>
      </c>
    </row>
    <row r="263" spans="1:34" x14ac:dyDescent="0.3">
      <c r="A263" s="14">
        <v>38</v>
      </c>
      <c r="B263" s="17" t="s">
        <v>43</v>
      </c>
      <c r="C263" t="s">
        <v>55</v>
      </c>
      <c r="D263">
        <v>1327</v>
      </c>
      <c r="E263" s="17" t="s">
        <v>37</v>
      </c>
      <c r="F263">
        <v>2</v>
      </c>
      <c r="G263">
        <v>2</v>
      </c>
      <c r="H263" t="s">
        <v>38</v>
      </c>
      <c r="I263">
        <v>361</v>
      </c>
      <c r="J263">
        <v>4</v>
      </c>
      <c r="K263" s="17" t="s">
        <v>46</v>
      </c>
      <c r="L263">
        <v>39</v>
      </c>
      <c r="M263">
        <v>2</v>
      </c>
      <c r="N263">
        <v>2</v>
      </c>
      <c r="O263" s="17" t="s">
        <v>40</v>
      </c>
      <c r="P263" s="14">
        <v>4</v>
      </c>
      <c r="Q263" t="s">
        <v>48</v>
      </c>
      <c r="R263" s="14">
        <v>5249</v>
      </c>
      <c r="S263" s="17" t="str">
        <f t="shared" si="8"/>
        <v>medium</v>
      </c>
      <c r="T263">
        <v>19682</v>
      </c>
      <c r="U263">
        <v>3</v>
      </c>
      <c r="V263" s="17" t="s">
        <v>43</v>
      </c>
      <c r="W263">
        <v>18</v>
      </c>
      <c r="X263">
        <v>3</v>
      </c>
      <c r="Y263">
        <v>4</v>
      </c>
      <c r="Z263">
        <v>1</v>
      </c>
      <c r="AA263">
        <v>13</v>
      </c>
      <c r="AB263">
        <v>0</v>
      </c>
      <c r="AC263">
        <v>3</v>
      </c>
      <c r="AD263" s="14">
        <v>8</v>
      </c>
      <c r="AE263" t="str">
        <f t="shared" si="9"/>
        <v>6-10 years</v>
      </c>
      <c r="AF263" s="14">
        <v>7</v>
      </c>
      <c r="AG263" s="14">
        <v>7</v>
      </c>
      <c r="AH263" s="14">
        <v>5</v>
      </c>
    </row>
    <row r="264" spans="1:34" x14ac:dyDescent="0.3">
      <c r="A264" s="14">
        <v>32</v>
      </c>
      <c r="B264" s="17" t="s">
        <v>43</v>
      </c>
      <c r="C264" t="s">
        <v>36</v>
      </c>
      <c r="D264">
        <v>128</v>
      </c>
      <c r="E264" s="17" t="s">
        <v>45</v>
      </c>
      <c r="F264">
        <v>2</v>
      </c>
      <c r="G264">
        <v>1</v>
      </c>
      <c r="H264" t="s">
        <v>60</v>
      </c>
      <c r="I264">
        <v>362</v>
      </c>
      <c r="J264">
        <v>4</v>
      </c>
      <c r="K264" s="17" t="s">
        <v>46</v>
      </c>
      <c r="L264">
        <v>84</v>
      </c>
      <c r="M264">
        <v>2</v>
      </c>
      <c r="N264">
        <v>2</v>
      </c>
      <c r="O264" s="17" t="s">
        <v>50</v>
      </c>
      <c r="P264" s="14">
        <v>1</v>
      </c>
      <c r="Q264" t="s">
        <v>41</v>
      </c>
      <c r="R264" s="14">
        <v>2176</v>
      </c>
      <c r="S264" s="17" t="str">
        <f t="shared" si="8"/>
        <v>low</v>
      </c>
      <c r="T264">
        <v>19737</v>
      </c>
      <c r="U264">
        <v>4</v>
      </c>
      <c r="V264" s="17" t="s">
        <v>43</v>
      </c>
      <c r="W264">
        <v>13</v>
      </c>
      <c r="X264">
        <v>3</v>
      </c>
      <c r="Y264">
        <v>4</v>
      </c>
      <c r="Z264">
        <v>0</v>
      </c>
      <c r="AA264">
        <v>9</v>
      </c>
      <c r="AB264">
        <v>5</v>
      </c>
      <c r="AC264">
        <v>3</v>
      </c>
      <c r="AD264" s="14">
        <v>6</v>
      </c>
      <c r="AE264" t="str">
        <f t="shared" si="9"/>
        <v>6-10 years</v>
      </c>
      <c r="AF264" s="14">
        <v>2</v>
      </c>
      <c r="AG264" s="14">
        <v>0</v>
      </c>
      <c r="AH264" s="14">
        <v>4</v>
      </c>
    </row>
    <row r="265" spans="1:34" x14ac:dyDescent="0.3">
      <c r="A265" s="14">
        <v>46</v>
      </c>
      <c r="B265" s="17" t="s">
        <v>43</v>
      </c>
      <c r="C265" t="s">
        <v>36</v>
      </c>
      <c r="D265">
        <v>488</v>
      </c>
      <c r="E265" s="17" t="s">
        <v>37</v>
      </c>
      <c r="F265">
        <v>2</v>
      </c>
      <c r="G265">
        <v>3</v>
      </c>
      <c r="H265" t="s">
        <v>60</v>
      </c>
      <c r="I265">
        <v>363</v>
      </c>
      <c r="J265">
        <v>3</v>
      </c>
      <c r="K265" s="17" t="s">
        <v>39</v>
      </c>
      <c r="L265">
        <v>75</v>
      </c>
      <c r="M265">
        <v>1</v>
      </c>
      <c r="N265">
        <v>4</v>
      </c>
      <c r="O265" s="17" t="s">
        <v>56</v>
      </c>
      <c r="P265" s="14">
        <v>2</v>
      </c>
      <c r="Q265" t="s">
        <v>48</v>
      </c>
      <c r="R265" s="14">
        <v>16872</v>
      </c>
      <c r="S265" s="17" t="str">
        <f t="shared" si="8"/>
        <v>high</v>
      </c>
      <c r="T265">
        <v>14977</v>
      </c>
      <c r="U265">
        <v>3</v>
      </c>
      <c r="V265" s="17" t="s">
        <v>35</v>
      </c>
      <c r="W265">
        <v>12</v>
      </c>
      <c r="X265">
        <v>3</v>
      </c>
      <c r="Y265">
        <v>2</v>
      </c>
      <c r="Z265">
        <v>1</v>
      </c>
      <c r="AA265">
        <v>28</v>
      </c>
      <c r="AB265">
        <v>2</v>
      </c>
      <c r="AC265">
        <v>2</v>
      </c>
      <c r="AD265" s="14">
        <v>7</v>
      </c>
      <c r="AE265" t="str">
        <f t="shared" si="9"/>
        <v>6-10 years</v>
      </c>
      <c r="AF265" s="14">
        <v>7</v>
      </c>
      <c r="AG265" s="14">
        <v>7</v>
      </c>
      <c r="AH265" s="14">
        <v>7</v>
      </c>
    </row>
    <row r="266" spans="1:34" x14ac:dyDescent="0.3">
      <c r="A266" s="14">
        <v>28</v>
      </c>
      <c r="B266" s="17" t="s">
        <v>35</v>
      </c>
      <c r="C266" t="s">
        <v>36</v>
      </c>
      <c r="D266">
        <v>529</v>
      </c>
      <c r="E266" s="17" t="s">
        <v>45</v>
      </c>
      <c r="F266">
        <v>2</v>
      </c>
      <c r="G266">
        <v>4</v>
      </c>
      <c r="H266" t="s">
        <v>38</v>
      </c>
      <c r="I266">
        <v>364</v>
      </c>
      <c r="J266">
        <v>1</v>
      </c>
      <c r="K266" s="17" t="s">
        <v>46</v>
      </c>
      <c r="L266">
        <v>79</v>
      </c>
      <c r="M266">
        <v>3</v>
      </c>
      <c r="N266">
        <v>1</v>
      </c>
      <c r="O266" s="17" t="s">
        <v>50</v>
      </c>
      <c r="P266" s="14">
        <v>3</v>
      </c>
      <c r="Q266" t="s">
        <v>41</v>
      </c>
      <c r="R266" s="14">
        <v>3485</v>
      </c>
      <c r="S266" s="17" t="str">
        <f t="shared" si="8"/>
        <v>medium</v>
      </c>
      <c r="T266">
        <v>14935</v>
      </c>
      <c r="U266">
        <v>2</v>
      </c>
      <c r="V266" s="17" t="s">
        <v>43</v>
      </c>
      <c r="W266">
        <v>11</v>
      </c>
      <c r="X266">
        <v>3</v>
      </c>
      <c r="Y266">
        <v>3</v>
      </c>
      <c r="Z266">
        <v>0</v>
      </c>
      <c r="AA266">
        <v>5</v>
      </c>
      <c r="AB266">
        <v>5</v>
      </c>
      <c r="AC266">
        <v>1</v>
      </c>
      <c r="AD266" s="14">
        <v>0</v>
      </c>
      <c r="AE266" t="str">
        <f t="shared" si="9"/>
        <v>0-2 years</v>
      </c>
      <c r="AF266" s="14">
        <v>0</v>
      </c>
      <c r="AG266" s="14">
        <v>0</v>
      </c>
      <c r="AH266" s="14">
        <v>0</v>
      </c>
    </row>
    <row r="267" spans="1:34" x14ac:dyDescent="0.3">
      <c r="A267" s="14">
        <v>29</v>
      </c>
      <c r="B267" s="17" t="s">
        <v>43</v>
      </c>
      <c r="C267" t="s">
        <v>36</v>
      </c>
      <c r="D267">
        <v>1210</v>
      </c>
      <c r="E267" s="17" t="s">
        <v>37</v>
      </c>
      <c r="F267">
        <v>2</v>
      </c>
      <c r="G267">
        <v>3</v>
      </c>
      <c r="H267" t="s">
        <v>51</v>
      </c>
      <c r="I267">
        <v>366</v>
      </c>
      <c r="J267">
        <v>1</v>
      </c>
      <c r="K267" s="17" t="s">
        <v>46</v>
      </c>
      <c r="L267">
        <v>78</v>
      </c>
      <c r="M267">
        <v>2</v>
      </c>
      <c r="N267">
        <v>2</v>
      </c>
      <c r="O267" s="17" t="s">
        <v>40</v>
      </c>
      <c r="P267" s="14">
        <v>2</v>
      </c>
      <c r="Q267" t="s">
        <v>48</v>
      </c>
      <c r="R267" s="14">
        <v>6644</v>
      </c>
      <c r="S267" s="17" t="str">
        <f t="shared" si="8"/>
        <v>medium</v>
      </c>
      <c r="T267">
        <v>3687</v>
      </c>
      <c r="U267">
        <v>2</v>
      </c>
      <c r="V267" s="17" t="s">
        <v>43</v>
      </c>
      <c r="W267">
        <v>19</v>
      </c>
      <c r="X267">
        <v>3</v>
      </c>
      <c r="Y267">
        <v>2</v>
      </c>
      <c r="Z267">
        <v>2</v>
      </c>
      <c r="AA267">
        <v>10</v>
      </c>
      <c r="AB267">
        <v>2</v>
      </c>
      <c r="AC267">
        <v>3</v>
      </c>
      <c r="AD267" s="14">
        <v>0</v>
      </c>
      <c r="AE267" t="str">
        <f t="shared" si="9"/>
        <v>0-2 years</v>
      </c>
      <c r="AF267" s="14">
        <v>0</v>
      </c>
      <c r="AG267" s="14">
        <v>0</v>
      </c>
      <c r="AH267" s="14">
        <v>0</v>
      </c>
    </row>
    <row r="268" spans="1:34" x14ac:dyDescent="0.3">
      <c r="A268" s="14">
        <v>31</v>
      </c>
      <c r="B268" s="17" t="s">
        <v>43</v>
      </c>
      <c r="C268" t="s">
        <v>36</v>
      </c>
      <c r="D268">
        <v>1463</v>
      </c>
      <c r="E268" s="17" t="s">
        <v>45</v>
      </c>
      <c r="F268">
        <v>23</v>
      </c>
      <c r="G268">
        <v>3</v>
      </c>
      <c r="H268" t="s">
        <v>51</v>
      </c>
      <c r="I268">
        <v>367</v>
      </c>
      <c r="J268">
        <v>2</v>
      </c>
      <c r="K268" s="17" t="s">
        <v>46</v>
      </c>
      <c r="L268">
        <v>64</v>
      </c>
      <c r="M268">
        <v>2</v>
      </c>
      <c r="N268">
        <v>2</v>
      </c>
      <c r="O268" s="17" t="s">
        <v>54</v>
      </c>
      <c r="P268" s="14">
        <v>4</v>
      </c>
      <c r="Q268" t="s">
        <v>48</v>
      </c>
      <c r="R268" s="14">
        <v>5582</v>
      </c>
      <c r="S268" s="17" t="str">
        <f t="shared" si="8"/>
        <v>medium</v>
      </c>
      <c r="T268">
        <v>14408</v>
      </c>
      <c r="U268">
        <v>0</v>
      </c>
      <c r="V268" s="17" t="s">
        <v>43</v>
      </c>
      <c r="W268">
        <v>21</v>
      </c>
      <c r="X268">
        <v>4</v>
      </c>
      <c r="Y268">
        <v>2</v>
      </c>
      <c r="Z268">
        <v>1</v>
      </c>
      <c r="AA268">
        <v>10</v>
      </c>
      <c r="AB268">
        <v>2</v>
      </c>
      <c r="AC268">
        <v>3</v>
      </c>
      <c r="AD268" s="14">
        <v>9</v>
      </c>
      <c r="AE268" t="str">
        <f t="shared" si="9"/>
        <v>6-10 years</v>
      </c>
      <c r="AF268" s="14">
        <v>0</v>
      </c>
      <c r="AG268" s="14">
        <v>7</v>
      </c>
      <c r="AH268" s="14">
        <v>8</v>
      </c>
    </row>
    <row r="269" spans="1:34" x14ac:dyDescent="0.3">
      <c r="A269" s="14">
        <v>25</v>
      </c>
      <c r="B269" s="17" t="s">
        <v>43</v>
      </c>
      <c r="C269" t="s">
        <v>55</v>
      </c>
      <c r="D269">
        <v>675</v>
      </c>
      <c r="E269" s="17" t="s">
        <v>45</v>
      </c>
      <c r="F269">
        <v>5</v>
      </c>
      <c r="G269">
        <v>2</v>
      </c>
      <c r="H269" t="s">
        <v>38</v>
      </c>
      <c r="I269">
        <v>369</v>
      </c>
      <c r="J269">
        <v>2</v>
      </c>
      <c r="K269" s="17" t="s">
        <v>46</v>
      </c>
      <c r="L269">
        <v>85</v>
      </c>
      <c r="M269">
        <v>4</v>
      </c>
      <c r="N269">
        <v>2</v>
      </c>
      <c r="O269" s="17" t="s">
        <v>54</v>
      </c>
      <c r="P269" s="14">
        <v>1</v>
      </c>
      <c r="Q269" t="s">
        <v>52</v>
      </c>
      <c r="R269" s="14">
        <v>4000</v>
      </c>
      <c r="S269" s="17" t="str">
        <f t="shared" si="8"/>
        <v>medium</v>
      </c>
      <c r="T269">
        <v>18384</v>
      </c>
      <c r="U269">
        <v>1</v>
      </c>
      <c r="V269" s="17" t="s">
        <v>43</v>
      </c>
      <c r="W269">
        <v>12</v>
      </c>
      <c r="X269">
        <v>3</v>
      </c>
      <c r="Y269">
        <v>4</v>
      </c>
      <c r="Z269">
        <v>2</v>
      </c>
      <c r="AA269">
        <v>6</v>
      </c>
      <c r="AB269">
        <v>2</v>
      </c>
      <c r="AC269">
        <v>3</v>
      </c>
      <c r="AD269" s="14">
        <v>6</v>
      </c>
      <c r="AE269" t="str">
        <f t="shared" si="9"/>
        <v>6-10 years</v>
      </c>
      <c r="AF269" s="14">
        <v>3</v>
      </c>
      <c r="AG269" s="14">
        <v>1</v>
      </c>
      <c r="AH269" s="14">
        <v>5</v>
      </c>
    </row>
    <row r="270" spans="1:34" x14ac:dyDescent="0.3">
      <c r="A270" s="14">
        <v>45</v>
      </c>
      <c r="B270" s="17" t="s">
        <v>43</v>
      </c>
      <c r="C270" t="s">
        <v>36</v>
      </c>
      <c r="D270">
        <v>1385</v>
      </c>
      <c r="E270" s="17" t="s">
        <v>45</v>
      </c>
      <c r="F270">
        <v>20</v>
      </c>
      <c r="G270">
        <v>2</v>
      </c>
      <c r="H270" t="s">
        <v>51</v>
      </c>
      <c r="I270">
        <v>372</v>
      </c>
      <c r="J270">
        <v>3</v>
      </c>
      <c r="K270" s="17" t="s">
        <v>46</v>
      </c>
      <c r="L270">
        <v>79</v>
      </c>
      <c r="M270">
        <v>3</v>
      </c>
      <c r="N270">
        <v>4</v>
      </c>
      <c r="O270" s="17" t="s">
        <v>54</v>
      </c>
      <c r="P270" s="14">
        <v>4</v>
      </c>
      <c r="Q270" t="s">
        <v>48</v>
      </c>
      <c r="R270" s="14">
        <v>13496</v>
      </c>
      <c r="S270" s="17" t="str">
        <f t="shared" si="8"/>
        <v>high</v>
      </c>
      <c r="T270">
        <v>7501</v>
      </c>
      <c r="U270">
        <v>0</v>
      </c>
      <c r="V270" s="17" t="s">
        <v>35</v>
      </c>
      <c r="W270">
        <v>14</v>
      </c>
      <c r="X270">
        <v>3</v>
      </c>
      <c r="Y270">
        <v>2</v>
      </c>
      <c r="Z270">
        <v>0</v>
      </c>
      <c r="AA270">
        <v>21</v>
      </c>
      <c r="AB270">
        <v>2</v>
      </c>
      <c r="AC270">
        <v>3</v>
      </c>
      <c r="AD270" s="14">
        <v>20</v>
      </c>
      <c r="AE270" t="str">
        <f t="shared" si="9"/>
        <v>10+ years</v>
      </c>
      <c r="AF270" s="14">
        <v>7</v>
      </c>
      <c r="AG270" s="14">
        <v>4</v>
      </c>
      <c r="AH270" s="14">
        <v>10</v>
      </c>
    </row>
    <row r="271" spans="1:34" x14ac:dyDescent="0.3">
      <c r="A271" s="14">
        <v>36</v>
      </c>
      <c r="B271" s="17" t="s">
        <v>43</v>
      </c>
      <c r="C271" t="s">
        <v>36</v>
      </c>
      <c r="D271">
        <v>1403</v>
      </c>
      <c r="E271" s="17" t="s">
        <v>45</v>
      </c>
      <c r="F271">
        <v>6</v>
      </c>
      <c r="G271">
        <v>3</v>
      </c>
      <c r="H271" t="s">
        <v>38</v>
      </c>
      <c r="I271">
        <v>373</v>
      </c>
      <c r="J271">
        <v>4</v>
      </c>
      <c r="K271" s="17" t="s">
        <v>46</v>
      </c>
      <c r="L271">
        <v>47</v>
      </c>
      <c r="M271">
        <v>3</v>
      </c>
      <c r="N271">
        <v>1</v>
      </c>
      <c r="O271" s="17" t="s">
        <v>50</v>
      </c>
      <c r="P271" s="14">
        <v>4</v>
      </c>
      <c r="Q271" t="s">
        <v>48</v>
      </c>
      <c r="R271" s="14">
        <v>3210</v>
      </c>
      <c r="S271" s="17" t="str">
        <f t="shared" si="8"/>
        <v>medium</v>
      </c>
      <c r="T271">
        <v>20251</v>
      </c>
      <c r="U271">
        <v>0</v>
      </c>
      <c r="V271" s="17" t="s">
        <v>43</v>
      </c>
      <c r="W271">
        <v>11</v>
      </c>
      <c r="X271">
        <v>3</v>
      </c>
      <c r="Y271">
        <v>3</v>
      </c>
      <c r="Z271">
        <v>1</v>
      </c>
      <c r="AA271">
        <v>16</v>
      </c>
      <c r="AB271">
        <v>4</v>
      </c>
      <c r="AC271">
        <v>3</v>
      </c>
      <c r="AD271" s="14">
        <v>15</v>
      </c>
      <c r="AE271" t="str">
        <f t="shared" si="9"/>
        <v>10+ years</v>
      </c>
      <c r="AF271" s="14">
        <v>13</v>
      </c>
      <c r="AG271" s="14">
        <v>10</v>
      </c>
      <c r="AH271" s="14">
        <v>11</v>
      </c>
    </row>
    <row r="272" spans="1:34" x14ac:dyDescent="0.3">
      <c r="A272" s="14">
        <v>55</v>
      </c>
      <c r="B272" s="17" t="s">
        <v>43</v>
      </c>
      <c r="C272" t="s">
        <v>36</v>
      </c>
      <c r="D272">
        <v>452</v>
      </c>
      <c r="E272" s="17" t="s">
        <v>45</v>
      </c>
      <c r="F272">
        <v>1</v>
      </c>
      <c r="G272">
        <v>3</v>
      </c>
      <c r="H272" t="s">
        <v>51</v>
      </c>
      <c r="I272">
        <v>374</v>
      </c>
      <c r="J272">
        <v>4</v>
      </c>
      <c r="K272" s="17" t="s">
        <v>46</v>
      </c>
      <c r="L272">
        <v>81</v>
      </c>
      <c r="M272">
        <v>3</v>
      </c>
      <c r="N272">
        <v>5</v>
      </c>
      <c r="O272" s="17" t="s">
        <v>56</v>
      </c>
      <c r="P272" s="14">
        <v>1</v>
      </c>
      <c r="Q272" t="s">
        <v>41</v>
      </c>
      <c r="R272" s="14">
        <v>19045</v>
      </c>
      <c r="S272" s="17" t="str">
        <f t="shared" si="8"/>
        <v>high</v>
      </c>
      <c r="T272">
        <v>18938</v>
      </c>
      <c r="U272">
        <v>0</v>
      </c>
      <c r="V272" s="17" t="s">
        <v>35</v>
      </c>
      <c r="W272">
        <v>14</v>
      </c>
      <c r="X272">
        <v>3</v>
      </c>
      <c r="Y272">
        <v>3</v>
      </c>
      <c r="Z272">
        <v>0</v>
      </c>
      <c r="AA272">
        <v>37</v>
      </c>
      <c r="AB272">
        <v>2</v>
      </c>
      <c r="AC272">
        <v>3</v>
      </c>
      <c r="AD272" s="14">
        <v>36</v>
      </c>
      <c r="AE272" t="str">
        <f t="shared" si="9"/>
        <v>10+ years</v>
      </c>
      <c r="AF272" s="14">
        <v>10</v>
      </c>
      <c r="AG272" s="14">
        <v>4</v>
      </c>
      <c r="AH272" s="14">
        <v>13</v>
      </c>
    </row>
    <row r="273" spans="1:34" x14ac:dyDescent="0.3">
      <c r="A273" s="14">
        <v>47</v>
      </c>
      <c r="B273" s="17" t="s">
        <v>35</v>
      </c>
      <c r="C273" t="s">
        <v>55</v>
      </c>
      <c r="D273">
        <v>666</v>
      </c>
      <c r="E273" s="17" t="s">
        <v>45</v>
      </c>
      <c r="F273">
        <v>29</v>
      </c>
      <c r="G273">
        <v>4</v>
      </c>
      <c r="H273" t="s">
        <v>38</v>
      </c>
      <c r="I273">
        <v>376</v>
      </c>
      <c r="J273">
        <v>1</v>
      </c>
      <c r="K273" s="17" t="s">
        <v>46</v>
      </c>
      <c r="L273">
        <v>88</v>
      </c>
      <c r="M273">
        <v>3</v>
      </c>
      <c r="N273">
        <v>3</v>
      </c>
      <c r="O273" s="17" t="s">
        <v>56</v>
      </c>
      <c r="P273" s="14">
        <v>2</v>
      </c>
      <c r="Q273" t="s">
        <v>48</v>
      </c>
      <c r="R273" s="14">
        <v>11849</v>
      </c>
      <c r="S273" s="17" t="str">
        <f t="shared" si="8"/>
        <v>high</v>
      </c>
      <c r="T273">
        <v>10268</v>
      </c>
      <c r="U273">
        <v>1</v>
      </c>
      <c r="V273" s="17" t="s">
        <v>35</v>
      </c>
      <c r="W273">
        <v>12</v>
      </c>
      <c r="X273">
        <v>3</v>
      </c>
      <c r="Y273">
        <v>4</v>
      </c>
      <c r="Z273">
        <v>1</v>
      </c>
      <c r="AA273">
        <v>10</v>
      </c>
      <c r="AB273">
        <v>2</v>
      </c>
      <c r="AC273">
        <v>2</v>
      </c>
      <c r="AD273" s="14">
        <v>10</v>
      </c>
      <c r="AE273" t="str">
        <f t="shared" si="9"/>
        <v>6-10 years</v>
      </c>
      <c r="AF273" s="14">
        <v>7</v>
      </c>
      <c r="AG273" s="14">
        <v>9</v>
      </c>
      <c r="AH273" s="14">
        <v>9</v>
      </c>
    </row>
    <row r="274" spans="1:34" x14ac:dyDescent="0.3">
      <c r="A274" s="14">
        <v>28</v>
      </c>
      <c r="B274" s="17" t="s">
        <v>43</v>
      </c>
      <c r="C274" t="s">
        <v>36</v>
      </c>
      <c r="D274">
        <v>1158</v>
      </c>
      <c r="E274" s="17" t="s">
        <v>45</v>
      </c>
      <c r="F274">
        <v>9</v>
      </c>
      <c r="G274">
        <v>3</v>
      </c>
      <c r="H274" t="s">
        <v>51</v>
      </c>
      <c r="I274">
        <v>377</v>
      </c>
      <c r="J274">
        <v>4</v>
      </c>
      <c r="K274" s="17" t="s">
        <v>46</v>
      </c>
      <c r="L274">
        <v>94</v>
      </c>
      <c r="M274">
        <v>3</v>
      </c>
      <c r="N274">
        <v>1</v>
      </c>
      <c r="O274" s="17" t="s">
        <v>47</v>
      </c>
      <c r="P274" s="14">
        <v>4</v>
      </c>
      <c r="Q274" t="s">
        <v>48</v>
      </c>
      <c r="R274" s="14">
        <v>2070</v>
      </c>
      <c r="S274" s="17" t="str">
        <f t="shared" si="8"/>
        <v>low</v>
      </c>
      <c r="T274">
        <v>2613</v>
      </c>
      <c r="U274">
        <v>1</v>
      </c>
      <c r="V274" s="17" t="s">
        <v>43</v>
      </c>
      <c r="W274">
        <v>23</v>
      </c>
      <c r="X274">
        <v>4</v>
      </c>
      <c r="Y274">
        <v>4</v>
      </c>
      <c r="Z274">
        <v>1</v>
      </c>
      <c r="AA274">
        <v>5</v>
      </c>
      <c r="AB274">
        <v>3</v>
      </c>
      <c r="AC274">
        <v>2</v>
      </c>
      <c r="AD274" s="14">
        <v>5</v>
      </c>
      <c r="AE274" t="str">
        <f t="shared" si="9"/>
        <v>3-5 years</v>
      </c>
      <c r="AF274" s="14">
        <v>2</v>
      </c>
      <c r="AG274" s="14">
        <v>0</v>
      </c>
      <c r="AH274" s="14">
        <v>4</v>
      </c>
    </row>
    <row r="275" spans="1:34" x14ac:dyDescent="0.3">
      <c r="A275" s="14">
        <v>37</v>
      </c>
      <c r="B275" s="17" t="s">
        <v>43</v>
      </c>
      <c r="C275" t="s">
        <v>36</v>
      </c>
      <c r="D275">
        <v>228</v>
      </c>
      <c r="E275" s="17" t="s">
        <v>37</v>
      </c>
      <c r="F275">
        <v>6</v>
      </c>
      <c r="G275">
        <v>4</v>
      </c>
      <c r="H275" t="s">
        <v>51</v>
      </c>
      <c r="I275">
        <v>378</v>
      </c>
      <c r="J275">
        <v>3</v>
      </c>
      <c r="K275" s="17" t="s">
        <v>46</v>
      </c>
      <c r="L275">
        <v>98</v>
      </c>
      <c r="M275">
        <v>3</v>
      </c>
      <c r="N275">
        <v>2</v>
      </c>
      <c r="O275" s="17" t="s">
        <v>40</v>
      </c>
      <c r="P275" s="14">
        <v>4</v>
      </c>
      <c r="Q275" t="s">
        <v>48</v>
      </c>
      <c r="R275" s="14">
        <v>6502</v>
      </c>
      <c r="S275" s="17" t="str">
        <f t="shared" si="8"/>
        <v>medium</v>
      </c>
      <c r="T275">
        <v>22825</v>
      </c>
      <c r="U275">
        <v>4</v>
      </c>
      <c r="V275" s="17" t="s">
        <v>43</v>
      </c>
      <c r="W275">
        <v>14</v>
      </c>
      <c r="X275">
        <v>3</v>
      </c>
      <c r="Y275">
        <v>2</v>
      </c>
      <c r="Z275">
        <v>1</v>
      </c>
      <c r="AA275">
        <v>7</v>
      </c>
      <c r="AB275">
        <v>5</v>
      </c>
      <c r="AC275">
        <v>4</v>
      </c>
      <c r="AD275" s="14">
        <v>5</v>
      </c>
      <c r="AE275" t="str">
        <f t="shared" si="9"/>
        <v>3-5 years</v>
      </c>
      <c r="AF275" s="14">
        <v>4</v>
      </c>
      <c r="AG275" s="14">
        <v>0</v>
      </c>
      <c r="AH275" s="14">
        <v>1</v>
      </c>
    </row>
    <row r="276" spans="1:34" x14ac:dyDescent="0.3">
      <c r="A276" s="14">
        <v>21</v>
      </c>
      <c r="B276" s="17" t="s">
        <v>43</v>
      </c>
      <c r="C276" t="s">
        <v>36</v>
      </c>
      <c r="D276">
        <v>996</v>
      </c>
      <c r="E276" s="17" t="s">
        <v>45</v>
      </c>
      <c r="F276">
        <v>3</v>
      </c>
      <c r="G276">
        <v>2</v>
      </c>
      <c r="H276" t="s">
        <v>51</v>
      </c>
      <c r="I276">
        <v>379</v>
      </c>
      <c r="J276">
        <v>4</v>
      </c>
      <c r="K276" s="17" t="s">
        <v>46</v>
      </c>
      <c r="L276">
        <v>100</v>
      </c>
      <c r="M276">
        <v>2</v>
      </c>
      <c r="N276">
        <v>1</v>
      </c>
      <c r="O276" s="17" t="s">
        <v>47</v>
      </c>
      <c r="P276" s="14">
        <v>3</v>
      </c>
      <c r="Q276" t="s">
        <v>41</v>
      </c>
      <c r="R276" s="14">
        <v>3230</v>
      </c>
      <c r="S276" s="17" t="str">
        <f t="shared" si="8"/>
        <v>medium</v>
      </c>
      <c r="T276">
        <v>10531</v>
      </c>
      <c r="U276">
        <v>1</v>
      </c>
      <c r="V276" s="17" t="s">
        <v>43</v>
      </c>
      <c r="W276">
        <v>17</v>
      </c>
      <c r="X276">
        <v>3</v>
      </c>
      <c r="Y276">
        <v>1</v>
      </c>
      <c r="Z276">
        <v>0</v>
      </c>
      <c r="AA276">
        <v>3</v>
      </c>
      <c r="AB276">
        <v>4</v>
      </c>
      <c r="AC276">
        <v>4</v>
      </c>
      <c r="AD276" s="14">
        <v>3</v>
      </c>
      <c r="AE276" t="str">
        <f t="shared" si="9"/>
        <v>3-5 years</v>
      </c>
      <c r="AF276" s="14">
        <v>2</v>
      </c>
      <c r="AG276" s="14">
        <v>1</v>
      </c>
      <c r="AH276" s="14">
        <v>0</v>
      </c>
    </row>
    <row r="277" spans="1:34" x14ac:dyDescent="0.3">
      <c r="A277" s="14">
        <v>37</v>
      </c>
      <c r="B277" s="17" t="s">
        <v>43</v>
      </c>
      <c r="C277" t="s">
        <v>55</v>
      </c>
      <c r="D277">
        <v>728</v>
      </c>
      <c r="E277" s="17" t="s">
        <v>45</v>
      </c>
      <c r="F277">
        <v>1</v>
      </c>
      <c r="G277">
        <v>4</v>
      </c>
      <c r="H277" t="s">
        <v>51</v>
      </c>
      <c r="I277">
        <v>380</v>
      </c>
      <c r="J277">
        <v>1</v>
      </c>
      <c r="K277" s="17" t="s">
        <v>39</v>
      </c>
      <c r="L277">
        <v>80</v>
      </c>
      <c r="M277">
        <v>3</v>
      </c>
      <c r="N277">
        <v>3</v>
      </c>
      <c r="O277" s="17" t="s">
        <v>58</v>
      </c>
      <c r="P277" s="14">
        <v>4</v>
      </c>
      <c r="Q277" t="s">
        <v>52</v>
      </c>
      <c r="R277" s="14">
        <v>13603</v>
      </c>
      <c r="S277" s="17" t="str">
        <f t="shared" si="8"/>
        <v>high</v>
      </c>
      <c r="T277">
        <v>11677</v>
      </c>
      <c r="U277">
        <v>2</v>
      </c>
      <c r="V277" s="17" t="s">
        <v>35</v>
      </c>
      <c r="W277">
        <v>18</v>
      </c>
      <c r="X277">
        <v>3</v>
      </c>
      <c r="Y277">
        <v>1</v>
      </c>
      <c r="Z277">
        <v>2</v>
      </c>
      <c r="AA277">
        <v>15</v>
      </c>
      <c r="AB277">
        <v>2</v>
      </c>
      <c r="AC277">
        <v>3</v>
      </c>
      <c r="AD277" s="14">
        <v>5</v>
      </c>
      <c r="AE277" t="str">
        <f t="shared" si="9"/>
        <v>3-5 years</v>
      </c>
      <c r="AF277" s="14">
        <v>2</v>
      </c>
      <c r="AG277" s="14">
        <v>0</v>
      </c>
      <c r="AH277" s="14">
        <v>2</v>
      </c>
    </row>
    <row r="278" spans="1:34" x14ac:dyDescent="0.3">
      <c r="A278" s="14">
        <v>35</v>
      </c>
      <c r="B278" s="17" t="s">
        <v>43</v>
      </c>
      <c r="C278" t="s">
        <v>36</v>
      </c>
      <c r="D278">
        <v>1315</v>
      </c>
      <c r="E278" s="17" t="s">
        <v>45</v>
      </c>
      <c r="F278">
        <v>22</v>
      </c>
      <c r="G278">
        <v>3</v>
      </c>
      <c r="H278" t="s">
        <v>38</v>
      </c>
      <c r="I278">
        <v>381</v>
      </c>
      <c r="J278">
        <v>2</v>
      </c>
      <c r="K278" s="17" t="s">
        <v>39</v>
      </c>
      <c r="L278">
        <v>71</v>
      </c>
      <c r="M278">
        <v>4</v>
      </c>
      <c r="N278">
        <v>3</v>
      </c>
      <c r="O278" s="17" t="s">
        <v>56</v>
      </c>
      <c r="P278" s="14">
        <v>2</v>
      </c>
      <c r="Q278" t="s">
        <v>52</v>
      </c>
      <c r="R278" s="14">
        <v>11996</v>
      </c>
      <c r="S278" s="17" t="str">
        <f t="shared" si="8"/>
        <v>high</v>
      </c>
      <c r="T278">
        <v>19100</v>
      </c>
      <c r="U278">
        <v>7</v>
      </c>
      <c r="V278" s="17" t="s">
        <v>43</v>
      </c>
      <c r="W278">
        <v>18</v>
      </c>
      <c r="X278">
        <v>3</v>
      </c>
      <c r="Y278">
        <v>2</v>
      </c>
      <c r="Z278">
        <v>1</v>
      </c>
      <c r="AA278">
        <v>10</v>
      </c>
      <c r="AB278">
        <v>6</v>
      </c>
      <c r="AC278">
        <v>2</v>
      </c>
      <c r="AD278" s="14">
        <v>7</v>
      </c>
      <c r="AE278" t="str">
        <f t="shared" si="9"/>
        <v>6-10 years</v>
      </c>
      <c r="AF278" s="14">
        <v>7</v>
      </c>
      <c r="AG278" s="14">
        <v>6</v>
      </c>
      <c r="AH278" s="14">
        <v>2</v>
      </c>
    </row>
    <row r="279" spans="1:34" x14ac:dyDescent="0.3">
      <c r="A279" s="14">
        <v>38</v>
      </c>
      <c r="B279" s="17" t="s">
        <v>43</v>
      </c>
      <c r="C279" t="s">
        <v>36</v>
      </c>
      <c r="D279">
        <v>322</v>
      </c>
      <c r="E279" s="17" t="s">
        <v>37</v>
      </c>
      <c r="F279">
        <v>7</v>
      </c>
      <c r="G279">
        <v>2</v>
      </c>
      <c r="H279" t="s">
        <v>51</v>
      </c>
      <c r="I279">
        <v>382</v>
      </c>
      <c r="J279">
        <v>1</v>
      </c>
      <c r="K279" s="17" t="s">
        <v>39</v>
      </c>
      <c r="L279">
        <v>44</v>
      </c>
      <c r="M279">
        <v>4</v>
      </c>
      <c r="N279">
        <v>2</v>
      </c>
      <c r="O279" s="17" t="s">
        <v>40</v>
      </c>
      <c r="P279" s="14">
        <v>1</v>
      </c>
      <c r="Q279" t="s">
        <v>52</v>
      </c>
      <c r="R279" s="14">
        <v>5605</v>
      </c>
      <c r="S279" s="17" t="str">
        <f t="shared" si="8"/>
        <v>medium</v>
      </c>
      <c r="T279">
        <v>19191</v>
      </c>
      <c r="U279">
        <v>1</v>
      </c>
      <c r="V279" s="17" t="s">
        <v>35</v>
      </c>
      <c r="W279">
        <v>24</v>
      </c>
      <c r="X279">
        <v>4</v>
      </c>
      <c r="Y279">
        <v>3</v>
      </c>
      <c r="Z279">
        <v>1</v>
      </c>
      <c r="AA279">
        <v>8</v>
      </c>
      <c r="AB279">
        <v>3</v>
      </c>
      <c r="AC279">
        <v>3</v>
      </c>
      <c r="AD279" s="14">
        <v>8</v>
      </c>
      <c r="AE279" t="str">
        <f t="shared" si="9"/>
        <v>6-10 years</v>
      </c>
      <c r="AF279" s="14">
        <v>0</v>
      </c>
      <c r="AG279" s="14">
        <v>7</v>
      </c>
      <c r="AH279" s="14">
        <v>7</v>
      </c>
    </row>
    <row r="280" spans="1:34" x14ac:dyDescent="0.3">
      <c r="A280" s="14">
        <v>26</v>
      </c>
      <c r="B280" s="17" t="s">
        <v>43</v>
      </c>
      <c r="C280" t="s">
        <v>44</v>
      </c>
      <c r="D280">
        <v>1479</v>
      </c>
      <c r="E280" s="17" t="s">
        <v>45</v>
      </c>
      <c r="F280">
        <v>1</v>
      </c>
      <c r="G280">
        <v>3</v>
      </c>
      <c r="H280" t="s">
        <v>38</v>
      </c>
      <c r="I280">
        <v>384</v>
      </c>
      <c r="J280">
        <v>3</v>
      </c>
      <c r="K280" s="17" t="s">
        <v>39</v>
      </c>
      <c r="L280">
        <v>84</v>
      </c>
      <c r="M280">
        <v>3</v>
      </c>
      <c r="N280">
        <v>2</v>
      </c>
      <c r="O280" s="17" t="s">
        <v>53</v>
      </c>
      <c r="P280" s="14">
        <v>2</v>
      </c>
      <c r="Q280" t="s">
        <v>52</v>
      </c>
      <c r="R280" s="14">
        <v>6397</v>
      </c>
      <c r="S280" s="17" t="str">
        <f t="shared" si="8"/>
        <v>medium</v>
      </c>
      <c r="T280">
        <v>26767</v>
      </c>
      <c r="U280">
        <v>1</v>
      </c>
      <c r="V280" s="17" t="s">
        <v>43</v>
      </c>
      <c r="W280">
        <v>20</v>
      </c>
      <c r="X280">
        <v>4</v>
      </c>
      <c r="Y280">
        <v>1</v>
      </c>
      <c r="Z280">
        <v>1</v>
      </c>
      <c r="AA280">
        <v>6</v>
      </c>
      <c r="AB280">
        <v>6</v>
      </c>
      <c r="AC280">
        <v>1</v>
      </c>
      <c r="AD280" s="14">
        <v>6</v>
      </c>
      <c r="AE280" t="str">
        <f t="shared" si="9"/>
        <v>6-10 years</v>
      </c>
      <c r="AF280" s="14">
        <v>5</v>
      </c>
      <c r="AG280" s="14">
        <v>1</v>
      </c>
      <c r="AH280" s="14">
        <v>4</v>
      </c>
    </row>
    <row r="281" spans="1:34" x14ac:dyDescent="0.3">
      <c r="A281" s="14">
        <v>50</v>
      </c>
      <c r="B281" s="17" t="s">
        <v>43</v>
      </c>
      <c r="C281" t="s">
        <v>36</v>
      </c>
      <c r="D281">
        <v>797</v>
      </c>
      <c r="E281" s="17" t="s">
        <v>45</v>
      </c>
      <c r="F281">
        <v>4</v>
      </c>
      <c r="G281">
        <v>1</v>
      </c>
      <c r="H281" t="s">
        <v>38</v>
      </c>
      <c r="I281">
        <v>385</v>
      </c>
      <c r="J281">
        <v>1</v>
      </c>
      <c r="K281" s="17" t="s">
        <v>46</v>
      </c>
      <c r="L281">
        <v>96</v>
      </c>
      <c r="M281">
        <v>3</v>
      </c>
      <c r="N281">
        <v>5</v>
      </c>
      <c r="O281" s="17" t="s">
        <v>58</v>
      </c>
      <c r="P281" s="14">
        <v>2</v>
      </c>
      <c r="Q281" t="s">
        <v>52</v>
      </c>
      <c r="R281" s="14">
        <v>19144</v>
      </c>
      <c r="S281" s="17" t="str">
        <f t="shared" si="8"/>
        <v>high</v>
      </c>
      <c r="T281">
        <v>15815</v>
      </c>
      <c r="U281">
        <v>3</v>
      </c>
      <c r="V281" s="17" t="s">
        <v>43</v>
      </c>
      <c r="W281">
        <v>14</v>
      </c>
      <c r="X281">
        <v>3</v>
      </c>
      <c r="Y281">
        <v>1</v>
      </c>
      <c r="Z281">
        <v>2</v>
      </c>
      <c r="AA281">
        <v>28</v>
      </c>
      <c r="AB281">
        <v>4</v>
      </c>
      <c r="AC281">
        <v>2</v>
      </c>
      <c r="AD281" s="14">
        <v>10</v>
      </c>
      <c r="AE281" t="str">
        <f t="shared" si="9"/>
        <v>6-10 years</v>
      </c>
      <c r="AF281" s="14">
        <v>4</v>
      </c>
      <c r="AG281" s="14">
        <v>1</v>
      </c>
      <c r="AH281" s="14">
        <v>6</v>
      </c>
    </row>
    <row r="282" spans="1:34" x14ac:dyDescent="0.3">
      <c r="A282" s="14">
        <v>53</v>
      </c>
      <c r="B282" s="17" t="s">
        <v>43</v>
      </c>
      <c r="C282" t="s">
        <v>36</v>
      </c>
      <c r="D282">
        <v>1070</v>
      </c>
      <c r="E282" s="17" t="s">
        <v>45</v>
      </c>
      <c r="F282">
        <v>3</v>
      </c>
      <c r="G282">
        <v>4</v>
      </c>
      <c r="H282" t="s">
        <v>51</v>
      </c>
      <c r="I282">
        <v>386</v>
      </c>
      <c r="J282">
        <v>3</v>
      </c>
      <c r="K282" s="17" t="s">
        <v>46</v>
      </c>
      <c r="L282">
        <v>45</v>
      </c>
      <c r="M282">
        <v>3</v>
      </c>
      <c r="N282">
        <v>4</v>
      </c>
      <c r="O282" s="17" t="s">
        <v>58</v>
      </c>
      <c r="P282" s="14">
        <v>3</v>
      </c>
      <c r="Q282" t="s">
        <v>48</v>
      </c>
      <c r="R282" s="14">
        <v>17584</v>
      </c>
      <c r="S282" s="17" t="str">
        <f t="shared" si="8"/>
        <v>high</v>
      </c>
      <c r="T282">
        <v>21016</v>
      </c>
      <c r="U282">
        <v>3</v>
      </c>
      <c r="V282" s="17" t="s">
        <v>35</v>
      </c>
      <c r="W282">
        <v>16</v>
      </c>
      <c r="X282">
        <v>3</v>
      </c>
      <c r="Y282">
        <v>4</v>
      </c>
      <c r="Z282">
        <v>3</v>
      </c>
      <c r="AA282">
        <v>21</v>
      </c>
      <c r="AB282">
        <v>5</v>
      </c>
      <c r="AC282">
        <v>2</v>
      </c>
      <c r="AD282" s="14">
        <v>5</v>
      </c>
      <c r="AE282" t="str">
        <f t="shared" si="9"/>
        <v>3-5 years</v>
      </c>
      <c r="AF282" s="14">
        <v>3</v>
      </c>
      <c r="AG282" s="14">
        <v>1</v>
      </c>
      <c r="AH282" s="14">
        <v>3</v>
      </c>
    </row>
    <row r="283" spans="1:34" x14ac:dyDescent="0.3">
      <c r="A283" s="14">
        <v>42</v>
      </c>
      <c r="B283" s="17" t="s">
        <v>43</v>
      </c>
      <c r="C283" t="s">
        <v>36</v>
      </c>
      <c r="D283">
        <v>635</v>
      </c>
      <c r="E283" s="17" t="s">
        <v>37</v>
      </c>
      <c r="F283">
        <v>1</v>
      </c>
      <c r="G283">
        <v>1</v>
      </c>
      <c r="H283" t="s">
        <v>38</v>
      </c>
      <c r="I283">
        <v>387</v>
      </c>
      <c r="J283">
        <v>2</v>
      </c>
      <c r="K283" s="17" t="s">
        <v>46</v>
      </c>
      <c r="L283">
        <v>99</v>
      </c>
      <c r="M283">
        <v>3</v>
      </c>
      <c r="N283">
        <v>2</v>
      </c>
      <c r="O283" s="17" t="s">
        <v>40</v>
      </c>
      <c r="P283" s="14">
        <v>3</v>
      </c>
      <c r="Q283" t="s">
        <v>48</v>
      </c>
      <c r="R283" s="14">
        <v>4907</v>
      </c>
      <c r="S283" s="17" t="str">
        <f t="shared" si="8"/>
        <v>medium</v>
      </c>
      <c r="T283">
        <v>24532</v>
      </c>
      <c r="U283">
        <v>1</v>
      </c>
      <c r="V283" s="17" t="s">
        <v>43</v>
      </c>
      <c r="W283">
        <v>25</v>
      </c>
      <c r="X283">
        <v>4</v>
      </c>
      <c r="Y283">
        <v>3</v>
      </c>
      <c r="Z283">
        <v>0</v>
      </c>
      <c r="AA283">
        <v>20</v>
      </c>
      <c r="AB283">
        <v>3</v>
      </c>
      <c r="AC283">
        <v>3</v>
      </c>
      <c r="AD283" s="14">
        <v>20</v>
      </c>
      <c r="AE283" t="str">
        <f t="shared" si="9"/>
        <v>10+ years</v>
      </c>
      <c r="AF283" s="14">
        <v>16</v>
      </c>
      <c r="AG283" s="14">
        <v>11</v>
      </c>
      <c r="AH283" s="14">
        <v>6</v>
      </c>
    </row>
    <row r="284" spans="1:34" x14ac:dyDescent="0.3">
      <c r="A284" s="14">
        <v>29</v>
      </c>
      <c r="B284" s="17" t="s">
        <v>43</v>
      </c>
      <c r="C284" t="s">
        <v>44</v>
      </c>
      <c r="D284">
        <v>442</v>
      </c>
      <c r="E284" s="17" t="s">
        <v>37</v>
      </c>
      <c r="F284">
        <v>2</v>
      </c>
      <c r="G284">
        <v>2</v>
      </c>
      <c r="H284" t="s">
        <v>38</v>
      </c>
      <c r="I284">
        <v>388</v>
      </c>
      <c r="J284">
        <v>2</v>
      </c>
      <c r="K284" s="17" t="s">
        <v>46</v>
      </c>
      <c r="L284">
        <v>44</v>
      </c>
      <c r="M284">
        <v>3</v>
      </c>
      <c r="N284">
        <v>2</v>
      </c>
      <c r="O284" s="17" t="s">
        <v>40</v>
      </c>
      <c r="P284" s="14">
        <v>4</v>
      </c>
      <c r="Q284" t="s">
        <v>41</v>
      </c>
      <c r="R284" s="14">
        <v>4554</v>
      </c>
      <c r="S284" s="17" t="str">
        <f t="shared" si="8"/>
        <v>medium</v>
      </c>
      <c r="T284">
        <v>20260</v>
      </c>
      <c r="U284">
        <v>1</v>
      </c>
      <c r="V284" s="17" t="s">
        <v>43</v>
      </c>
      <c r="W284">
        <v>18</v>
      </c>
      <c r="X284">
        <v>3</v>
      </c>
      <c r="Y284">
        <v>1</v>
      </c>
      <c r="Z284">
        <v>0</v>
      </c>
      <c r="AA284">
        <v>10</v>
      </c>
      <c r="AB284">
        <v>3</v>
      </c>
      <c r="AC284">
        <v>2</v>
      </c>
      <c r="AD284" s="14">
        <v>10</v>
      </c>
      <c r="AE284" t="str">
        <f t="shared" si="9"/>
        <v>6-10 years</v>
      </c>
      <c r="AF284" s="14">
        <v>7</v>
      </c>
      <c r="AG284" s="14">
        <v>0</v>
      </c>
      <c r="AH284" s="14">
        <v>9</v>
      </c>
    </row>
    <row r="285" spans="1:34" x14ac:dyDescent="0.3">
      <c r="A285" s="14">
        <v>55</v>
      </c>
      <c r="B285" s="17" t="s">
        <v>43</v>
      </c>
      <c r="C285" t="s">
        <v>36</v>
      </c>
      <c r="D285">
        <v>147</v>
      </c>
      <c r="E285" s="17" t="s">
        <v>45</v>
      </c>
      <c r="F285">
        <v>20</v>
      </c>
      <c r="G285">
        <v>2</v>
      </c>
      <c r="H285" t="s">
        <v>60</v>
      </c>
      <c r="I285">
        <v>389</v>
      </c>
      <c r="J285">
        <v>2</v>
      </c>
      <c r="K285" s="17" t="s">
        <v>46</v>
      </c>
      <c r="L285">
        <v>37</v>
      </c>
      <c r="M285">
        <v>3</v>
      </c>
      <c r="N285">
        <v>2</v>
      </c>
      <c r="O285" s="17" t="s">
        <v>50</v>
      </c>
      <c r="P285" s="14">
        <v>4</v>
      </c>
      <c r="Q285" t="s">
        <v>48</v>
      </c>
      <c r="R285" s="14">
        <v>5415</v>
      </c>
      <c r="S285" s="17" t="str">
        <f t="shared" si="8"/>
        <v>medium</v>
      </c>
      <c r="T285">
        <v>15972</v>
      </c>
      <c r="U285">
        <v>3</v>
      </c>
      <c r="V285" s="17" t="s">
        <v>35</v>
      </c>
      <c r="W285">
        <v>19</v>
      </c>
      <c r="X285">
        <v>3</v>
      </c>
      <c r="Y285">
        <v>4</v>
      </c>
      <c r="Z285">
        <v>1</v>
      </c>
      <c r="AA285">
        <v>12</v>
      </c>
      <c r="AB285">
        <v>4</v>
      </c>
      <c r="AC285">
        <v>3</v>
      </c>
      <c r="AD285" s="14">
        <v>10</v>
      </c>
      <c r="AE285" t="str">
        <f t="shared" si="9"/>
        <v>6-10 years</v>
      </c>
      <c r="AF285" s="14">
        <v>7</v>
      </c>
      <c r="AG285" s="14">
        <v>0</v>
      </c>
      <c r="AH285" s="14">
        <v>8</v>
      </c>
    </row>
    <row r="286" spans="1:34" x14ac:dyDescent="0.3">
      <c r="A286" s="14">
        <v>26</v>
      </c>
      <c r="B286" s="17" t="s">
        <v>43</v>
      </c>
      <c r="C286" t="s">
        <v>44</v>
      </c>
      <c r="D286">
        <v>496</v>
      </c>
      <c r="E286" s="17" t="s">
        <v>45</v>
      </c>
      <c r="F286">
        <v>11</v>
      </c>
      <c r="G286">
        <v>2</v>
      </c>
      <c r="H286" t="s">
        <v>51</v>
      </c>
      <c r="I286">
        <v>390</v>
      </c>
      <c r="J286">
        <v>1</v>
      </c>
      <c r="K286" s="17" t="s">
        <v>46</v>
      </c>
      <c r="L286">
        <v>60</v>
      </c>
      <c r="M286">
        <v>3</v>
      </c>
      <c r="N286">
        <v>2</v>
      </c>
      <c r="O286" s="17" t="s">
        <v>54</v>
      </c>
      <c r="P286" s="14">
        <v>1</v>
      </c>
      <c r="Q286" t="s">
        <v>48</v>
      </c>
      <c r="R286" s="14">
        <v>4741</v>
      </c>
      <c r="S286" s="17" t="str">
        <f t="shared" si="8"/>
        <v>medium</v>
      </c>
      <c r="T286">
        <v>22722</v>
      </c>
      <c r="U286">
        <v>1</v>
      </c>
      <c r="V286" s="17" t="s">
        <v>35</v>
      </c>
      <c r="W286">
        <v>13</v>
      </c>
      <c r="X286">
        <v>3</v>
      </c>
      <c r="Y286">
        <v>3</v>
      </c>
      <c r="Z286">
        <v>1</v>
      </c>
      <c r="AA286">
        <v>5</v>
      </c>
      <c r="AB286">
        <v>3</v>
      </c>
      <c r="AC286">
        <v>3</v>
      </c>
      <c r="AD286" s="14">
        <v>5</v>
      </c>
      <c r="AE286" t="str">
        <f t="shared" si="9"/>
        <v>3-5 years</v>
      </c>
      <c r="AF286" s="14">
        <v>3</v>
      </c>
      <c r="AG286" s="14">
        <v>3</v>
      </c>
      <c r="AH286" s="14">
        <v>3</v>
      </c>
    </row>
    <row r="287" spans="1:34" x14ac:dyDescent="0.3">
      <c r="A287" s="14">
        <v>37</v>
      </c>
      <c r="B287" s="17" t="s">
        <v>43</v>
      </c>
      <c r="C287" t="s">
        <v>36</v>
      </c>
      <c r="D287">
        <v>1372</v>
      </c>
      <c r="E287" s="17" t="s">
        <v>45</v>
      </c>
      <c r="F287">
        <v>1</v>
      </c>
      <c r="G287">
        <v>3</v>
      </c>
      <c r="H287" t="s">
        <v>38</v>
      </c>
      <c r="I287">
        <v>391</v>
      </c>
      <c r="J287">
        <v>4</v>
      </c>
      <c r="K287" s="17" t="s">
        <v>39</v>
      </c>
      <c r="L287">
        <v>42</v>
      </c>
      <c r="M287">
        <v>3</v>
      </c>
      <c r="N287">
        <v>1</v>
      </c>
      <c r="O287" s="17" t="s">
        <v>47</v>
      </c>
      <c r="P287" s="14">
        <v>4</v>
      </c>
      <c r="Q287" t="s">
        <v>41</v>
      </c>
      <c r="R287" s="14">
        <v>2115</v>
      </c>
      <c r="S287" s="17" t="str">
        <f t="shared" si="8"/>
        <v>low</v>
      </c>
      <c r="T287">
        <v>15881</v>
      </c>
      <c r="U287">
        <v>1</v>
      </c>
      <c r="V287" s="17" t="s">
        <v>43</v>
      </c>
      <c r="W287">
        <v>12</v>
      </c>
      <c r="X287">
        <v>3</v>
      </c>
      <c r="Y287">
        <v>2</v>
      </c>
      <c r="Z287">
        <v>0</v>
      </c>
      <c r="AA287">
        <v>17</v>
      </c>
      <c r="AB287">
        <v>3</v>
      </c>
      <c r="AC287">
        <v>3</v>
      </c>
      <c r="AD287" s="14">
        <v>17</v>
      </c>
      <c r="AE287" t="str">
        <f t="shared" si="9"/>
        <v>10+ years</v>
      </c>
      <c r="AF287" s="14">
        <v>12</v>
      </c>
      <c r="AG287" s="14">
        <v>5</v>
      </c>
      <c r="AH287" s="14">
        <v>7</v>
      </c>
    </row>
    <row r="288" spans="1:34" x14ac:dyDescent="0.3">
      <c r="A288" s="14">
        <v>44</v>
      </c>
      <c r="B288" s="17" t="s">
        <v>35</v>
      </c>
      <c r="C288" t="s">
        <v>44</v>
      </c>
      <c r="D288">
        <v>920</v>
      </c>
      <c r="E288" s="17" t="s">
        <v>45</v>
      </c>
      <c r="F288">
        <v>24</v>
      </c>
      <c r="G288">
        <v>3</v>
      </c>
      <c r="H288" t="s">
        <v>38</v>
      </c>
      <c r="I288">
        <v>392</v>
      </c>
      <c r="J288">
        <v>4</v>
      </c>
      <c r="K288" s="17" t="s">
        <v>46</v>
      </c>
      <c r="L288">
        <v>43</v>
      </c>
      <c r="M288">
        <v>3</v>
      </c>
      <c r="N288">
        <v>1</v>
      </c>
      <c r="O288" s="17" t="s">
        <v>50</v>
      </c>
      <c r="P288" s="14">
        <v>3</v>
      </c>
      <c r="Q288" t="s">
        <v>52</v>
      </c>
      <c r="R288" s="14">
        <v>3161</v>
      </c>
      <c r="S288" s="17" t="str">
        <f t="shared" si="8"/>
        <v>medium</v>
      </c>
      <c r="T288">
        <v>19920</v>
      </c>
      <c r="U288">
        <v>3</v>
      </c>
      <c r="V288" s="17" t="s">
        <v>35</v>
      </c>
      <c r="W288">
        <v>22</v>
      </c>
      <c r="X288">
        <v>4</v>
      </c>
      <c r="Y288">
        <v>4</v>
      </c>
      <c r="Z288">
        <v>1</v>
      </c>
      <c r="AA288">
        <v>19</v>
      </c>
      <c r="AB288">
        <v>0</v>
      </c>
      <c r="AC288">
        <v>1</v>
      </c>
      <c r="AD288" s="14">
        <v>1</v>
      </c>
      <c r="AE288" t="str">
        <f t="shared" si="9"/>
        <v>0-2 years</v>
      </c>
      <c r="AF288" s="14">
        <v>0</v>
      </c>
      <c r="AG288" s="14">
        <v>0</v>
      </c>
      <c r="AH288" s="14">
        <v>0</v>
      </c>
    </row>
    <row r="289" spans="1:34" x14ac:dyDescent="0.3">
      <c r="A289" s="14">
        <v>38</v>
      </c>
      <c r="B289" s="17" t="s">
        <v>43</v>
      </c>
      <c r="C289" t="s">
        <v>36</v>
      </c>
      <c r="D289">
        <v>688</v>
      </c>
      <c r="E289" s="17" t="s">
        <v>45</v>
      </c>
      <c r="F289">
        <v>23</v>
      </c>
      <c r="G289">
        <v>4</v>
      </c>
      <c r="H289" t="s">
        <v>38</v>
      </c>
      <c r="I289">
        <v>393</v>
      </c>
      <c r="J289">
        <v>4</v>
      </c>
      <c r="K289" s="17" t="s">
        <v>46</v>
      </c>
      <c r="L289">
        <v>82</v>
      </c>
      <c r="M289">
        <v>3</v>
      </c>
      <c r="N289">
        <v>2</v>
      </c>
      <c r="O289" s="17" t="s">
        <v>54</v>
      </c>
      <c r="P289" s="14">
        <v>4</v>
      </c>
      <c r="Q289" t="s">
        <v>52</v>
      </c>
      <c r="R289" s="14">
        <v>5745</v>
      </c>
      <c r="S289" s="17" t="str">
        <f t="shared" si="8"/>
        <v>medium</v>
      </c>
      <c r="T289">
        <v>18899</v>
      </c>
      <c r="U289">
        <v>9</v>
      </c>
      <c r="V289" s="17" t="s">
        <v>43</v>
      </c>
      <c r="W289">
        <v>14</v>
      </c>
      <c r="X289">
        <v>3</v>
      </c>
      <c r="Y289">
        <v>2</v>
      </c>
      <c r="Z289">
        <v>1</v>
      </c>
      <c r="AA289">
        <v>10</v>
      </c>
      <c r="AB289">
        <v>2</v>
      </c>
      <c r="AC289">
        <v>3</v>
      </c>
      <c r="AD289" s="14">
        <v>2</v>
      </c>
      <c r="AE289" t="str">
        <f t="shared" si="9"/>
        <v>0-2 years</v>
      </c>
      <c r="AF289" s="14">
        <v>2</v>
      </c>
      <c r="AG289" s="14">
        <v>1</v>
      </c>
      <c r="AH289" s="14">
        <v>2</v>
      </c>
    </row>
    <row r="290" spans="1:34" x14ac:dyDescent="0.3">
      <c r="A290" s="14">
        <v>26</v>
      </c>
      <c r="B290" s="17" t="s">
        <v>35</v>
      </c>
      <c r="C290" t="s">
        <v>36</v>
      </c>
      <c r="D290">
        <v>1449</v>
      </c>
      <c r="E290" s="17" t="s">
        <v>45</v>
      </c>
      <c r="F290">
        <v>16</v>
      </c>
      <c r="G290">
        <v>4</v>
      </c>
      <c r="H290" t="s">
        <v>51</v>
      </c>
      <c r="I290">
        <v>394</v>
      </c>
      <c r="J290">
        <v>1</v>
      </c>
      <c r="K290" s="17" t="s">
        <v>46</v>
      </c>
      <c r="L290">
        <v>45</v>
      </c>
      <c r="M290">
        <v>3</v>
      </c>
      <c r="N290">
        <v>1</v>
      </c>
      <c r="O290" s="17" t="s">
        <v>50</v>
      </c>
      <c r="P290" s="14">
        <v>2</v>
      </c>
      <c r="Q290" t="s">
        <v>52</v>
      </c>
      <c r="R290" s="14">
        <v>2373</v>
      </c>
      <c r="S290" s="17" t="str">
        <f t="shared" si="8"/>
        <v>low</v>
      </c>
      <c r="T290">
        <v>14180</v>
      </c>
      <c r="U290">
        <v>2</v>
      </c>
      <c r="V290" s="17" t="s">
        <v>35</v>
      </c>
      <c r="W290">
        <v>13</v>
      </c>
      <c r="X290">
        <v>3</v>
      </c>
      <c r="Y290">
        <v>4</v>
      </c>
      <c r="Z290">
        <v>1</v>
      </c>
      <c r="AA290">
        <v>5</v>
      </c>
      <c r="AB290">
        <v>2</v>
      </c>
      <c r="AC290">
        <v>3</v>
      </c>
      <c r="AD290" s="14">
        <v>3</v>
      </c>
      <c r="AE290" t="str">
        <f t="shared" si="9"/>
        <v>3-5 years</v>
      </c>
      <c r="AF290" s="14">
        <v>2</v>
      </c>
      <c r="AG290" s="14">
        <v>0</v>
      </c>
      <c r="AH290" s="14">
        <v>2</v>
      </c>
    </row>
    <row r="291" spans="1:34" x14ac:dyDescent="0.3">
      <c r="A291" s="14">
        <v>28</v>
      </c>
      <c r="B291" s="17" t="s">
        <v>43</v>
      </c>
      <c r="C291" t="s">
        <v>36</v>
      </c>
      <c r="D291">
        <v>1117</v>
      </c>
      <c r="E291" s="17" t="s">
        <v>45</v>
      </c>
      <c r="F291">
        <v>8</v>
      </c>
      <c r="G291">
        <v>2</v>
      </c>
      <c r="H291" t="s">
        <v>38</v>
      </c>
      <c r="I291">
        <v>395</v>
      </c>
      <c r="J291">
        <v>4</v>
      </c>
      <c r="K291" s="17" t="s">
        <v>39</v>
      </c>
      <c r="L291">
        <v>66</v>
      </c>
      <c r="M291">
        <v>3</v>
      </c>
      <c r="N291">
        <v>1</v>
      </c>
      <c r="O291" s="17" t="s">
        <v>47</v>
      </c>
      <c r="P291" s="14">
        <v>4</v>
      </c>
      <c r="Q291" t="s">
        <v>41</v>
      </c>
      <c r="R291" s="14">
        <v>3310</v>
      </c>
      <c r="S291" s="17" t="str">
        <f t="shared" si="8"/>
        <v>medium</v>
      </c>
      <c r="T291">
        <v>4488</v>
      </c>
      <c r="U291">
        <v>1</v>
      </c>
      <c r="V291" s="17" t="s">
        <v>43</v>
      </c>
      <c r="W291">
        <v>21</v>
      </c>
      <c r="X291">
        <v>4</v>
      </c>
      <c r="Y291">
        <v>4</v>
      </c>
      <c r="Z291">
        <v>0</v>
      </c>
      <c r="AA291">
        <v>5</v>
      </c>
      <c r="AB291">
        <v>3</v>
      </c>
      <c r="AC291">
        <v>3</v>
      </c>
      <c r="AD291" s="14">
        <v>5</v>
      </c>
      <c r="AE291" t="str">
        <f t="shared" si="9"/>
        <v>3-5 years</v>
      </c>
      <c r="AF291" s="14">
        <v>3</v>
      </c>
      <c r="AG291" s="14">
        <v>0</v>
      </c>
      <c r="AH291" s="14">
        <v>2</v>
      </c>
    </row>
    <row r="292" spans="1:34" x14ac:dyDescent="0.3">
      <c r="A292" s="14">
        <v>49</v>
      </c>
      <c r="B292" s="17" t="s">
        <v>43</v>
      </c>
      <c r="C292" t="s">
        <v>44</v>
      </c>
      <c r="D292">
        <v>636</v>
      </c>
      <c r="E292" s="17" t="s">
        <v>45</v>
      </c>
      <c r="F292">
        <v>10</v>
      </c>
      <c r="G292">
        <v>4</v>
      </c>
      <c r="H292" t="s">
        <v>38</v>
      </c>
      <c r="I292">
        <v>396</v>
      </c>
      <c r="J292">
        <v>3</v>
      </c>
      <c r="K292" s="17" t="s">
        <v>39</v>
      </c>
      <c r="L292">
        <v>35</v>
      </c>
      <c r="M292">
        <v>3</v>
      </c>
      <c r="N292">
        <v>5</v>
      </c>
      <c r="O292" s="17" t="s">
        <v>58</v>
      </c>
      <c r="P292" s="14">
        <v>1</v>
      </c>
      <c r="Q292" t="s">
        <v>41</v>
      </c>
      <c r="R292" s="14">
        <v>18665</v>
      </c>
      <c r="S292" s="17" t="str">
        <f t="shared" si="8"/>
        <v>high</v>
      </c>
      <c r="T292">
        <v>25594</v>
      </c>
      <c r="U292">
        <v>9</v>
      </c>
      <c r="V292" s="17" t="s">
        <v>35</v>
      </c>
      <c r="W292">
        <v>11</v>
      </c>
      <c r="X292">
        <v>3</v>
      </c>
      <c r="Y292">
        <v>4</v>
      </c>
      <c r="Z292">
        <v>0</v>
      </c>
      <c r="AA292">
        <v>22</v>
      </c>
      <c r="AB292">
        <v>4</v>
      </c>
      <c r="AC292">
        <v>3</v>
      </c>
      <c r="AD292" s="14">
        <v>3</v>
      </c>
      <c r="AE292" t="str">
        <f t="shared" si="9"/>
        <v>3-5 years</v>
      </c>
      <c r="AF292" s="14">
        <v>2</v>
      </c>
      <c r="AG292" s="14">
        <v>1</v>
      </c>
      <c r="AH292" s="14">
        <v>2</v>
      </c>
    </row>
    <row r="293" spans="1:34" x14ac:dyDescent="0.3">
      <c r="A293" s="14">
        <v>36</v>
      </c>
      <c r="B293" s="17" t="s">
        <v>43</v>
      </c>
      <c r="C293" t="s">
        <v>36</v>
      </c>
      <c r="D293">
        <v>506</v>
      </c>
      <c r="E293" s="17" t="s">
        <v>45</v>
      </c>
      <c r="F293">
        <v>3</v>
      </c>
      <c r="G293">
        <v>3</v>
      </c>
      <c r="H293" t="s">
        <v>60</v>
      </c>
      <c r="I293">
        <v>397</v>
      </c>
      <c r="J293">
        <v>3</v>
      </c>
      <c r="K293" s="17" t="s">
        <v>46</v>
      </c>
      <c r="L293">
        <v>30</v>
      </c>
      <c r="M293">
        <v>3</v>
      </c>
      <c r="N293">
        <v>2</v>
      </c>
      <c r="O293" s="17" t="s">
        <v>47</v>
      </c>
      <c r="P293" s="14">
        <v>2</v>
      </c>
      <c r="Q293" t="s">
        <v>41</v>
      </c>
      <c r="R293" s="14">
        <v>4485</v>
      </c>
      <c r="S293" s="17" t="str">
        <f t="shared" si="8"/>
        <v>medium</v>
      </c>
      <c r="T293">
        <v>26285</v>
      </c>
      <c r="U293">
        <v>4</v>
      </c>
      <c r="V293" s="17" t="s">
        <v>43</v>
      </c>
      <c r="W293">
        <v>12</v>
      </c>
      <c r="X293">
        <v>3</v>
      </c>
      <c r="Y293">
        <v>4</v>
      </c>
      <c r="Z293">
        <v>0</v>
      </c>
      <c r="AA293">
        <v>10</v>
      </c>
      <c r="AB293">
        <v>2</v>
      </c>
      <c r="AC293">
        <v>3</v>
      </c>
      <c r="AD293" s="14">
        <v>8</v>
      </c>
      <c r="AE293" t="str">
        <f t="shared" si="9"/>
        <v>6-10 years</v>
      </c>
      <c r="AF293" s="14">
        <v>0</v>
      </c>
      <c r="AG293" s="14">
        <v>7</v>
      </c>
      <c r="AH293" s="14">
        <v>7</v>
      </c>
    </row>
    <row r="294" spans="1:34" x14ac:dyDescent="0.3">
      <c r="A294" s="14">
        <v>31</v>
      </c>
      <c r="B294" s="17" t="s">
        <v>43</v>
      </c>
      <c r="C294" t="s">
        <v>44</v>
      </c>
      <c r="D294">
        <v>444</v>
      </c>
      <c r="E294" s="17" t="s">
        <v>37</v>
      </c>
      <c r="F294">
        <v>5</v>
      </c>
      <c r="G294">
        <v>3</v>
      </c>
      <c r="H294" t="s">
        <v>59</v>
      </c>
      <c r="I294">
        <v>399</v>
      </c>
      <c r="J294">
        <v>4</v>
      </c>
      <c r="K294" s="17" t="s">
        <v>39</v>
      </c>
      <c r="L294">
        <v>84</v>
      </c>
      <c r="M294">
        <v>3</v>
      </c>
      <c r="N294">
        <v>1</v>
      </c>
      <c r="O294" s="17" t="s">
        <v>57</v>
      </c>
      <c r="P294" s="14">
        <v>2</v>
      </c>
      <c r="Q294" t="s">
        <v>52</v>
      </c>
      <c r="R294" s="14">
        <v>2789</v>
      </c>
      <c r="S294" s="17" t="str">
        <f t="shared" si="8"/>
        <v>low</v>
      </c>
      <c r="T294">
        <v>3909</v>
      </c>
      <c r="U294">
        <v>1</v>
      </c>
      <c r="V294" s="17" t="s">
        <v>43</v>
      </c>
      <c r="W294">
        <v>11</v>
      </c>
      <c r="X294">
        <v>3</v>
      </c>
      <c r="Y294">
        <v>3</v>
      </c>
      <c r="Z294">
        <v>1</v>
      </c>
      <c r="AA294">
        <v>2</v>
      </c>
      <c r="AB294">
        <v>5</v>
      </c>
      <c r="AC294">
        <v>2</v>
      </c>
      <c r="AD294" s="14">
        <v>2</v>
      </c>
      <c r="AE294" t="str">
        <f t="shared" si="9"/>
        <v>0-2 years</v>
      </c>
      <c r="AF294" s="14">
        <v>2</v>
      </c>
      <c r="AG294" s="14">
        <v>2</v>
      </c>
      <c r="AH294" s="14">
        <v>2</v>
      </c>
    </row>
    <row r="295" spans="1:34" x14ac:dyDescent="0.3">
      <c r="A295" s="14">
        <v>26</v>
      </c>
      <c r="B295" s="17" t="s">
        <v>35</v>
      </c>
      <c r="C295" t="s">
        <v>36</v>
      </c>
      <c r="D295">
        <v>950</v>
      </c>
      <c r="E295" s="17" t="s">
        <v>37</v>
      </c>
      <c r="F295">
        <v>4</v>
      </c>
      <c r="G295">
        <v>4</v>
      </c>
      <c r="H295" t="s">
        <v>59</v>
      </c>
      <c r="I295">
        <v>401</v>
      </c>
      <c r="J295">
        <v>4</v>
      </c>
      <c r="K295" s="17" t="s">
        <v>46</v>
      </c>
      <c r="L295">
        <v>48</v>
      </c>
      <c r="M295">
        <v>2</v>
      </c>
      <c r="N295">
        <v>2</v>
      </c>
      <c r="O295" s="17" t="s">
        <v>40</v>
      </c>
      <c r="P295" s="14">
        <v>4</v>
      </c>
      <c r="Q295" t="s">
        <v>41</v>
      </c>
      <c r="R295" s="14">
        <v>5828</v>
      </c>
      <c r="S295" s="17" t="str">
        <f t="shared" si="8"/>
        <v>medium</v>
      </c>
      <c r="T295">
        <v>8450</v>
      </c>
      <c r="U295">
        <v>1</v>
      </c>
      <c r="V295" s="17" t="s">
        <v>35</v>
      </c>
      <c r="W295">
        <v>12</v>
      </c>
      <c r="X295">
        <v>3</v>
      </c>
      <c r="Y295">
        <v>2</v>
      </c>
      <c r="Z295">
        <v>0</v>
      </c>
      <c r="AA295">
        <v>8</v>
      </c>
      <c r="AB295">
        <v>0</v>
      </c>
      <c r="AC295">
        <v>3</v>
      </c>
      <c r="AD295" s="14">
        <v>8</v>
      </c>
      <c r="AE295" t="str">
        <f t="shared" si="9"/>
        <v>6-10 years</v>
      </c>
      <c r="AF295" s="14">
        <v>7</v>
      </c>
      <c r="AG295" s="14">
        <v>7</v>
      </c>
      <c r="AH295" s="14">
        <v>4</v>
      </c>
    </row>
    <row r="296" spans="1:34" x14ac:dyDescent="0.3">
      <c r="A296" s="14">
        <v>37</v>
      </c>
      <c r="B296" s="17" t="s">
        <v>43</v>
      </c>
      <c r="C296" t="s">
        <v>44</v>
      </c>
      <c r="D296">
        <v>889</v>
      </c>
      <c r="E296" s="17" t="s">
        <v>45</v>
      </c>
      <c r="F296">
        <v>9</v>
      </c>
      <c r="G296">
        <v>3</v>
      </c>
      <c r="H296" t="s">
        <v>51</v>
      </c>
      <c r="I296">
        <v>403</v>
      </c>
      <c r="J296">
        <v>2</v>
      </c>
      <c r="K296" s="17" t="s">
        <v>46</v>
      </c>
      <c r="L296">
        <v>53</v>
      </c>
      <c r="M296">
        <v>3</v>
      </c>
      <c r="N296">
        <v>1</v>
      </c>
      <c r="O296" s="17" t="s">
        <v>47</v>
      </c>
      <c r="P296" s="14">
        <v>4</v>
      </c>
      <c r="Q296" t="s">
        <v>48</v>
      </c>
      <c r="R296" s="14">
        <v>2326</v>
      </c>
      <c r="S296" s="17" t="str">
        <f t="shared" si="8"/>
        <v>low</v>
      </c>
      <c r="T296">
        <v>11411</v>
      </c>
      <c r="U296">
        <v>1</v>
      </c>
      <c r="V296" s="17" t="s">
        <v>35</v>
      </c>
      <c r="W296">
        <v>12</v>
      </c>
      <c r="X296">
        <v>3</v>
      </c>
      <c r="Y296">
        <v>3</v>
      </c>
      <c r="Z296">
        <v>3</v>
      </c>
      <c r="AA296">
        <v>4</v>
      </c>
      <c r="AB296">
        <v>3</v>
      </c>
      <c r="AC296">
        <v>2</v>
      </c>
      <c r="AD296" s="14">
        <v>4</v>
      </c>
      <c r="AE296" t="str">
        <f t="shared" si="9"/>
        <v>3-5 years</v>
      </c>
      <c r="AF296" s="14">
        <v>2</v>
      </c>
      <c r="AG296" s="14">
        <v>1</v>
      </c>
      <c r="AH296" s="14">
        <v>2</v>
      </c>
    </row>
    <row r="297" spans="1:34" x14ac:dyDescent="0.3">
      <c r="A297" s="14">
        <v>42</v>
      </c>
      <c r="B297" s="17" t="s">
        <v>43</v>
      </c>
      <c r="C297" t="s">
        <v>44</v>
      </c>
      <c r="D297">
        <v>555</v>
      </c>
      <c r="E297" s="17" t="s">
        <v>37</v>
      </c>
      <c r="F297">
        <v>26</v>
      </c>
      <c r="G297">
        <v>3</v>
      </c>
      <c r="H297" t="s">
        <v>59</v>
      </c>
      <c r="I297">
        <v>404</v>
      </c>
      <c r="J297">
        <v>3</v>
      </c>
      <c r="K297" s="17" t="s">
        <v>39</v>
      </c>
      <c r="L297">
        <v>77</v>
      </c>
      <c r="M297">
        <v>3</v>
      </c>
      <c r="N297">
        <v>4</v>
      </c>
      <c r="O297" s="17" t="s">
        <v>40</v>
      </c>
      <c r="P297" s="14">
        <v>2</v>
      </c>
      <c r="Q297" t="s">
        <v>48</v>
      </c>
      <c r="R297" s="14">
        <v>13525</v>
      </c>
      <c r="S297" s="17" t="str">
        <f t="shared" si="8"/>
        <v>high</v>
      </c>
      <c r="T297">
        <v>14864</v>
      </c>
      <c r="U297">
        <v>5</v>
      </c>
      <c r="V297" s="17" t="s">
        <v>43</v>
      </c>
      <c r="W297">
        <v>14</v>
      </c>
      <c r="X297">
        <v>3</v>
      </c>
      <c r="Y297">
        <v>4</v>
      </c>
      <c r="Z297">
        <v>1</v>
      </c>
      <c r="AA297">
        <v>23</v>
      </c>
      <c r="AB297">
        <v>2</v>
      </c>
      <c r="AC297">
        <v>4</v>
      </c>
      <c r="AD297" s="14">
        <v>20</v>
      </c>
      <c r="AE297" t="str">
        <f t="shared" si="9"/>
        <v>10+ years</v>
      </c>
      <c r="AF297" s="14">
        <v>4</v>
      </c>
      <c r="AG297" s="14">
        <v>4</v>
      </c>
      <c r="AH297" s="14">
        <v>8</v>
      </c>
    </row>
    <row r="298" spans="1:34" x14ac:dyDescent="0.3">
      <c r="A298" s="14">
        <v>18</v>
      </c>
      <c r="B298" s="17" t="s">
        <v>35</v>
      </c>
      <c r="C298" t="s">
        <v>36</v>
      </c>
      <c r="D298">
        <v>230</v>
      </c>
      <c r="E298" s="17" t="s">
        <v>45</v>
      </c>
      <c r="F298">
        <v>3</v>
      </c>
      <c r="G298">
        <v>3</v>
      </c>
      <c r="H298" t="s">
        <v>38</v>
      </c>
      <c r="I298">
        <v>405</v>
      </c>
      <c r="J298">
        <v>3</v>
      </c>
      <c r="K298" s="17" t="s">
        <v>46</v>
      </c>
      <c r="L298">
        <v>54</v>
      </c>
      <c r="M298">
        <v>3</v>
      </c>
      <c r="N298">
        <v>1</v>
      </c>
      <c r="O298" s="17" t="s">
        <v>50</v>
      </c>
      <c r="P298" s="14">
        <v>3</v>
      </c>
      <c r="Q298" t="s">
        <v>41</v>
      </c>
      <c r="R298" s="14">
        <v>1420</v>
      </c>
      <c r="S298" s="17" t="str">
        <f t="shared" si="8"/>
        <v>low</v>
      </c>
      <c r="T298">
        <v>25233</v>
      </c>
      <c r="U298">
        <v>1</v>
      </c>
      <c r="V298" s="17" t="s">
        <v>43</v>
      </c>
      <c r="W298">
        <v>13</v>
      </c>
      <c r="X298">
        <v>3</v>
      </c>
      <c r="Y298">
        <v>3</v>
      </c>
      <c r="Z298">
        <v>0</v>
      </c>
      <c r="AA298">
        <v>0</v>
      </c>
      <c r="AB298">
        <v>2</v>
      </c>
      <c r="AC298">
        <v>3</v>
      </c>
      <c r="AD298" s="14">
        <v>0</v>
      </c>
      <c r="AE298" t="str">
        <f t="shared" si="9"/>
        <v>0-2 years</v>
      </c>
      <c r="AF298" s="14">
        <v>0</v>
      </c>
      <c r="AG298" s="14">
        <v>0</v>
      </c>
      <c r="AH298" s="14">
        <v>0</v>
      </c>
    </row>
    <row r="299" spans="1:34" x14ac:dyDescent="0.3">
      <c r="A299" s="14">
        <v>35</v>
      </c>
      <c r="B299" s="17" t="s">
        <v>43</v>
      </c>
      <c r="C299" t="s">
        <v>36</v>
      </c>
      <c r="D299">
        <v>1232</v>
      </c>
      <c r="E299" s="17" t="s">
        <v>37</v>
      </c>
      <c r="F299">
        <v>16</v>
      </c>
      <c r="G299">
        <v>3</v>
      </c>
      <c r="H299" t="s">
        <v>59</v>
      </c>
      <c r="I299">
        <v>406</v>
      </c>
      <c r="J299">
        <v>3</v>
      </c>
      <c r="K299" s="17" t="s">
        <v>46</v>
      </c>
      <c r="L299">
        <v>96</v>
      </c>
      <c r="M299">
        <v>3</v>
      </c>
      <c r="N299">
        <v>3</v>
      </c>
      <c r="O299" s="17" t="s">
        <v>40</v>
      </c>
      <c r="P299" s="14">
        <v>2</v>
      </c>
      <c r="Q299" t="s">
        <v>48</v>
      </c>
      <c r="R299" s="14">
        <v>8020</v>
      </c>
      <c r="S299" s="17" t="str">
        <f t="shared" si="8"/>
        <v>high</v>
      </c>
      <c r="T299">
        <v>5100</v>
      </c>
      <c r="U299">
        <v>0</v>
      </c>
      <c r="V299" s="17" t="s">
        <v>43</v>
      </c>
      <c r="W299">
        <v>15</v>
      </c>
      <c r="X299">
        <v>3</v>
      </c>
      <c r="Y299">
        <v>3</v>
      </c>
      <c r="Z299">
        <v>2</v>
      </c>
      <c r="AA299">
        <v>12</v>
      </c>
      <c r="AB299">
        <v>3</v>
      </c>
      <c r="AC299">
        <v>2</v>
      </c>
      <c r="AD299" s="14">
        <v>11</v>
      </c>
      <c r="AE299" t="str">
        <f t="shared" si="9"/>
        <v>10+ years</v>
      </c>
      <c r="AF299" s="14">
        <v>9</v>
      </c>
      <c r="AG299" s="14">
        <v>6</v>
      </c>
      <c r="AH299" s="14">
        <v>9</v>
      </c>
    </row>
    <row r="300" spans="1:34" x14ac:dyDescent="0.3">
      <c r="A300" s="14">
        <v>36</v>
      </c>
      <c r="B300" s="17" t="s">
        <v>43</v>
      </c>
      <c r="C300" t="s">
        <v>44</v>
      </c>
      <c r="D300">
        <v>566</v>
      </c>
      <c r="E300" s="17" t="s">
        <v>45</v>
      </c>
      <c r="F300">
        <v>18</v>
      </c>
      <c r="G300">
        <v>4</v>
      </c>
      <c r="H300" t="s">
        <v>38</v>
      </c>
      <c r="I300">
        <v>407</v>
      </c>
      <c r="J300">
        <v>3</v>
      </c>
      <c r="K300" s="17" t="s">
        <v>46</v>
      </c>
      <c r="L300">
        <v>81</v>
      </c>
      <c r="M300">
        <v>4</v>
      </c>
      <c r="N300">
        <v>1</v>
      </c>
      <c r="O300" s="17" t="s">
        <v>50</v>
      </c>
      <c r="P300" s="14">
        <v>4</v>
      </c>
      <c r="Q300" t="s">
        <v>48</v>
      </c>
      <c r="R300" s="14">
        <v>3688</v>
      </c>
      <c r="S300" s="17" t="str">
        <f t="shared" si="8"/>
        <v>medium</v>
      </c>
      <c r="T300">
        <v>7122</v>
      </c>
      <c r="U300">
        <v>4</v>
      </c>
      <c r="V300" s="17" t="s">
        <v>43</v>
      </c>
      <c r="W300">
        <v>18</v>
      </c>
      <c r="X300">
        <v>3</v>
      </c>
      <c r="Y300">
        <v>4</v>
      </c>
      <c r="Z300">
        <v>2</v>
      </c>
      <c r="AA300">
        <v>4</v>
      </c>
      <c r="AB300">
        <v>2</v>
      </c>
      <c r="AC300">
        <v>3</v>
      </c>
      <c r="AD300" s="14">
        <v>1</v>
      </c>
      <c r="AE300" t="str">
        <f t="shared" si="9"/>
        <v>0-2 years</v>
      </c>
      <c r="AF300" s="14">
        <v>0</v>
      </c>
      <c r="AG300" s="14">
        <v>0</v>
      </c>
      <c r="AH300" s="14">
        <v>0</v>
      </c>
    </row>
    <row r="301" spans="1:34" x14ac:dyDescent="0.3">
      <c r="A301" s="14">
        <v>51</v>
      </c>
      <c r="B301" s="17" t="s">
        <v>43</v>
      </c>
      <c r="C301" t="s">
        <v>36</v>
      </c>
      <c r="D301">
        <v>1302</v>
      </c>
      <c r="E301" s="17" t="s">
        <v>45</v>
      </c>
      <c r="F301">
        <v>2</v>
      </c>
      <c r="G301">
        <v>3</v>
      </c>
      <c r="H301" t="s">
        <v>51</v>
      </c>
      <c r="I301">
        <v>408</v>
      </c>
      <c r="J301">
        <v>4</v>
      </c>
      <c r="K301" s="17" t="s">
        <v>46</v>
      </c>
      <c r="L301">
        <v>84</v>
      </c>
      <c r="M301">
        <v>1</v>
      </c>
      <c r="N301">
        <v>2</v>
      </c>
      <c r="O301" s="17" t="s">
        <v>53</v>
      </c>
      <c r="P301" s="14">
        <v>2</v>
      </c>
      <c r="Q301" t="s">
        <v>52</v>
      </c>
      <c r="R301" s="14">
        <v>5482</v>
      </c>
      <c r="S301" s="17" t="str">
        <f t="shared" si="8"/>
        <v>medium</v>
      </c>
      <c r="T301">
        <v>16321</v>
      </c>
      <c r="U301">
        <v>5</v>
      </c>
      <c r="V301" s="17" t="s">
        <v>43</v>
      </c>
      <c r="W301">
        <v>18</v>
      </c>
      <c r="X301">
        <v>3</v>
      </c>
      <c r="Y301">
        <v>4</v>
      </c>
      <c r="Z301">
        <v>1</v>
      </c>
      <c r="AA301">
        <v>13</v>
      </c>
      <c r="AB301">
        <v>3</v>
      </c>
      <c r="AC301">
        <v>3</v>
      </c>
      <c r="AD301" s="14">
        <v>4</v>
      </c>
      <c r="AE301" t="str">
        <f t="shared" si="9"/>
        <v>3-5 years</v>
      </c>
      <c r="AF301" s="14">
        <v>1</v>
      </c>
      <c r="AG301" s="14">
        <v>1</v>
      </c>
      <c r="AH301" s="14">
        <v>2</v>
      </c>
    </row>
    <row r="302" spans="1:34" x14ac:dyDescent="0.3">
      <c r="A302" s="14">
        <v>41</v>
      </c>
      <c r="B302" s="17" t="s">
        <v>43</v>
      </c>
      <c r="C302" t="s">
        <v>36</v>
      </c>
      <c r="D302">
        <v>334</v>
      </c>
      <c r="E302" s="17" t="s">
        <v>37</v>
      </c>
      <c r="F302">
        <v>2</v>
      </c>
      <c r="G302">
        <v>4</v>
      </c>
      <c r="H302" t="s">
        <v>38</v>
      </c>
      <c r="I302">
        <v>410</v>
      </c>
      <c r="J302">
        <v>4</v>
      </c>
      <c r="K302" s="17" t="s">
        <v>46</v>
      </c>
      <c r="L302">
        <v>88</v>
      </c>
      <c r="M302">
        <v>3</v>
      </c>
      <c r="N302">
        <v>4</v>
      </c>
      <c r="O302" s="17" t="s">
        <v>56</v>
      </c>
      <c r="P302" s="14">
        <v>2</v>
      </c>
      <c r="Q302" t="s">
        <v>41</v>
      </c>
      <c r="R302" s="14">
        <v>16015</v>
      </c>
      <c r="S302" s="17" t="str">
        <f t="shared" si="8"/>
        <v>high</v>
      </c>
      <c r="T302">
        <v>15896</v>
      </c>
      <c r="U302">
        <v>1</v>
      </c>
      <c r="V302" s="17" t="s">
        <v>43</v>
      </c>
      <c r="W302">
        <v>19</v>
      </c>
      <c r="X302">
        <v>3</v>
      </c>
      <c r="Y302">
        <v>2</v>
      </c>
      <c r="Z302">
        <v>0</v>
      </c>
      <c r="AA302">
        <v>22</v>
      </c>
      <c r="AB302">
        <v>2</v>
      </c>
      <c r="AC302">
        <v>3</v>
      </c>
      <c r="AD302" s="14">
        <v>22</v>
      </c>
      <c r="AE302" t="str">
        <f t="shared" si="9"/>
        <v>10+ years</v>
      </c>
      <c r="AF302" s="14">
        <v>10</v>
      </c>
      <c r="AG302" s="14">
        <v>0</v>
      </c>
      <c r="AH302" s="14">
        <v>4</v>
      </c>
    </row>
    <row r="303" spans="1:34" x14ac:dyDescent="0.3">
      <c r="A303" s="14">
        <v>18</v>
      </c>
      <c r="B303" s="17" t="s">
        <v>43</v>
      </c>
      <c r="C303" t="s">
        <v>36</v>
      </c>
      <c r="D303">
        <v>812</v>
      </c>
      <c r="E303" s="17" t="s">
        <v>37</v>
      </c>
      <c r="F303">
        <v>10</v>
      </c>
      <c r="G303">
        <v>3</v>
      </c>
      <c r="H303" t="s">
        <v>51</v>
      </c>
      <c r="I303">
        <v>411</v>
      </c>
      <c r="J303">
        <v>4</v>
      </c>
      <c r="K303" s="17" t="s">
        <v>39</v>
      </c>
      <c r="L303">
        <v>69</v>
      </c>
      <c r="M303">
        <v>2</v>
      </c>
      <c r="N303">
        <v>1</v>
      </c>
      <c r="O303" s="17" t="s">
        <v>57</v>
      </c>
      <c r="P303" s="14">
        <v>3</v>
      </c>
      <c r="Q303" t="s">
        <v>41</v>
      </c>
      <c r="R303" s="14">
        <v>1200</v>
      </c>
      <c r="S303" s="17" t="str">
        <f t="shared" si="8"/>
        <v>low</v>
      </c>
      <c r="T303">
        <v>9724</v>
      </c>
      <c r="U303">
        <v>1</v>
      </c>
      <c r="V303" s="17" t="s">
        <v>43</v>
      </c>
      <c r="W303">
        <v>12</v>
      </c>
      <c r="X303">
        <v>3</v>
      </c>
      <c r="Y303">
        <v>1</v>
      </c>
      <c r="Z303">
        <v>0</v>
      </c>
      <c r="AA303">
        <v>0</v>
      </c>
      <c r="AB303">
        <v>2</v>
      </c>
      <c r="AC303">
        <v>3</v>
      </c>
      <c r="AD303" s="14">
        <v>0</v>
      </c>
      <c r="AE303" t="str">
        <f t="shared" si="9"/>
        <v>0-2 years</v>
      </c>
      <c r="AF303" s="14">
        <v>0</v>
      </c>
      <c r="AG303" s="14">
        <v>0</v>
      </c>
      <c r="AH303" s="14">
        <v>0</v>
      </c>
    </row>
    <row r="304" spans="1:34" x14ac:dyDescent="0.3">
      <c r="A304" s="14">
        <v>28</v>
      </c>
      <c r="B304" s="17" t="s">
        <v>43</v>
      </c>
      <c r="C304" t="s">
        <v>36</v>
      </c>
      <c r="D304">
        <v>1476</v>
      </c>
      <c r="E304" s="17" t="s">
        <v>45</v>
      </c>
      <c r="F304">
        <v>16</v>
      </c>
      <c r="G304">
        <v>2</v>
      </c>
      <c r="H304" t="s">
        <v>51</v>
      </c>
      <c r="I304">
        <v>412</v>
      </c>
      <c r="J304">
        <v>2</v>
      </c>
      <c r="K304" s="17" t="s">
        <v>46</v>
      </c>
      <c r="L304">
        <v>68</v>
      </c>
      <c r="M304">
        <v>4</v>
      </c>
      <c r="N304">
        <v>2</v>
      </c>
      <c r="O304" s="17" t="s">
        <v>54</v>
      </c>
      <c r="P304" s="14">
        <v>1</v>
      </c>
      <c r="Q304" t="s">
        <v>41</v>
      </c>
      <c r="R304" s="14">
        <v>5661</v>
      </c>
      <c r="S304" s="17" t="str">
        <f t="shared" si="8"/>
        <v>medium</v>
      </c>
      <c r="T304">
        <v>4824</v>
      </c>
      <c r="U304">
        <v>0</v>
      </c>
      <c r="V304" s="17" t="s">
        <v>43</v>
      </c>
      <c r="W304">
        <v>19</v>
      </c>
      <c r="X304">
        <v>3</v>
      </c>
      <c r="Y304">
        <v>3</v>
      </c>
      <c r="Z304">
        <v>0</v>
      </c>
      <c r="AA304">
        <v>9</v>
      </c>
      <c r="AB304">
        <v>2</v>
      </c>
      <c r="AC304">
        <v>3</v>
      </c>
      <c r="AD304" s="14">
        <v>8</v>
      </c>
      <c r="AE304" t="str">
        <f t="shared" si="9"/>
        <v>6-10 years</v>
      </c>
      <c r="AF304" s="14">
        <v>3</v>
      </c>
      <c r="AG304" s="14">
        <v>0</v>
      </c>
      <c r="AH304" s="14">
        <v>7</v>
      </c>
    </row>
    <row r="305" spans="1:34" x14ac:dyDescent="0.3">
      <c r="A305" s="14">
        <v>31</v>
      </c>
      <c r="B305" s="17" t="s">
        <v>43</v>
      </c>
      <c r="C305" t="s">
        <v>36</v>
      </c>
      <c r="D305">
        <v>218</v>
      </c>
      <c r="E305" s="17" t="s">
        <v>37</v>
      </c>
      <c r="F305">
        <v>7</v>
      </c>
      <c r="G305">
        <v>3</v>
      </c>
      <c r="H305" t="s">
        <v>60</v>
      </c>
      <c r="I305">
        <v>416</v>
      </c>
      <c r="J305">
        <v>2</v>
      </c>
      <c r="K305" s="17" t="s">
        <v>46</v>
      </c>
      <c r="L305">
        <v>100</v>
      </c>
      <c r="M305">
        <v>4</v>
      </c>
      <c r="N305">
        <v>2</v>
      </c>
      <c r="O305" s="17" t="s">
        <v>40</v>
      </c>
      <c r="P305" s="14">
        <v>4</v>
      </c>
      <c r="Q305" t="s">
        <v>48</v>
      </c>
      <c r="R305" s="14">
        <v>6929</v>
      </c>
      <c r="S305" s="17" t="str">
        <f t="shared" si="8"/>
        <v>medium</v>
      </c>
      <c r="T305">
        <v>12241</v>
      </c>
      <c r="U305">
        <v>4</v>
      </c>
      <c r="V305" s="17" t="s">
        <v>43</v>
      </c>
      <c r="W305">
        <v>11</v>
      </c>
      <c r="X305">
        <v>3</v>
      </c>
      <c r="Y305">
        <v>2</v>
      </c>
      <c r="Z305">
        <v>1</v>
      </c>
      <c r="AA305">
        <v>10</v>
      </c>
      <c r="AB305">
        <v>3</v>
      </c>
      <c r="AC305">
        <v>2</v>
      </c>
      <c r="AD305" s="14">
        <v>8</v>
      </c>
      <c r="AE305" t="str">
        <f t="shared" si="9"/>
        <v>6-10 years</v>
      </c>
      <c r="AF305" s="14">
        <v>7</v>
      </c>
      <c r="AG305" s="14">
        <v>7</v>
      </c>
      <c r="AH305" s="14">
        <v>7</v>
      </c>
    </row>
    <row r="306" spans="1:34" x14ac:dyDescent="0.3">
      <c r="A306" s="14">
        <v>39</v>
      </c>
      <c r="B306" s="17" t="s">
        <v>43</v>
      </c>
      <c r="C306" t="s">
        <v>36</v>
      </c>
      <c r="D306">
        <v>1132</v>
      </c>
      <c r="E306" s="17" t="s">
        <v>45</v>
      </c>
      <c r="F306">
        <v>1</v>
      </c>
      <c r="G306">
        <v>3</v>
      </c>
      <c r="H306" t="s">
        <v>51</v>
      </c>
      <c r="I306">
        <v>417</v>
      </c>
      <c r="J306">
        <v>3</v>
      </c>
      <c r="K306" s="17" t="s">
        <v>46</v>
      </c>
      <c r="L306">
        <v>48</v>
      </c>
      <c r="M306">
        <v>4</v>
      </c>
      <c r="N306">
        <v>3</v>
      </c>
      <c r="O306" s="17" t="s">
        <v>54</v>
      </c>
      <c r="P306" s="14">
        <v>4</v>
      </c>
      <c r="Q306" t="s">
        <v>52</v>
      </c>
      <c r="R306" s="14">
        <v>9613</v>
      </c>
      <c r="S306" s="17" t="str">
        <f t="shared" si="8"/>
        <v>high</v>
      </c>
      <c r="T306">
        <v>10942</v>
      </c>
      <c r="U306">
        <v>0</v>
      </c>
      <c r="V306" s="17" t="s">
        <v>43</v>
      </c>
      <c r="W306">
        <v>17</v>
      </c>
      <c r="X306">
        <v>3</v>
      </c>
      <c r="Y306">
        <v>1</v>
      </c>
      <c r="Z306">
        <v>3</v>
      </c>
      <c r="AA306">
        <v>19</v>
      </c>
      <c r="AB306">
        <v>5</v>
      </c>
      <c r="AC306">
        <v>2</v>
      </c>
      <c r="AD306" s="14">
        <v>18</v>
      </c>
      <c r="AE306" t="str">
        <f t="shared" si="9"/>
        <v>10+ years</v>
      </c>
      <c r="AF306" s="14">
        <v>10</v>
      </c>
      <c r="AG306" s="14">
        <v>3</v>
      </c>
      <c r="AH306" s="14">
        <v>7</v>
      </c>
    </row>
    <row r="307" spans="1:34" x14ac:dyDescent="0.3">
      <c r="A307" s="14">
        <v>36</v>
      </c>
      <c r="B307" s="17" t="s">
        <v>43</v>
      </c>
      <c r="C307" t="s">
        <v>55</v>
      </c>
      <c r="D307">
        <v>1105</v>
      </c>
      <c r="E307" s="17" t="s">
        <v>45</v>
      </c>
      <c r="F307">
        <v>24</v>
      </c>
      <c r="G307">
        <v>4</v>
      </c>
      <c r="H307" t="s">
        <v>38</v>
      </c>
      <c r="I307">
        <v>419</v>
      </c>
      <c r="J307">
        <v>2</v>
      </c>
      <c r="K307" s="17" t="s">
        <v>39</v>
      </c>
      <c r="L307">
        <v>47</v>
      </c>
      <c r="M307">
        <v>3</v>
      </c>
      <c r="N307">
        <v>2</v>
      </c>
      <c r="O307" s="17" t="s">
        <v>50</v>
      </c>
      <c r="P307" s="14">
        <v>2</v>
      </c>
      <c r="Q307" t="s">
        <v>48</v>
      </c>
      <c r="R307" s="14">
        <v>5674</v>
      </c>
      <c r="S307" s="17" t="str">
        <f t="shared" si="8"/>
        <v>medium</v>
      </c>
      <c r="T307">
        <v>6927</v>
      </c>
      <c r="U307">
        <v>7</v>
      </c>
      <c r="V307" s="17" t="s">
        <v>43</v>
      </c>
      <c r="W307">
        <v>15</v>
      </c>
      <c r="X307">
        <v>3</v>
      </c>
      <c r="Y307">
        <v>3</v>
      </c>
      <c r="Z307">
        <v>1</v>
      </c>
      <c r="AA307">
        <v>11</v>
      </c>
      <c r="AB307">
        <v>3</v>
      </c>
      <c r="AC307">
        <v>3</v>
      </c>
      <c r="AD307" s="14">
        <v>9</v>
      </c>
      <c r="AE307" t="str">
        <f t="shared" si="9"/>
        <v>6-10 years</v>
      </c>
      <c r="AF307" s="14">
        <v>8</v>
      </c>
      <c r="AG307" s="14">
        <v>0</v>
      </c>
      <c r="AH307" s="14">
        <v>8</v>
      </c>
    </row>
    <row r="308" spans="1:34" x14ac:dyDescent="0.3">
      <c r="A308" s="14">
        <v>32</v>
      </c>
      <c r="B308" s="17" t="s">
        <v>43</v>
      </c>
      <c r="C308" t="s">
        <v>36</v>
      </c>
      <c r="D308">
        <v>906</v>
      </c>
      <c r="E308" s="17" t="s">
        <v>37</v>
      </c>
      <c r="F308">
        <v>7</v>
      </c>
      <c r="G308">
        <v>3</v>
      </c>
      <c r="H308" t="s">
        <v>38</v>
      </c>
      <c r="I308">
        <v>420</v>
      </c>
      <c r="J308">
        <v>4</v>
      </c>
      <c r="K308" s="17" t="s">
        <v>46</v>
      </c>
      <c r="L308">
        <v>91</v>
      </c>
      <c r="M308">
        <v>2</v>
      </c>
      <c r="N308">
        <v>2</v>
      </c>
      <c r="O308" s="17" t="s">
        <v>40</v>
      </c>
      <c r="P308" s="14">
        <v>3</v>
      </c>
      <c r="Q308" t="s">
        <v>48</v>
      </c>
      <c r="R308" s="14">
        <v>5484</v>
      </c>
      <c r="S308" s="17" t="str">
        <f t="shared" si="8"/>
        <v>medium</v>
      </c>
      <c r="T308">
        <v>16985</v>
      </c>
      <c r="U308">
        <v>1</v>
      </c>
      <c r="V308" s="17" t="s">
        <v>43</v>
      </c>
      <c r="W308">
        <v>14</v>
      </c>
      <c r="X308">
        <v>3</v>
      </c>
      <c r="Y308">
        <v>3</v>
      </c>
      <c r="Z308">
        <v>1</v>
      </c>
      <c r="AA308">
        <v>13</v>
      </c>
      <c r="AB308">
        <v>3</v>
      </c>
      <c r="AC308">
        <v>2</v>
      </c>
      <c r="AD308" s="14">
        <v>13</v>
      </c>
      <c r="AE308" t="str">
        <f t="shared" si="9"/>
        <v>10+ years</v>
      </c>
      <c r="AF308" s="14">
        <v>8</v>
      </c>
      <c r="AG308" s="14">
        <v>4</v>
      </c>
      <c r="AH308" s="14">
        <v>8</v>
      </c>
    </row>
    <row r="309" spans="1:34" x14ac:dyDescent="0.3">
      <c r="A309" s="14">
        <v>38</v>
      </c>
      <c r="B309" s="17" t="s">
        <v>43</v>
      </c>
      <c r="C309" t="s">
        <v>36</v>
      </c>
      <c r="D309">
        <v>849</v>
      </c>
      <c r="E309" s="17" t="s">
        <v>45</v>
      </c>
      <c r="F309">
        <v>25</v>
      </c>
      <c r="G309">
        <v>2</v>
      </c>
      <c r="H309" t="s">
        <v>38</v>
      </c>
      <c r="I309">
        <v>421</v>
      </c>
      <c r="J309">
        <v>1</v>
      </c>
      <c r="K309" s="17" t="s">
        <v>39</v>
      </c>
      <c r="L309">
        <v>81</v>
      </c>
      <c r="M309">
        <v>2</v>
      </c>
      <c r="N309">
        <v>3</v>
      </c>
      <c r="O309" s="17" t="s">
        <v>58</v>
      </c>
      <c r="P309" s="14">
        <v>2</v>
      </c>
      <c r="Q309" t="s">
        <v>48</v>
      </c>
      <c r="R309" s="14">
        <v>12061</v>
      </c>
      <c r="S309" s="17" t="str">
        <f t="shared" si="8"/>
        <v>high</v>
      </c>
      <c r="T309">
        <v>26707</v>
      </c>
      <c r="U309">
        <v>3</v>
      </c>
      <c r="V309" s="17" t="s">
        <v>43</v>
      </c>
      <c r="W309">
        <v>17</v>
      </c>
      <c r="X309">
        <v>3</v>
      </c>
      <c r="Y309">
        <v>3</v>
      </c>
      <c r="Z309">
        <v>1</v>
      </c>
      <c r="AA309">
        <v>19</v>
      </c>
      <c r="AB309">
        <v>2</v>
      </c>
      <c r="AC309">
        <v>3</v>
      </c>
      <c r="AD309" s="14">
        <v>10</v>
      </c>
      <c r="AE309" t="str">
        <f t="shared" si="9"/>
        <v>6-10 years</v>
      </c>
      <c r="AF309" s="14">
        <v>8</v>
      </c>
      <c r="AG309" s="14">
        <v>0</v>
      </c>
      <c r="AH309" s="14">
        <v>1</v>
      </c>
    </row>
    <row r="310" spans="1:34" x14ac:dyDescent="0.3">
      <c r="A310" s="14">
        <v>58</v>
      </c>
      <c r="B310" s="17" t="s">
        <v>43</v>
      </c>
      <c r="C310" t="s">
        <v>55</v>
      </c>
      <c r="D310">
        <v>390</v>
      </c>
      <c r="E310" s="17" t="s">
        <v>45</v>
      </c>
      <c r="F310">
        <v>1</v>
      </c>
      <c r="G310">
        <v>4</v>
      </c>
      <c r="H310" t="s">
        <v>38</v>
      </c>
      <c r="I310">
        <v>422</v>
      </c>
      <c r="J310">
        <v>4</v>
      </c>
      <c r="K310" s="17" t="s">
        <v>46</v>
      </c>
      <c r="L310">
        <v>32</v>
      </c>
      <c r="M310">
        <v>1</v>
      </c>
      <c r="N310">
        <v>2</v>
      </c>
      <c r="O310" s="17" t="s">
        <v>54</v>
      </c>
      <c r="P310" s="14">
        <v>3</v>
      </c>
      <c r="Q310" t="s">
        <v>52</v>
      </c>
      <c r="R310" s="14">
        <v>5660</v>
      </c>
      <c r="S310" s="17" t="str">
        <f t="shared" si="8"/>
        <v>medium</v>
      </c>
      <c r="T310">
        <v>17056</v>
      </c>
      <c r="U310">
        <v>2</v>
      </c>
      <c r="V310" s="17" t="s">
        <v>35</v>
      </c>
      <c r="W310">
        <v>13</v>
      </c>
      <c r="X310">
        <v>3</v>
      </c>
      <c r="Y310">
        <v>4</v>
      </c>
      <c r="Z310">
        <v>1</v>
      </c>
      <c r="AA310">
        <v>12</v>
      </c>
      <c r="AB310">
        <v>2</v>
      </c>
      <c r="AC310">
        <v>3</v>
      </c>
      <c r="AD310" s="14">
        <v>5</v>
      </c>
      <c r="AE310" t="str">
        <f t="shared" si="9"/>
        <v>3-5 years</v>
      </c>
      <c r="AF310" s="14">
        <v>3</v>
      </c>
      <c r="AG310" s="14">
        <v>1</v>
      </c>
      <c r="AH310" s="14">
        <v>2</v>
      </c>
    </row>
    <row r="311" spans="1:34" x14ac:dyDescent="0.3">
      <c r="A311" s="14">
        <v>31</v>
      </c>
      <c r="B311" s="17" t="s">
        <v>43</v>
      </c>
      <c r="C311" t="s">
        <v>36</v>
      </c>
      <c r="D311">
        <v>691</v>
      </c>
      <c r="E311" s="17" t="s">
        <v>45</v>
      </c>
      <c r="F311">
        <v>5</v>
      </c>
      <c r="G311">
        <v>4</v>
      </c>
      <c r="H311" t="s">
        <v>60</v>
      </c>
      <c r="I311">
        <v>423</v>
      </c>
      <c r="J311">
        <v>3</v>
      </c>
      <c r="K311" s="17" t="s">
        <v>46</v>
      </c>
      <c r="L311">
        <v>86</v>
      </c>
      <c r="M311">
        <v>3</v>
      </c>
      <c r="N311">
        <v>1</v>
      </c>
      <c r="O311" s="17" t="s">
        <v>47</v>
      </c>
      <c r="P311" s="14">
        <v>4</v>
      </c>
      <c r="Q311" t="s">
        <v>48</v>
      </c>
      <c r="R311" s="14">
        <v>4821</v>
      </c>
      <c r="S311" s="17" t="str">
        <f t="shared" si="8"/>
        <v>medium</v>
      </c>
      <c r="T311">
        <v>10077</v>
      </c>
      <c r="U311">
        <v>0</v>
      </c>
      <c r="V311" s="17" t="s">
        <v>35</v>
      </c>
      <c r="W311">
        <v>12</v>
      </c>
      <c r="X311">
        <v>3</v>
      </c>
      <c r="Y311">
        <v>3</v>
      </c>
      <c r="Z311">
        <v>1</v>
      </c>
      <c r="AA311">
        <v>6</v>
      </c>
      <c r="AB311">
        <v>4</v>
      </c>
      <c r="AC311">
        <v>3</v>
      </c>
      <c r="AD311" s="14">
        <v>5</v>
      </c>
      <c r="AE311" t="str">
        <f t="shared" si="9"/>
        <v>3-5 years</v>
      </c>
      <c r="AF311" s="14">
        <v>2</v>
      </c>
      <c r="AG311" s="14">
        <v>0</v>
      </c>
      <c r="AH311" s="14">
        <v>3</v>
      </c>
    </row>
    <row r="312" spans="1:34" x14ac:dyDescent="0.3">
      <c r="A312" s="14">
        <v>31</v>
      </c>
      <c r="B312" s="17" t="s">
        <v>43</v>
      </c>
      <c r="C312" t="s">
        <v>36</v>
      </c>
      <c r="D312">
        <v>106</v>
      </c>
      <c r="E312" s="17" t="s">
        <v>61</v>
      </c>
      <c r="F312">
        <v>2</v>
      </c>
      <c r="G312">
        <v>3</v>
      </c>
      <c r="H312" t="s">
        <v>61</v>
      </c>
      <c r="I312">
        <v>424</v>
      </c>
      <c r="J312">
        <v>1</v>
      </c>
      <c r="K312" s="17" t="s">
        <v>46</v>
      </c>
      <c r="L312">
        <v>62</v>
      </c>
      <c r="M312">
        <v>2</v>
      </c>
      <c r="N312">
        <v>2</v>
      </c>
      <c r="O312" s="17" t="s">
        <v>61</v>
      </c>
      <c r="P312" s="14">
        <v>1</v>
      </c>
      <c r="Q312" t="s">
        <v>48</v>
      </c>
      <c r="R312" s="14">
        <v>6410</v>
      </c>
      <c r="S312" s="17" t="str">
        <f t="shared" si="8"/>
        <v>medium</v>
      </c>
      <c r="T312">
        <v>17822</v>
      </c>
      <c r="U312">
        <v>3</v>
      </c>
      <c r="V312" s="17" t="s">
        <v>43</v>
      </c>
      <c r="W312">
        <v>12</v>
      </c>
      <c r="X312">
        <v>3</v>
      </c>
      <c r="Y312">
        <v>4</v>
      </c>
      <c r="Z312">
        <v>0</v>
      </c>
      <c r="AA312">
        <v>9</v>
      </c>
      <c r="AB312">
        <v>1</v>
      </c>
      <c r="AC312">
        <v>3</v>
      </c>
      <c r="AD312" s="14">
        <v>2</v>
      </c>
      <c r="AE312" t="str">
        <f t="shared" si="9"/>
        <v>0-2 years</v>
      </c>
      <c r="AF312" s="14">
        <v>2</v>
      </c>
      <c r="AG312" s="14">
        <v>1</v>
      </c>
      <c r="AH312" s="14">
        <v>0</v>
      </c>
    </row>
    <row r="313" spans="1:34" x14ac:dyDescent="0.3">
      <c r="A313" s="14">
        <v>45</v>
      </c>
      <c r="B313" s="17" t="s">
        <v>43</v>
      </c>
      <c r="C313" t="s">
        <v>44</v>
      </c>
      <c r="D313">
        <v>1249</v>
      </c>
      <c r="E313" s="17" t="s">
        <v>45</v>
      </c>
      <c r="F313">
        <v>7</v>
      </c>
      <c r="G313">
        <v>3</v>
      </c>
      <c r="H313" t="s">
        <v>38</v>
      </c>
      <c r="I313">
        <v>425</v>
      </c>
      <c r="J313">
        <v>1</v>
      </c>
      <c r="K313" s="17" t="s">
        <v>46</v>
      </c>
      <c r="L313">
        <v>97</v>
      </c>
      <c r="M313">
        <v>3</v>
      </c>
      <c r="N313">
        <v>3</v>
      </c>
      <c r="O313" s="17" t="s">
        <v>50</v>
      </c>
      <c r="P313" s="14">
        <v>1</v>
      </c>
      <c r="Q313" t="s">
        <v>52</v>
      </c>
      <c r="R313" s="14">
        <v>5210</v>
      </c>
      <c r="S313" s="17" t="str">
        <f t="shared" si="8"/>
        <v>medium</v>
      </c>
      <c r="T313">
        <v>20308</v>
      </c>
      <c r="U313">
        <v>1</v>
      </c>
      <c r="V313" s="17" t="s">
        <v>43</v>
      </c>
      <c r="W313">
        <v>18</v>
      </c>
      <c r="X313">
        <v>3</v>
      </c>
      <c r="Y313">
        <v>1</v>
      </c>
      <c r="Z313">
        <v>1</v>
      </c>
      <c r="AA313">
        <v>24</v>
      </c>
      <c r="AB313">
        <v>2</v>
      </c>
      <c r="AC313">
        <v>3</v>
      </c>
      <c r="AD313" s="14">
        <v>24</v>
      </c>
      <c r="AE313" t="str">
        <f t="shared" si="9"/>
        <v>10+ years</v>
      </c>
      <c r="AF313" s="14">
        <v>9</v>
      </c>
      <c r="AG313" s="14">
        <v>9</v>
      </c>
      <c r="AH313" s="14">
        <v>11</v>
      </c>
    </row>
    <row r="314" spans="1:34" x14ac:dyDescent="0.3">
      <c r="A314" s="14">
        <v>31</v>
      </c>
      <c r="B314" s="17" t="s">
        <v>43</v>
      </c>
      <c r="C314" t="s">
        <v>36</v>
      </c>
      <c r="D314">
        <v>192</v>
      </c>
      <c r="E314" s="17" t="s">
        <v>45</v>
      </c>
      <c r="F314">
        <v>2</v>
      </c>
      <c r="G314">
        <v>4</v>
      </c>
      <c r="H314" t="s">
        <v>38</v>
      </c>
      <c r="I314">
        <v>426</v>
      </c>
      <c r="J314">
        <v>3</v>
      </c>
      <c r="K314" s="17" t="s">
        <v>46</v>
      </c>
      <c r="L314">
        <v>32</v>
      </c>
      <c r="M314">
        <v>3</v>
      </c>
      <c r="N314">
        <v>1</v>
      </c>
      <c r="O314" s="17" t="s">
        <v>47</v>
      </c>
      <c r="P314" s="14">
        <v>4</v>
      </c>
      <c r="Q314" t="s">
        <v>52</v>
      </c>
      <c r="R314" s="14">
        <v>2695</v>
      </c>
      <c r="S314" s="17" t="str">
        <f t="shared" si="8"/>
        <v>low</v>
      </c>
      <c r="T314">
        <v>7747</v>
      </c>
      <c r="U314">
        <v>0</v>
      </c>
      <c r="V314" s="17" t="s">
        <v>35</v>
      </c>
      <c r="W314">
        <v>18</v>
      </c>
      <c r="X314">
        <v>3</v>
      </c>
      <c r="Y314">
        <v>2</v>
      </c>
      <c r="Z314">
        <v>1</v>
      </c>
      <c r="AA314">
        <v>3</v>
      </c>
      <c r="AB314">
        <v>2</v>
      </c>
      <c r="AC314">
        <v>1</v>
      </c>
      <c r="AD314" s="14">
        <v>2</v>
      </c>
      <c r="AE314" t="str">
        <f t="shared" si="9"/>
        <v>0-2 years</v>
      </c>
      <c r="AF314" s="14">
        <v>2</v>
      </c>
      <c r="AG314" s="14">
        <v>2</v>
      </c>
      <c r="AH314" s="14">
        <v>2</v>
      </c>
    </row>
    <row r="315" spans="1:34" x14ac:dyDescent="0.3">
      <c r="A315" s="14">
        <v>33</v>
      </c>
      <c r="B315" s="17" t="s">
        <v>43</v>
      </c>
      <c r="C315" t="s">
        <v>44</v>
      </c>
      <c r="D315">
        <v>553</v>
      </c>
      <c r="E315" s="17" t="s">
        <v>45</v>
      </c>
      <c r="F315">
        <v>5</v>
      </c>
      <c r="G315">
        <v>4</v>
      </c>
      <c r="H315" t="s">
        <v>38</v>
      </c>
      <c r="I315">
        <v>428</v>
      </c>
      <c r="J315">
        <v>4</v>
      </c>
      <c r="K315" s="17" t="s">
        <v>39</v>
      </c>
      <c r="L315">
        <v>74</v>
      </c>
      <c r="M315">
        <v>3</v>
      </c>
      <c r="N315">
        <v>3</v>
      </c>
      <c r="O315" s="17" t="s">
        <v>56</v>
      </c>
      <c r="P315" s="14">
        <v>2</v>
      </c>
      <c r="Q315" t="s">
        <v>48</v>
      </c>
      <c r="R315" s="14">
        <v>11878</v>
      </c>
      <c r="S315" s="17" t="str">
        <f t="shared" si="8"/>
        <v>high</v>
      </c>
      <c r="T315">
        <v>23364</v>
      </c>
      <c r="U315">
        <v>6</v>
      </c>
      <c r="V315" s="17" t="s">
        <v>43</v>
      </c>
      <c r="W315">
        <v>11</v>
      </c>
      <c r="X315">
        <v>3</v>
      </c>
      <c r="Y315">
        <v>2</v>
      </c>
      <c r="Z315">
        <v>2</v>
      </c>
      <c r="AA315">
        <v>12</v>
      </c>
      <c r="AB315">
        <v>2</v>
      </c>
      <c r="AC315">
        <v>3</v>
      </c>
      <c r="AD315" s="14">
        <v>10</v>
      </c>
      <c r="AE315" t="str">
        <f t="shared" si="9"/>
        <v>6-10 years</v>
      </c>
      <c r="AF315" s="14">
        <v>6</v>
      </c>
      <c r="AG315" s="14">
        <v>8</v>
      </c>
      <c r="AH315" s="14">
        <v>8</v>
      </c>
    </row>
    <row r="316" spans="1:34" x14ac:dyDescent="0.3">
      <c r="A316" s="14">
        <v>39</v>
      </c>
      <c r="B316" s="17" t="s">
        <v>43</v>
      </c>
      <c r="C316" t="s">
        <v>36</v>
      </c>
      <c r="D316">
        <v>117</v>
      </c>
      <c r="E316" s="17" t="s">
        <v>45</v>
      </c>
      <c r="F316">
        <v>10</v>
      </c>
      <c r="G316">
        <v>1</v>
      </c>
      <c r="H316" t="s">
        <v>51</v>
      </c>
      <c r="I316">
        <v>429</v>
      </c>
      <c r="J316">
        <v>3</v>
      </c>
      <c r="K316" s="17" t="s">
        <v>46</v>
      </c>
      <c r="L316">
        <v>99</v>
      </c>
      <c r="M316">
        <v>3</v>
      </c>
      <c r="N316">
        <v>4</v>
      </c>
      <c r="O316" s="17" t="s">
        <v>56</v>
      </c>
      <c r="P316" s="14">
        <v>1</v>
      </c>
      <c r="Q316" t="s">
        <v>48</v>
      </c>
      <c r="R316" s="14">
        <v>17068</v>
      </c>
      <c r="S316" s="17" t="str">
        <f t="shared" si="8"/>
        <v>high</v>
      </c>
      <c r="T316">
        <v>5355</v>
      </c>
      <c r="U316">
        <v>1</v>
      </c>
      <c r="V316" s="17" t="s">
        <v>35</v>
      </c>
      <c r="W316">
        <v>14</v>
      </c>
      <c r="X316">
        <v>3</v>
      </c>
      <c r="Y316">
        <v>4</v>
      </c>
      <c r="Z316">
        <v>0</v>
      </c>
      <c r="AA316">
        <v>21</v>
      </c>
      <c r="AB316">
        <v>3</v>
      </c>
      <c r="AC316">
        <v>3</v>
      </c>
      <c r="AD316" s="14">
        <v>21</v>
      </c>
      <c r="AE316" t="str">
        <f t="shared" si="9"/>
        <v>10+ years</v>
      </c>
      <c r="AF316" s="14">
        <v>9</v>
      </c>
      <c r="AG316" s="14">
        <v>11</v>
      </c>
      <c r="AH316" s="14">
        <v>10</v>
      </c>
    </row>
    <row r="317" spans="1:34" x14ac:dyDescent="0.3">
      <c r="A317" s="14">
        <v>43</v>
      </c>
      <c r="B317" s="17" t="s">
        <v>43</v>
      </c>
      <c r="C317" t="s">
        <v>44</v>
      </c>
      <c r="D317">
        <v>185</v>
      </c>
      <c r="E317" s="17" t="s">
        <v>45</v>
      </c>
      <c r="F317">
        <v>10</v>
      </c>
      <c r="G317">
        <v>4</v>
      </c>
      <c r="H317" t="s">
        <v>38</v>
      </c>
      <c r="I317">
        <v>430</v>
      </c>
      <c r="J317">
        <v>3</v>
      </c>
      <c r="K317" s="17" t="s">
        <v>39</v>
      </c>
      <c r="L317">
        <v>33</v>
      </c>
      <c r="M317">
        <v>3</v>
      </c>
      <c r="N317">
        <v>1</v>
      </c>
      <c r="O317" s="17" t="s">
        <v>50</v>
      </c>
      <c r="P317" s="14">
        <v>4</v>
      </c>
      <c r="Q317" t="s">
        <v>41</v>
      </c>
      <c r="R317" s="14">
        <v>2455</v>
      </c>
      <c r="S317" s="17" t="str">
        <f t="shared" si="8"/>
        <v>low</v>
      </c>
      <c r="T317">
        <v>10675</v>
      </c>
      <c r="U317">
        <v>0</v>
      </c>
      <c r="V317" s="17" t="s">
        <v>43</v>
      </c>
      <c r="W317">
        <v>19</v>
      </c>
      <c r="X317">
        <v>3</v>
      </c>
      <c r="Y317">
        <v>1</v>
      </c>
      <c r="Z317">
        <v>0</v>
      </c>
      <c r="AA317">
        <v>9</v>
      </c>
      <c r="AB317">
        <v>5</v>
      </c>
      <c r="AC317">
        <v>3</v>
      </c>
      <c r="AD317" s="14">
        <v>8</v>
      </c>
      <c r="AE317" t="str">
        <f t="shared" si="9"/>
        <v>6-10 years</v>
      </c>
      <c r="AF317" s="14">
        <v>7</v>
      </c>
      <c r="AG317" s="14">
        <v>1</v>
      </c>
      <c r="AH317" s="14">
        <v>7</v>
      </c>
    </row>
    <row r="318" spans="1:34" x14ac:dyDescent="0.3">
      <c r="A318" s="14">
        <v>49</v>
      </c>
      <c r="B318" s="17" t="s">
        <v>43</v>
      </c>
      <c r="C318" t="s">
        <v>36</v>
      </c>
      <c r="D318">
        <v>1091</v>
      </c>
      <c r="E318" s="17" t="s">
        <v>45</v>
      </c>
      <c r="F318">
        <v>1</v>
      </c>
      <c r="G318">
        <v>2</v>
      </c>
      <c r="H318" t="s">
        <v>60</v>
      </c>
      <c r="I318">
        <v>431</v>
      </c>
      <c r="J318">
        <v>3</v>
      </c>
      <c r="K318" s="17" t="s">
        <v>39</v>
      </c>
      <c r="L318">
        <v>90</v>
      </c>
      <c r="M318">
        <v>2</v>
      </c>
      <c r="N318">
        <v>4</v>
      </c>
      <c r="O318" s="17" t="s">
        <v>54</v>
      </c>
      <c r="P318" s="14">
        <v>3</v>
      </c>
      <c r="Q318" t="s">
        <v>41</v>
      </c>
      <c r="R318" s="14">
        <v>13964</v>
      </c>
      <c r="S318" s="17" t="str">
        <f t="shared" si="8"/>
        <v>high</v>
      </c>
      <c r="T318">
        <v>17810</v>
      </c>
      <c r="U318">
        <v>7</v>
      </c>
      <c r="V318" s="17" t="s">
        <v>35</v>
      </c>
      <c r="W318">
        <v>12</v>
      </c>
      <c r="X318">
        <v>3</v>
      </c>
      <c r="Y318">
        <v>4</v>
      </c>
      <c r="Z318">
        <v>0</v>
      </c>
      <c r="AA318">
        <v>25</v>
      </c>
      <c r="AB318">
        <v>2</v>
      </c>
      <c r="AC318">
        <v>3</v>
      </c>
      <c r="AD318" s="14">
        <v>7</v>
      </c>
      <c r="AE318" t="str">
        <f t="shared" si="9"/>
        <v>6-10 years</v>
      </c>
      <c r="AF318" s="14">
        <v>1</v>
      </c>
      <c r="AG318" s="14">
        <v>0</v>
      </c>
      <c r="AH318" s="14">
        <v>7</v>
      </c>
    </row>
    <row r="319" spans="1:34" x14ac:dyDescent="0.3">
      <c r="A319" s="14">
        <v>52</v>
      </c>
      <c r="B319" s="17" t="s">
        <v>35</v>
      </c>
      <c r="C319" t="s">
        <v>36</v>
      </c>
      <c r="D319">
        <v>723</v>
      </c>
      <c r="E319" s="17" t="s">
        <v>45</v>
      </c>
      <c r="F319">
        <v>8</v>
      </c>
      <c r="G319">
        <v>4</v>
      </c>
      <c r="H319" t="s">
        <v>51</v>
      </c>
      <c r="I319">
        <v>433</v>
      </c>
      <c r="J319">
        <v>3</v>
      </c>
      <c r="K319" s="17" t="s">
        <v>46</v>
      </c>
      <c r="L319">
        <v>85</v>
      </c>
      <c r="M319">
        <v>2</v>
      </c>
      <c r="N319">
        <v>2</v>
      </c>
      <c r="O319" s="17" t="s">
        <v>47</v>
      </c>
      <c r="P319" s="14">
        <v>2</v>
      </c>
      <c r="Q319" t="s">
        <v>48</v>
      </c>
      <c r="R319" s="14">
        <v>4941</v>
      </c>
      <c r="S319" s="17" t="str">
        <f t="shared" si="8"/>
        <v>medium</v>
      </c>
      <c r="T319">
        <v>17747</v>
      </c>
      <c r="U319">
        <v>2</v>
      </c>
      <c r="V319" s="17" t="s">
        <v>43</v>
      </c>
      <c r="W319">
        <v>15</v>
      </c>
      <c r="X319">
        <v>3</v>
      </c>
      <c r="Y319">
        <v>1</v>
      </c>
      <c r="Z319">
        <v>0</v>
      </c>
      <c r="AA319">
        <v>11</v>
      </c>
      <c r="AB319">
        <v>3</v>
      </c>
      <c r="AC319">
        <v>2</v>
      </c>
      <c r="AD319" s="14">
        <v>8</v>
      </c>
      <c r="AE319" t="str">
        <f t="shared" si="9"/>
        <v>6-10 years</v>
      </c>
      <c r="AF319" s="14">
        <v>2</v>
      </c>
      <c r="AG319" s="14">
        <v>7</v>
      </c>
      <c r="AH319" s="14">
        <v>7</v>
      </c>
    </row>
    <row r="320" spans="1:34" x14ac:dyDescent="0.3">
      <c r="A320" s="14">
        <v>27</v>
      </c>
      <c r="B320" s="17" t="s">
        <v>43</v>
      </c>
      <c r="C320" t="s">
        <v>36</v>
      </c>
      <c r="D320">
        <v>1220</v>
      </c>
      <c r="E320" s="17" t="s">
        <v>45</v>
      </c>
      <c r="F320">
        <v>5</v>
      </c>
      <c r="G320">
        <v>3</v>
      </c>
      <c r="H320" t="s">
        <v>38</v>
      </c>
      <c r="I320">
        <v>434</v>
      </c>
      <c r="J320">
        <v>3</v>
      </c>
      <c r="K320" s="17" t="s">
        <v>39</v>
      </c>
      <c r="L320">
        <v>85</v>
      </c>
      <c r="M320">
        <v>3</v>
      </c>
      <c r="N320">
        <v>1</v>
      </c>
      <c r="O320" s="17" t="s">
        <v>47</v>
      </c>
      <c r="P320" s="14">
        <v>2</v>
      </c>
      <c r="Q320" t="s">
        <v>41</v>
      </c>
      <c r="R320" s="14">
        <v>2478</v>
      </c>
      <c r="S320" s="17" t="str">
        <f t="shared" si="8"/>
        <v>low</v>
      </c>
      <c r="T320">
        <v>20938</v>
      </c>
      <c r="U320">
        <v>1</v>
      </c>
      <c r="V320" s="17" t="s">
        <v>35</v>
      </c>
      <c r="W320">
        <v>12</v>
      </c>
      <c r="X320">
        <v>3</v>
      </c>
      <c r="Y320">
        <v>2</v>
      </c>
      <c r="Z320">
        <v>0</v>
      </c>
      <c r="AA320">
        <v>4</v>
      </c>
      <c r="AB320">
        <v>2</v>
      </c>
      <c r="AC320">
        <v>2</v>
      </c>
      <c r="AD320" s="14">
        <v>4</v>
      </c>
      <c r="AE320" t="str">
        <f t="shared" si="9"/>
        <v>3-5 years</v>
      </c>
      <c r="AF320" s="14">
        <v>3</v>
      </c>
      <c r="AG320" s="14">
        <v>1</v>
      </c>
      <c r="AH320" s="14">
        <v>2</v>
      </c>
    </row>
    <row r="321" spans="1:34" x14ac:dyDescent="0.3">
      <c r="A321" s="14">
        <v>32</v>
      </c>
      <c r="B321" s="17" t="s">
        <v>43</v>
      </c>
      <c r="C321" t="s">
        <v>36</v>
      </c>
      <c r="D321">
        <v>588</v>
      </c>
      <c r="E321" s="17" t="s">
        <v>37</v>
      </c>
      <c r="F321">
        <v>8</v>
      </c>
      <c r="G321">
        <v>2</v>
      </c>
      <c r="H321" t="s">
        <v>60</v>
      </c>
      <c r="I321">
        <v>436</v>
      </c>
      <c r="J321">
        <v>3</v>
      </c>
      <c r="K321" s="17" t="s">
        <v>39</v>
      </c>
      <c r="L321">
        <v>65</v>
      </c>
      <c r="M321">
        <v>2</v>
      </c>
      <c r="N321">
        <v>2</v>
      </c>
      <c r="O321" s="17" t="s">
        <v>40</v>
      </c>
      <c r="P321" s="14">
        <v>2</v>
      </c>
      <c r="Q321" t="s">
        <v>48</v>
      </c>
      <c r="R321" s="14">
        <v>5228</v>
      </c>
      <c r="S321" s="17" t="str">
        <f t="shared" si="8"/>
        <v>medium</v>
      </c>
      <c r="T321">
        <v>24624</v>
      </c>
      <c r="U321">
        <v>1</v>
      </c>
      <c r="V321" s="17" t="s">
        <v>35</v>
      </c>
      <c r="W321">
        <v>11</v>
      </c>
      <c r="X321">
        <v>3</v>
      </c>
      <c r="Y321">
        <v>4</v>
      </c>
      <c r="Z321">
        <v>0</v>
      </c>
      <c r="AA321">
        <v>13</v>
      </c>
      <c r="AB321">
        <v>2</v>
      </c>
      <c r="AC321">
        <v>3</v>
      </c>
      <c r="AD321" s="14">
        <v>13</v>
      </c>
      <c r="AE321" t="str">
        <f t="shared" si="9"/>
        <v>10+ years</v>
      </c>
      <c r="AF321" s="14">
        <v>12</v>
      </c>
      <c r="AG321" s="14">
        <v>11</v>
      </c>
      <c r="AH321" s="14">
        <v>9</v>
      </c>
    </row>
    <row r="322" spans="1:34" x14ac:dyDescent="0.3">
      <c r="A322" s="14">
        <v>27</v>
      </c>
      <c r="B322" s="17" t="s">
        <v>43</v>
      </c>
      <c r="C322" t="s">
        <v>36</v>
      </c>
      <c r="D322">
        <v>1377</v>
      </c>
      <c r="E322" s="17" t="s">
        <v>37</v>
      </c>
      <c r="F322">
        <v>2</v>
      </c>
      <c r="G322">
        <v>3</v>
      </c>
      <c r="H322" t="s">
        <v>38</v>
      </c>
      <c r="I322">
        <v>437</v>
      </c>
      <c r="J322">
        <v>4</v>
      </c>
      <c r="K322" s="17" t="s">
        <v>46</v>
      </c>
      <c r="L322">
        <v>74</v>
      </c>
      <c r="M322">
        <v>3</v>
      </c>
      <c r="N322">
        <v>2</v>
      </c>
      <c r="O322" s="17" t="s">
        <v>40</v>
      </c>
      <c r="P322" s="14">
        <v>3</v>
      </c>
      <c r="Q322" t="s">
        <v>41</v>
      </c>
      <c r="R322" s="14">
        <v>4478</v>
      </c>
      <c r="S322" s="17" t="str">
        <f t="shared" ref="S322:S385" si="10">IF(R322&lt;=3000, "low",IF(R322&lt;=7000,"medium","high"))</f>
        <v>medium</v>
      </c>
      <c r="T322">
        <v>5242</v>
      </c>
      <c r="U322">
        <v>1</v>
      </c>
      <c r="V322" s="17" t="s">
        <v>35</v>
      </c>
      <c r="W322">
        <v>11</v>
      </c>
      <c r="X322">
        <v>3</v>
      </c>
      <c r="Y322">
        <v>1</v>
      </c>
      <c r="Z322">
        <v>0</v>
      </c>
      <c r="AA322">
        <v>5</v>
      </c>
      <c r="AB322">
        <v>3</v>
      </c>
      <c r="AC322">
        <v>3</v>
      </c>
      <c r="AD322" s="14">
        <v>5</v>
      </c>
      <c r="AE322" t="str">
        <f t="shared" ref="AE322:AE385" si="11">IF(AD322&lt;=2,"0-2 years", IF(AD322&lt;=5,"3-5 years", IF(AD322&lt;=10,"6-10 years","10+ years")))</f>
        <v>3-5 years</v>
      </c>
      <c r="AF322" s="14">
        <v>4</v>
      </c>
      <c r="AG322" s="14">
        <v>0</v>
      </c>
      <c r="AH322" s="14">
        <v>4</v>
      </c>
    </row>
    <row r="323" spans="1:34" x14ac:dyDescent="0.3">
      <c r="A323" s="14">
        <v>31</v>
      </c>
      <c r="B323" s="17" t="s">
        <v>43</v>
      </c>
      <c r="C323" t="s">
        <v>36</v>
      </c>
      <c r="D323">
        <v>691</v>
      </c>
      <c r="E323" s="17" t="s">
        <v>37</v>
      </c>
      <c r="F323">
        <v>7</v>
      </c>
      <c r="G323">
        <v>3</v>
      </c>
      <c r="H323" t="s">
        <v>59</v>
      </c>
      <c r="I323">
        <v>438</v>
      </c>
      <c r="J323">
        <v>4</v>
      </c>
      <c r="K323" s="17" t="s">
        <v>46</v>
      </c>
      <c r="L323">
        <v>73</v>
      </c>
      <c r="M323">
        <v>3</v>
      </c>
      <c r="N323">
        <v>2</v>
      </c>
      <c r="O323" s="17" t="s">
        <v>40</v>
      </c>
      <c r="P323" s="14">
        <v>4</v>
      </c>
      <c r="Q323" t="s">
        <v>52</v>
      </c>
      <c r="R323" s="14">
        <v>7547</v>
      </c>
      <c r="S323" s="17" t="str">
        <f t="shared" si="10"/>
        <v>high</v>
      </c>
      <c r="T323">
        <v>7143</v>
      </c>
      <c r="U323">
        <v>4</v>
      </c>
      <c r="V323" s="17" t="s">
        <v>43</v>
      </c>
      <c r="W323">
        <v>12</v>
      </c>
      <c r="X323">
        <v>3</v>
      </c>
      <c r="Y323">
        <v>4</v>
      </c>
      <c r="Z323">
        <v>3</v>
      </c>
      <c r="AA323">
        <v>13</v>
      </c>
      <c r="AB323">
        <v>3</v>
      </c>
      <c r="AC323">
        <v>3</v>
      </c>
      <c r="AD323" s="14">
        <v>7</v>
      </c>
      <c r="AE323" t="str">
        <f t="shared" si="11"/>
        <v>6-10 years</v>
      </c>
      <c r="AF323" s="14">
        <v>7</v>
      </c>
      <c r="AG323" s="14">
        <v>1</v>
      </c>
      <c r="AH323" s="14">
        <v>7</v>
      </c>
    </row>
    <row r="324" spans="1:34" x14ac:dyDescent="0.3">
      <c r="A324" s="14">
        <v>32</v>
      </c>
      <c r="B324" s="17" t="s">
        <v>43</v>
      </c>
      <c r="C324" t="s">
        <v>36</v>
      </c>
      <c r="D324">
        <v>1018</v>
      </c>
      <c r="E324" s="17" t="s">
        <v>45</v>
      </c>
      <c r="F324">
        <v>2</v>
      </c>
      <c r="G324">
        <v>4</v>
      </c>
      <c r="H324" t="s">
        <v>51</v>
      </c>
      <c r="I324">
        <v>439</v>
      </c>
      <c r="J324">
        <v>1</v>
      </c>
      <c r="K324" s="17" t="s">
        <v>39</v>
      </c>
      <c r="L324">
        <v>74</v>
      </c>
      <c r="M324">
        <v>4</v>
      </c>
      <c r="N324">
        <v>2</v>
      </c>
      <c r="O324" s="17" t="s">
        <v>47</v>
      </c>
      <c r="P324" s="14">
        <v>4</v>
      </c>
      <c r="Q324" t="s">
        <v>41</v>
      </c>
      <c r="R324" s="14">
        <v>5055</v>
      </c>
      <c r="S324" s="17" t="str">
        <f t="shared" si="10"/>
        <v>medium</v>
      </c>
      <c r="T324">
        <v>10557</v>
      </c>
      <c r="U324">
        <v>7</v>
      </c>
      <c r="V324" s="17" t="s">
        <v>43</v>
      </c>
      <c r="W324">
        <v>16</v>
      </c>
      <c r="X324">
        <v>3</v>
      </c>
      <c r="Y324">
        <v>3</v>
      </c>
      <c r="Z324">
        <v>0</v>
      </c>
      <c r="AA324">
        <v>10</v>
      </c>
      <c r="AB324">
        <v>0</v>
      </c>
      <c r="AC324">
        <v>2</v>
      </c>
      <c r="AD324" s="14">
        <v>7</v>
      </c>
      <c r="AE324" t="str">
        <f t="shared" si="11"/>
        <v>6-10 years</v>
      </c>
      <c r="AF324" s="14">
        <v>7</v>
      </c>
      <c r="AG324" s="14">
        <v>0</v>
      </c>
      <c r="AH324" s="14">
        <v>7</v>
      </c>
    </row>
    <row r="325" spans="1:34" x14ac:dyDescent="0.3">
      <c r="A325" s="14">
        <v>28</v>
      </c>
      <c r="B325" s="17" t="s">
        <v>35</v>
      </c>
      <c r="C325" t="s">
        <v>36</v>
      </c>
      <c r="D325">
        <v>1157</v>
      </c>
      <c r="E325" s="17" t="s">
        <v>45</v>
      </c>
      <c r="F325">
        <v>2</v>
      </c>
      <c r="G325">
        <v>4</v>
      </c>
      <c r="H325" t="s">
        <v>51</v>
      </c>
      <c r="I325">
        <v>440</v>
      </c>
      <c r="J325">
        <v>1</v>
      </c>
      <c r="K325" s="17" t="s">
        <v>46</v>
      </c>
      <c r="L325">
        <v>84</v>
      </c>
      <c r="M325">
        <v>1</v>
      </c>
      <c r="N325">
        <v>1</v>
      </c>
      <c r="O325" s="17" t="s">
        <v>47</v>
      </c>
      <c r="P325" s="14">
        <v>4</v>
      </c>
      <c r="Q325" t="s">
        <v>48</v>
      </c>
      <c r="R325" s="14">
        <v>3464</v>
      </c>
      <c r="S325" s="17" t="str">
        <f t="shared" si="10"/>
        <v>medium</v>
      </c>
      <c r="T325">
        <v>24737</v>
      </c>
      <c r="U325">
        <v>5</v>
      </c>
      <c r="V325" s="17" t="s">
        <v>35</v>
      </c>
      <c r="W325">
        <v>13</v>
      </c>
      <c r="X325">
        <v>3</v>
      </c>
      <c r="Y325">
        <v>4</v>
      </c>
      <c r="Z325">
        <v>0</v>
      </c>
      <c r="AA325">
        <v>5</v>
      </c>
      <c r="AB325">
        <v>4</v>
      </c>
      <c r="AC325">
        <v>2</v>
      </c>
      <c r="AD325" s="14">
        <v>3</v>
      </c>
      <c r="AE325" t="str">
        <f t="shared" si="11"/>
        <v>3-5 years</v>
      </c>
      <c r="AF325" s="14">
        <v>2</v>
      </c>
      <c r="AG325" s="14">
        <v>2</v>
      </c>
      <c r="AH325" s="14">
        <v>2</v>
      </c>
    </row>
    <row r="326" spans="1:34" x14ac:dyDescent="0.3">
      <c r="A326" s="14">
        <v>30</v>
      </c>
      <c r="B326" s="17" t="s">
        <v>43</v>
      </c>
      <c r="C326" t="s">
        <v>36</v>
      </c>
      <c r="D326">
        <v>1275</v>
      </c>
      <c r="E326" s="17" t="s">
        <v>45</v>
      </c>
      <c r="F326">
        <v>28</v>
      </c>
      <c r="G326">
        <v>2</v>
      </c>
      <c r="H326" t="s">
        <v>51</v>
      </c>
      <c r="I326">
        <v>441</v>
      </c>
      <c r="J326">
        <v>4</v>
      </c>
      <c r="K326" s="17" t="s">
        <v>39</v>
      </c>
      <c r="L326">
        <v>64</v>
      </c>
      <c r="M326">
        <v>3</v>
      </c>
      <c r="N326">
        <v>2</v>
      </c>
      <c r="O326" s="17" t="s">
        <v>47</v>
      </c>
      <c r="P326" s="14">
        <v>4</v>
      </c>
      <c r="Q326" t="s">
        <v>48</v>
      </c>
      <c r="R326" s="14">
        <v>5775</v>
      </c>
      <c r="S326" s="17" t="str">
        <f t="shared" si="10"/>
        <v>medium</v>
      </c>
      <c r="T326">
        <v>11934</v>
      </c>
      <c r="U326">
        <v>1</v>
      </c>
      <c r="V326" s="17" t="s">
        <v>43</v>
      </c>
      <c r="W326">
        <v>13</v>
      </c>
      <c r="X326">
        <v>3</v>
      </c>
      <c r="Y326">
        <v>4</v>
      </c>
      <c r="Z326">
        <v>2</v>
      </c>
      <c r="AA326">
        <v>11</v>
      </c>
      <c r="AB326">
        <v>2</v>
      </c>
      <c r="AC326">
        <v>3</v>
      </c>
      <c r="AD326" s="14">
        <v>10</v>
      </c>
      <c r="AE326" t="str">
        <f t="shared" si="11"/>
        <v>6-10 years</v>
      </c>
      <c r="AF326" s="14">
        <v>8</v>
      </c>
      <c r="AG326" s="14">
        <v>1</v>
      </c>
      <c r="AH326" s="14">
        <v>9</v>
      </c>
    </row>
    <row r="327" spans="1:34" x14ac:dyDescent="0.3">
      <c r="A327" s="14">
        <v>31</v>
      </c>
      <c r="B327" s="17" t="s">
        <v>43</v>
      </c>
      <c r="C327" t="s">
        <v>44</v>
      </c>
      <c r="D327">
        <v>798</v>
      </c>
      <c r="E327" s="17" t="s">
        <v>45</v>
      </c>
      <c r="F327">
        <v>7</v>
      </c>
      <c r="G327">
        <v>2</v>
      </c>
      <c r="H327" t="s">
        <v>38</v>
      </c>
      <c r="I327">
        <v>442</v>
      </c>
      <c r="J327">
        <v>3</v>
      </c>
      <c r="K327" s="17" t="s">
        <v>39</v>
      </c>
      <c r="L327">
        <v>48</v>
      </c>
      <c r="M327">
        <v>2</v>
      </c>
      <c r="N327">
        <v>3</v>
      </c>
      <c r="O327" s="17" t="s">
        <v>53</v>
      </c>
      <c r="P327" s="14">
        <v>3</v>
      </c>
      <c r="Q327" t="s">
        <v>48</v>
      </c>
      <c r="R327" s="14">
        <v>8943</v>
      </c>
      <c r="S327" s="17" t="str">
        <f t="shared" si="10"/>
        <v>high</v>
      </c>
      <c r="T327">
        <v>14034</v>
      </c>
      <c r="U327">
        <v>1</v>
      </c>
      <c r="V327" s="17" t="s">
        <v>43</v>
      </c>
      <c r="W327">
        <v>24</v>
      </c>
      <c r="X327">
        <v>4</v>
      </c>
      <c r="Y327">
        <v>1</v>
      </c>
      <c r="Z327">
        <v>1</v>
      </c>
      <c r="AA327">
        <v>10</v>
      </c>
      <c r="AB327">
        <v>2</v>
      </c>
      <c r="AC327">
        <v>3</v>
      </c>
      <c r="AD327" s="14">
        <v>10</v>
      </c>
      <c r="AE327" t="str">
        <f t="shared" si="11"/>
        <v>6-10 years</v>
      </c>
      <c r="AF327" s="14">
        <v>9</v>
      </c>
      <c r="AG327" s="14">
        <v>8</v>
      </c>
      <c r="AH327" s="14">
        <v>9</v>
      </c>
    </row>
    <row r="328" spans="1:34" x14ac:dyDescent="0.3">
      <c r="A328" s="14">
        <v>39</v>
      </c>
      <c r="B328" s="17" t="s">
        <v>43</v>
      </c>
      <c r="C328" t="s">
        <v>44</v>
      </c>
      <c r="D328">
        <v>672</v>
      </c>
      <c r="E328" s="17" t="s">
        <v>45</v>
      </c>
      <c r="F328">
        <v>7</v>
      </c>
      <c r="G328">
        <v>2</v>
      </c>
      <c r="H328" t="s">
        <v>51</v>
      </c>
      <c r="I328">
        <v>444</v>
      </c>
      <c r="J328">
        <v>3</v>
      </c>
      <c r="K328" s="17" t="s">
        <v>46</v>
      </c>
      <c r="L328">
        <v>54</v>
      </c>
      <c r="M328">
        <v>2</v>
      </c>
      <c r="N328">
        <v>5</v>
      </c>
      <c r="O328" s="17" t="s">
        <v>56</v>
      </c>
      <c r="P328" s="14">
        <v>4</v>
      </c>
      <c r="Q328" t="s">
        <v>48</v>
      </c>
      <c r="R328" s="14">
        <v>19272</v>
      </c>
      <c r="S328" s="17" t="str">
        <f t="shared" si="10"/>
        <v>high</v>
      </c>
      <c r="T328">
        <v>21141</v>
      </c>
      <c r="U328">
        <v>1</v>
      </c>
      <c r="V328" s="17" t="s">
        <v>43</v>
      </c>
      <c r="W328">
        <v>15</v>
      </c>
      <c r="X328">
        <v>3</v>
      </c>
      <c r="Y328">
        <v>1</v>
      </c>
      <c r="Z328">
        <v>1</v>
      </c>
      <c r="AA328">
        <v>21</v>
      </c>
      <c r="AB328">
        <v>2</v>
      </c>
      <c r="AC328">
        <v>3</v>
      </c>
      <c r="AD328" s="14">
        <v>21</v>
      </c>
      <c r="AE328" t="str">
        <f t="shared" si="11"/>
        <v>10+ years</v>
      </c>
      <c r="AF328" s="14">
        <v>9</v>
      </c>
      <c r="AG328" s="14">
        <v>13</v>
      </c>
      <c r="AH328" s="14">
        <v>3</v>
      </c>
    </row>
    <row r="329" spans="1:34" x14ac:dyDescent="0.3">
      <c r="A329" s="14">
        <v>39</v>
      </c>
      <c r="B329" s="17" t="s">
        <v>35</v>
      </c>
      <c r="C329" t="s">
        <v>36</v>
      </c>
      <c r="D329">
        <v>1162</v>
      </c>
      <c r="E329" s="17" t="s">
        <v>37</v>
      </c>
      <c r="F329">
        <v>3</v>
      </c>
      <c r="G329">
        <v>2</v>
      </c>
      <c r="H329" t="s">
        <v>51</v>
      </c>
      <c r="I329">
        <v>445</v>
      </c>
      <c r="J329">
        <v>4</v>
      </c>
      <c r="K329" s="17" t="s">
        <v>39</v>
      </c>
      <c r="L329">
        <v>41</v>
      </c>
      <c r="M329">
        <v>3</v>
      </c>
      <c r="N329">
        <v>2</v>
      </c>
      <c r="O329" s="17" t="s">
        <v>40</v>
      </c>
      <c r="P329" s="14">
        <v>3</v>
      </c>
      <c r="Q329" t="s">
        <v>48</v>
      </c>
      <c r="R329" s="14">
        <v>5238</v>
      </c>
      <c r="S329" s="17" t="str">
        <f t="shared" si="10"/>
        <v>medium</v>
      </c>
      <c r="T329">
        <v>17778</v>
      </c>
      <c r="U329">
        <v>4</v>
      </c>
      <c r="V329" s="17" t="s">
        <v>35</v>
      </c>
      <c r="W329">
        <v>18</v>
      </c>
      <c r="X329">
        <v>3</v>
      </c>
      <c r="Y329">
        <v>1</v>
      </c>
      <c r="Z329">
        <v>0</v>
      </c>
      <c r="AA329">
        <v>12</v>
      </c>
      <c r="AB329">
        <v>3</v>
      </c>
      <c r="AC329">
        <v>2</v>
      </c>
      <c r="AD329" s="14">
        <v>1</v>
      </c>
      <c r="AE329" t="str">
        <f t="shared" si="11"/>
        <v>0-2 years</v>
      </c>
      <c r="AF329" s="14">
        <v>0</v>
      </c>
      <c r="AG329" s="14">
        <v>0</v>
      </c>
      <c r="AH329" s="14">
        <v>0</v>
      </c>
    </row>
    <row r="330" spans="1:34" x14ac:dyDescent="0.3">
      <c r="A330" s="14">
        <v>33</v>
      </c>
      <c r="B330" s="17" t="s">
        <v>43</v>
      </c>
      <c r="C330" t="s">
        <v>44</v>
      </c>
      <c r="D330">
        <v>508</v>
      </c>
      <c r="E330" s="17" t="s">
        <v>37</v>
      </c>
      <c r="F330">
        <v>10</v>
      </c>
      <c r="G330">
        <v>3</v>
      </c>
      <c r="H330" t="s">
        <v>59</v>
      </c>
      <c r="I330">
        <v>446</v>
      </c>
      <c r="J330">
        <v>2</v>
      </c>
      <c r="K330" s="17" t="s">
        <v>46</v>
      </c>
      <c r="L330">
        <v>46</v>
      </c>
      <c r="M330">
        <v>2</v>
      </c>
      <c r="N330">
        <v>2</v>
      </c>
      <c r="O330" s="17" t="s">
        <v>40</v>
      </c>
      <c r="P330" s="14">
        <v>4</v>
      </c>
      <c r="Q330" t="s">
        <v>41</v>
      </c>
      <c r="R330" s="14">
        <v>4682</v>
      </c>
      <c r="S330" s="17" t="str">
        <f t="shared" si="10"/>
        <v>medium</v>
      </c>
      <c r="T330">
        <v>4317</v>
      </c>
      <c r="U330">
        <v>3</v>
      </c>
      <c r="V330" s="17" t="s">
        <v>43</v>
      </c>
      <c r="W330">
        <v>14</v>
      </c>
      <c r="X330">
        <v>3</v>
      </c>
      <c r="Y330">
        <v>3</v>
      </c>
      <c r="Z330">
        <v>0</v>
      </c>
      <c r="AA330">
        <v>9</v>
      </c>
      <c r="AB330">
        <v>6</v>
      </c>
      <c r="AC330">
        <v>2</v>
      </c>
      <c r="AD330" s="14">
        <v>7</v>
      </c>
      <c r="AE330" t="str">
        <f t="shared" si="11"/>
        <v>6-10 years</v>
      </c>
      <c r="AF330" s="14">
        <v>7</v>
      </c>
      <c r="AG330" s="14">
        <v>0</v>
      </c>
      <c r="AH330" s="14">
        <v>1</v>
      </c>
    </row>
    <row r="331" spans="1:34" x14ac:dyDescent="0.3">
      <c r="A331" s="14">
        <v>47</v>
      </c>
      <c r="B331" s="17" t="s">
        <v>43</v>
      </c>
      <c r="C331" t="s">
        <v>36</v>
      </c>
      <c r="D331">
        <v>1482</v>
      </c>
      <c r="E331" s="17" t="s">
        <v>45</v>
      </c>
      <c r="F331">
        <v>5</v>
      </c>
      <c r="G331">
        <v>5</v>
      </c>
      <c r="H331" t="s">
        <v>38</v>
      </c>
      <c r="I331">
        <v>447</v>
      </c>
      <c r="J331">
        <v>4</v>
      </c>
      <c r="K331" s="17" t="s">
        <v>46</v>
      </c>
      <c r="L331">
        <v>42</v>
      </c>
      <c r="M331">
        <v>3</v>
      </c>
      <c r="N331">
        <v>5</v>
      </c>
      <c r="O331" s="17" t="s">
        <v>58</v>
      </c>
      <c r="P331" s="14">
        <v>3</v>
      </c>
      <c r="Q331" t="s">
        <v>48</v>
      </c>
      <c r="R331" s="14">
        <v>18300</v>
      </c>
      <c r="S331" s="17" t="str">
        <f t="shared" si="10"/>
        <v>high</v>
      </c>
      <c r="T331">
        <v>16375</v>
      </c>
      <c r="U331">
        <v>4</v>
      </c>
      <c r="V331" s="17" t="s">
        <v>43</v>
      </c>
      <c r="W331">
        <v>11</v>
      </c>
      <c r="X331">
        <v>3</v>
      </c>
      <c r="Y331">
        <v>2</v>
      </c>
      <c r="Z331">
        <v>1</v>
      </c>
      <c r="AA331">
        <v>21</v>
      </c>
      <c r="AB331">
        <v>2</v>
      </c>
      <c r="AC331">
        <v>3</v>
      </c>
      <c r="AD331" s="14">
        <v>3</v>
      </c>
      <c r="AE331" t="str">
        <f t="shared" si="11"/>
        <v>3-5 years</v>
      </c>
      <c r="AF331" s="14">
        <v>2</v>
      </c>
      <c r="AG331" s="14">
        <v>1</v>
      </c>
      <c r="AH331" s="14">
        <v>1</v>
      </c>
    </row>
    <row r="332" spans="1:34" x14ac:dyDescent="0.3">
      <c r="A332" s="14">
        <v>43</v>
      </c>
      <c r="B332" s="17" t="s">
        <v>43</v>
      </c>
      <c r="C332" t="s">
        <v>44</v>
      </c>
      <c r="D332">
        <v>559</v>
      </c>
      <c r="E332" s="17" t="s">
        <v>45</v>
      </c>
      <c r="F332">
        <v>10</v>
      </c>
      <c r="G332">
        <v>4</v>
      </c>
      <c r="H332" t="s">
        <v>38</v>
      </c>
      <c r="I332">
        <v>448</v>
      </c>
      <c r="J332">
        <v>3</v>
      </c>
      <c r="K332" s="17" t="s">
        <v>39</v>
      </c>
      <c r="L332">
        <v>82</v>
      </c>
      <c r="M332">
        <v>2</v>
      </c>
      <c r="N332">
        <v>2</v>
      </c>
      <c r="O332" s="17" t="s">
        <v>50</v>
      </c>
      <c r="P332" s="14">
        <v>3</v>
      </c>
      <c r="Q332" t="s">
        <v>52</v>
      </c>
      <c r="R332" s="14">
        <v>5257</v>
      </c>
      <c r="S332" s="17" t="str">
        <f t="shared" si="10"/>
        <v>medium</v>
      </c>
      <c r="T332">
        <v>6227</v>
      </c>
      <c r="U332">
        <v>1</v>
      </c>
      <c r="V332" s="17" t="s">
        <v>43</v>
      </c>
      <c r="W332">
        <v>11</v>
      </c>
      <c r="X332">
        <v>3</v>
      </c>
      <c r="Y332">
        <v>2</v>
      </c>
      <c r="Z332">
        <v>1</v>
      </c>
      <c r="AA332">
        <v>9</v>
      </c>
      <c r="AB332">
        <v>3</v>
      </c>
      <c r="AC332">
        <v>4</v>
      </c>
      <c r="AD332" s="14">
        <v>9</v>
      </c>
      <c r="AE332" t="str">
        <f t="shared" si="11"/>
        <v>6-10 years</v>
      </c>
      <c r="AF332" s="14">
        <v>7</v>
      </c>
      <c r="AG332" s="14">
        <v>0</v>
      </c>
      <c r="AH332" s="14">
        <v>0</v>
      </c>
    </row>
    <row r="333" spans="1:34" x14ac:dyDescent="0.3">
      <c r="A333" s="14">
        <v>27</v>
      </c>
      <c r="B333" s="17" t="s">
        <v>43</v>
      </c>
      <c r="C333" t="s">
        <v>55</v>
      </c>
      <c r="D333">
        <v>210</v>
      </c>
      <c r="E333" s="17" t="s">
        <v>37</v>
      </c>
      <c r="F333">
        <v>1</v>
      </c>
      <c r="G333">
        <v>1</v>
      </c>
      <c r="H333" t="s">
        <v>59</v>
      </c>
      <c r="I333">
        <v>449</v>
      </c>
      <c r="J333">
        <v>3</v>
      </c>
      <c r="K333" s="17" t="s">
        <v>46</v>
      </c>
      <c r="L333">
        <v>73</v>
      </c>
      <c r="M333">
        <v>3</v>
      </c>
      <c r="N333">
        <v>2</v>
      </c>
      <c r="O333" s="17" t="s">
        <v>40</v>
      </c>
      <c r="P333" s="14">
        <v>2</v>
      </c>
      <c r="Q333" t="s">
        <v>48</v>
      </c>
      <c r="R333" s="14">
        <v>6349</v>
      </c>
      <c r="S333" s="17" t="str">
        <f t="shared" si="10"/>
        <v>medium</v>
      </c>
      <c r="T333">
        <v>22107</v>
      </c>
      <c r="U333">
        <v>0</v>
      </c>
      <c r="V333" s="17" t="s">
        <v>35</v>
      </c>
      <c r="W333">
        <v>13</v>
      </c>
      <c r="X333">
        <v>3</v>
      </c>
      <c r="Y333">
        <v>4</v>
      </c>
      <c r="Z333">
        <v>1</v>
      </c>
      <c r="AA333">
        <v>6</v>
      </c>
      <c r="AB333">
        <v>0</v>
      </c>
      <c r="AC333">
        <v>3</v>
      </c>
      <c r="AD333" s="14">
        <v>5</v>
      </c>
      <c r="AE333" t="str">
        <f t="shared" si="11"/>
        <v>3-5 years</v>
      </c>
      <c r="AF333" s="14">
        <v>4</v>
      </c>
      <c r="AG333" s="14">
        <v>1</v>
      </c>
      <c r="AH333" s="14">
        <v>4</v>
      </c>
    </row>
    <row r="334" spans="1:34" x14ac:dyDescent="0.3">
      <c r="A334" s="14">
        <v>54</v>
      </c>
      <c r="B334" s="17" t="s">
        <v>43</v>
      </c>
      <c r="C334" t="s">
        <v>44</v>
      </c>
      <c r="D334">
        <v>928</v>
      </c>
      <c r="E334" s="17" t="s">
        <v>45</v>
      </c>
      <c r="F334">
        <v>20</v>
      </c>
      <c r="G334">
        <v>4</v>
      </c>
      <c r="H334" t="s">
        <v>38</v>
      </c>
      <c r="I334">
        <v>450</v>
      </c>
      <c r="J334">
        <v>4</v>
      </c>
      <c r="K334" s="17" t="s">
        <v>39</v>
      </c>
      <c r="L334">
        <v>31</v>
      </c>
      <c r="M334">
        <v>3</v>
      </c>
      <c r="N334">
        <v>2</v>
      </c>
      <c r="O334" s="17" t="s">
        <v>47</v>
      </c>
      <c r="P334" s="14">
        <v>3</v>
      </c>
      <c r="Q334" t="s">
        <v>41</v>
      </c>
      <c r="R334" s="14">
        <v>4869</v>
      </c>
      <c r="S334" s="17" t="str">
        <f t="shared" si="10"/>
        <v>medium</v>
      </c>
      <c r="T334">
        <v>16885</v>
      </c>
      <c r="U334">
        <v>3</v>
      </c>
      <c r="V334" s="17" t="s">
        <v>43</v>
      </c>
      <c r="W334">
        <v>12</v>
      </c>
      <c r="X334">
        <v>3</v>
      </c>
      <c r="Y334">
        <v>4</v>
      </c>
      <c r="Z334">
        <v>0</v>
      </c>
      <c r="AA334">
        <v>20</v>
      </c>
      <c r="AB334">
        <v>4</v>
      </c>
      <c r="AC334">
        <v>2</v>
      </c>
      <c r="AD334" s="14">
        <v>4</v>
      </c>
      <c r="AE334" t="str">
        <f t="shared" si="11"/>
        <v>3-5 years</v>
      </c>
      <c r="AF334" s="14">
        <v>3</v>
      </c>
      <c r="AG334" s="14">
        <v>0</v>
      </c>
      <c r="AH334" s="14">
        <v>3</v>
      </c>
    </row>
    <row r="335" spans="1:34" x14ac:dyDescent="0.3">
      <c r="A335" s="14">
        <v>43</v>
      </c>
      <c r="B335" s="17" t="s">
        <v>43</v>
      </c>
      <c r="C335" t="s">
        <v>36</v>
      </c>
      <c r="D335">
        <v>1001</v>
      </c>
      <c r="E335" s="17" t="s">
        <v>45</v>
      </c>
      <c r="F335">
        <v>7</v>
      </c>
      <c r="G335">
        <v>3</v>
      </c>
      <c r="H335" t="s">
        <v>38</v>
      </c>
      <c r="I335">
        <v>451</v>
      </c>
      <c r="J335">
        <v>3</v>
      </c>
      <c r="K335" s="17" t="s">
        <v>39</v>
      </c>
      <c r="L335">
        <v>43</v>
      </c>
      <c r="M335">
        <v>3</v>
      </c>
      <c r="N335">
        <v>3</v>
      </c>
      <c r="O335" s="17" t="s">
        <v>54</v>
      </c>
      <c r="P335" s="14">
        <v>1</v>
      </c>
      <c r="Q335" t="s">
        <v>48</v>
      </c>
      <c r="R335" s="14">
        <v>9985</v>
      </c>
      <c r="S335" s="17" t="str">
        <f t="shared" si="10"/>
        <v>high</v>
      </c>
      <c r="T335">
        <v>9262</v>
      </c>
      <c r="U335">
        <v>8</v>
      </c>
      <c r="V335" s="17" t="s">
        <v>43</v>
      </c>
      <c r="W335">
        <v>16</v>
      </c>
      <c r="X335">
        <v>3</v>
      </c>
      <c r="Y335">
        <v>1</v>
      </c>
      <c r="Z335">
        <v>1</v>
      </c>
      <c r="AA335">
        <v>10</v>
      </c>
      <c r="AB335">
        <v>1</v>
      </c>
      <c r="AC335">
        <v>2</v>
      </c>
      <c r="AD335" s="14">
        <v>1</v>
      </c>
      <c r="AE335" t="str">
        <f t="shared" si="11"/>
        <v>0-2 years</v>
      </c>
      <c r="AF335" s="14">
        <v>0</v>
      </c>
      <c r="AG335" s="14">
        <v>0</v>
      </c>
      <c r="AH335" s="14">
        <v>0</v>
      </c>
    </row>
    <row r="336" spans="1:34" x14ac:dyDescent="0.3">
      <c r="A336" s="14">
        <v>45</v>
      </c>
      <c r="B336" s="17" t="s">
        <v>43</v>
      </c>
      <c r="C336" t="s">
        <v>36</v>
      </c>
      <c r="D336">
        <v>549</v>
      </c>
      <c r="E336" s="17" t="s">
        <v>45</v>
      </c>
      <c r="F336">
        <v>8</v>
      </c>
      <c r="G336">
        <v>4</v>
      </c>
      <c r="H336" t="s">
        <v>49</v>
      </c>
      <c r="I336">
        <v>452</v>
      </c>
      <c r="J336">
        <v>4</v>
      </c>
      <c r="K336" s="17" t="s">
        <v>46</v>
      </c>
      <c r="L336">
        <v>75</v>
      </c>
      <c r="M336">
        <v>3</v>
      </c>
      <c r="N336">
        <v>2</v>
      </c>
      <c r="O336" s="17" t="s">
        <v>47</v>
      </c>
      <c r="P336" s="14">
        <v>4</v>
      </c>
      <c r="Q336" t="s">
        <v>48</v>
      </c>
      <c r="R336" s="14">
        <v>3697</v>
      </c>
      <c r="S336" s="17" t="str">
        <f t="shared" si="10"/>
        <v>medium</v>
      </c>
      <c r="T336">
        <v>9278</v>
      </c>
      <c r="U336">
        <v>9</v>
      </c>
      <c r="V336" s="17" t="s">
        <v>43</v>
      </c>
      <c r="W336">
        <v>14</v>
      </c>
      <c r="X336">
        <v>3</v>
      </c>
      <c r="Y336">
        <v>1</v>
      </c>
      <c r="Z336">
        <v>2</v>
      </c>
      <c r="AA336">
        <v>12</v>
      </c>
      <c r="AB336">
        <v>3</v>
      </c>
      <c r="AC336">
        <v>3</v>
      </c>
      <c r="AD336" s="14">
        <v>10</v>
      </c>
      <c r="AE336" t="str">
        <f t="shared" si="11"/>
        <v>6-10 years</v>
      </c>
      <c r="AF336" s="14">
        <v>9</v>
      </c>
      <c r="AG336" s="14">
        <v>9</v>
      </c>
      <c r="AH336" s="14">
        <v>8</v>
      </c>
    </row>
    <row r="337" spans="1:34" x14ac:dyDescent="0.3">
      <c r="A337" s="14">
        <v>40</v>
      </c>
      <c r="B337" s="17" t="s">
        <v>43</v>
      </c>
      <c r="C337" t="s">
        <v>36</v>
      </c>
      <c r="D337">
        <v>1124</v>
      </c>
      <c r="E337" s="17" t="s">
        <v>37</v>
      </c>
      <c r="F337">
        <v>1</v>
      </c>
      <c r="G337">
        <v>2</v>
      </c>
      <c r="H337" t="s">
        <v>51</v>
      </c>
      <c r="I337">
        <v>453</v>
      </c>
      <c r="J337">
        <v>2</v>
      </c>
      <c r="K337" s="17" t="s">
        <v>46</v>
      </c>
      <c r="L337">
        <v>57</v>
      </c>
      <c r="M337">
        <v>1</v>
      </c>
      <c r="N337">
        <v>2</v>
      </c>
      <c r="O337" s="17" t="s">
        <v>40</v>
      </c>
      <c r="P337" s="14">
        <v>4</v>
      </c>
      <c r="Q337" t="s">
        <v>48</v>
      </c>
      <c r="R337" s="14">
        <v>7457</v>
      </c>
      <c r="S337" s="17" t="str">
        <f t="shared" si="10"/>
        <v>high</v>
      </c>
      <c r="T337">
        <v>13273</v>
      </c>
      <c r="U337">
        <v>2</v>
      </c>
      <c r="V337" s="17" t="s">
        <v>35</v>
      </c>
      <c r="W337">
        <v>22</v>
      </c>
      <c r="X337">
        <v>4</v>
      </c>
      <c r="Y337">
        <v>3</v>
      </c>
      <c r="Z337">
        <v>3</v>
      </c>
      <c r="AA337">
        <v>6</v>
      </c>
      <c r="AB337">
        <v>2</v>
      </c>
      <c r="AC337">
        <v>2</v>
      </c>
      <c r="AD337" s="14">
        <v>4</v>
      </c>
      <c r="AE337" t="str">
        <f t="shared" si="11"/>
        <v>3-5 years</v>
      </c>
      <c r="AF337" s="14">
        <v>3</v>
      </c>
      <c r="AG337" s="14">
        <v>0</v>
      </c>
      <c r="AH337" s="14">
        <v>2</v>
      </c>
    </row>
    <row r="338" spans="1:34" x14ac:dyDescent="0.3">
      <c r="A338" s="14">
        <v>29</v>
      </c>
      <c r="B338" s="17" t="s">
        <v>35</v>
      </c>
      <c r="C338" t="s">
        <v>36</v>
      </c>
      <c r="D338">
        <v>318</v>
      </c>
      <c r="E338" s="17" t="s">
        <v>45</v>
      </c>
      <c r="F338">
        <v>8</v>
      </c>
      <c r="G338">
        <v>4</v>
      </c>
      <c r="H338" t="s">
        <v>49</v>
      </c>
      <c r="I338">
        <v>454</v>
      </c>
      <c r="J338">
        <v>2</v>
      </c>
      <c r="K338" s="17" t="s">
        <v>46</v>
      </c>
      <c r="L338">
        <v>77</v>
      </c>
      <c r="M338">
        <v>1</v>
      </c>
      <c r="N338">
        <v>1</v>
      </c>
      <c r="O338" s="17" t="s">
        <v>50</v>
      </c>
      <c r="P338" s="14">
        <v>1</v>
      </c>
      <c r="Q338" t="s">
        <v>48</v>
      </c>
      <c r="R338" s="14">
        <v>2119</v>
      </c>
      <c r="S338" s="17" t="str">
        <f t="shared" si="10"/>
        <v>low</v>
      </c>
      <c r="T338">
        <v>4759</v>
      </c>
      <c r="U338">
        <v>1</v>
      </c>
      <c r="V338" s="17" t="s">
        <v>35</v>
      </c>
      <c r="W338">
        <v>11</v>
      </c>
      <c r="X338">
        <v>3</v>
      </c>
      <c r="Y338">
        <v>4</v>
      </c>
      <c r="Z338">
        <v>0</v>
      </c>
      <c r="AA338">
        <v>7</v>
      </c>
      <c r="AB338">
        <v>4</v>
      </c>
      <c r="AC338">
        <v>2</v>
      </c>
      <c r="AD338" s="14">
        <v>7</v>
      </c>
      <c r="AE338" t="str">
        <f t="shared" si="11"/>
        <v>6-10 years</v>
      </c>
      <c r="AF338" s="14">
        <v>7</v>
      </c>
      <c r="AG338" s="14">
        <v>0</v>
      </c>
      <c r="AH338" s="14">
        <v>7</v>
      </c>
    </row>
    <row r="339" spans="1:34" x14ac:dyDescent="0.3">
      <c r="A339" s="14">
        <v>29</v>
      </c>
      <c r="B339" s="17" t="s">
        <v>43</v>
      </c>
      <c r="C339" t="s">
        <v>36</v>
      </c>
      <c r="D339">
        <v>738</v>
      </c>
      <c r="E339" s="17" t="s">
        <v>45</v>
      </c>
      <c r="F339">
        <v>9</v>
      </c>
      <c r="G339">
        <v>5</v>
      </c>
      <c r="H339" t="s">
        <v>49</v>
      </c>
      <c r="I339">
        <v>455</v>
      </c>
      <c r="J339">
        <v>2</v>
      </c>
      <c r="K339" s="17" t="s">
        <v>46</v>
      </c>
      <c r="L339">
        <v>30</v>
      </c>
      <c r="M339">
        <v>2</v>
      </c>
      <c r="N339">
        <v>1</v>
      </c>
      <c r="O339" s="17" t="s">
        <v>50</v>
      </c>
      <c r="P339" s="14">
        <v>4</v>
      </c>
      <c r="Q339" t="s">
        <v>41</v>
      </c>
      <c r="R339" s="14">
        <v>3983</v>
      </c>
      <c r="S339" s="17" t="str">
        <f t="shared" si="10"/>
        <v>medium</v>
      </c>
      <c r="T339">
        <v>7621</v>
      </c>
      <c r="U339">
        <v>0</v>
      </c>
      <c r="V339" s="17" t="s">
        <v>43</v>
      </c>
      <c r="W339">
        <v>17</v>
      </c>
      <c r="X339">
        <v>3</v>
      </c>
      <c r="Y339">
        <v>3</v>
      </c>
      <c r="Z339">
        <v>0</v>
      </c>
      <c r="AA339">
        <v>4</v>
      </c>
      <c r="AB339">
        <v>2</v>
      </c>
      <c r="AC339">
        <v>3</v>
      </c>
      <c r="AD339" s="14">
        <v>3</v>
      </c>
      <c r="AE339" t="str">
        <f t="shared" si="11"/>
        <v>3-5 years</v>
      </c>
      <c r="AF339" s="14">
        <v>2</v>
      </c>
      <c r="AG339" s="14">
        <v>2</v>
      </c>
      <c r="AH339" s="14">
        <v>2</v>
      </c>
    </row>
    <row r="340" spans="1:34" x14ac:dyDescent="0.3">
      <c r="A340" s="14">
        <v>30</v>
      </c>
      <c r="B340" s="17" t="s">
        <v>43</v>
      </c>
      <c r="C340" t="s">
        <v>36</v>
      </c>
      <c r="D340">
        <v>570</v>
      </c>
      <c r="E340" s="17" t="s">
        <v>37</v>
      </c>
      <c r="F340">
        <v>5</v>
      </c>
      <c r="G340">
        <v>3</v>
      </c>
      <c r="H340" t="s">
        <v>59</v>
      </c>
      <c r="I340">
        <v>456</v>
      </c>
      <c r="J340">
        <v>4</v>
      </c>
      <c r="K340" s="17" t="s">
        <v>39</v>
      </c>
      <c r="L340">
        <v>30</v>
      </c>
      <c r="M340">
        <v>2</v>
      </c>
      <c r="N340">
        <v>2</v>
      </c>
      <c r="O340" s="17" t="s">
        <v>40</v>
      </c>
      <c r="P340" s="14">
        <v>3</v>
      </c>
      <c r="Q340" t="s">
        <v>52</v>
      </c>
      <c r="R340" s="14">
        <v>6118</v>
      </c>
      <c r="S340" s="17" t="str">
        <f t="shared" si="10"/>
        <v>medium</v>
      </c>
      <c r="T340">
        <v>5431</v>
      </c>
      <c r="U340">
        <v>1</v>
      </c>
      <c r="V340" s="17" t="s">
        <v>43</v>
      </c>
      <c r="W340">
        <v>13</v>
      </c>
      <c r="X340">
        <v>3</v>
      </c>
      <c r="Y340">
        <v>3</v>
      </c>
      <c r="Z340">
        <v>3</v>
      </c>
      <c r="AA340">
        <v>10</v>
      </c>
      <c r="AB340">
        <v>2</v>
      </c>
      <c r="AC340">
        <v>3</v>
      </c>
      <c r="AD340" s="14">
        <v>10</v>
      </c>
      <c r="AE340" t="str">
        <f t="shared" si="11"/>
        <v>6-10 years</v>
      </c>
      <c r="AF340" s="14">
        <v>9</v>
      </c>
      <c r="AG340" s="14">
        <v>1</v>
      </c>
      <c r="AH340" s="14">
        <v>2</v>
      </c>
    </row>
    <row r="341" spans="1:34" x14ac:dyDescent="0.3">
      <c r="A341" s="14">
        <v>27</v>
      </c>
      <c r="B341" s="17" t="s">
        <v>43</v>
      </c>
      <c r="C341" t="s">
        <v>36</v>
      </c>
      <c r="D341">
        <v>1130</v>
      </c>
      <c r="E341" s="17" t="s">
        <v>37</v>
      </c>
      <c r="F341">
        <v>8</v>
      </c>
      <c r="G341">
        <v>4</v>
      </c>
      <c r="H341" t="s">
        <v>59</v>
      </c>
      <c r="I341">
        <v>458</v>
      </c>
      <c r="J341">
        <v>2</v>
      </c>
      <c r="K341" s="17" t="s">
        <v>39</v>
      </c>
      <c r="L341">
        <v>56</v>
      </c>
      <c r="M341">
        <v>3</v>
      </c>
      <c r="N341">
        <v>2</v>
      </c>
      <c r="O341" s="17" t="s">
        <v>40</v>
      </c>
      <c r="P341" s="14">
        <v>2</v>
      </c>
      <c r="Q341" t="s">
        <v>48</v>
      </c>
      <c r="R341" s="14">
        <v>6214</v>
      </c>
      <c r="S341" s="17" t="str">
        <f t="shared" si="10"/>
        <v>medium</v>
      </c>
      <c r="T341">
        <v>3415</v>
      </c>
      <c r="U341">
        <v>1</v>
      </c>
      <c r="V341" s="17" t="s">
        <v>43</v>
      </c>
      <c r="W341">
        <v>18</v>
      </c>
      <c r="X341">
        <v>3</v>
      </c>
      <c r="Y341">
        <v>1</v>
      </c>
      <c r="Z341">
        <v>1</v>
      </c>
      <c r="AA341">
        <v>8</v>
      </c>
      <c r="AB341">
        <v>3</v>
      </c>
      <c r="AC341">
        <v>3</v>
      </c>
      <c r="AD341" s="14">
        <v>8</v>
      </c>
      <c r="AE341" t="str">
        <f t="shared" si="11"/>
        <v>6-10 years</v>
      </c>
      <c r="AF341" s="14">
        <v>7</v>
      </c>
      <c r="AG341" s="14">
        <v>0</v>
      </c>
      <c r="AH341" s="14">
        <v>7</v>
      </c>
    </row>
    <row r="342" spans="1:34" x14ac:dyDescent="0.3">
      <c r="A342" s="14">
        <v>37</v>
      </c>
      <c r="B342" s="17" t="s">
        <v>43</v>
      </c>
      <c r="C342" t="s">
        <v>36</v>
      </c>
      <c r="D342">
        <v>1192</v>
      </c>
      <c r="E342" s="17" t="s">
        <v>45</v>
      </c>
      <c r="F342">
        <v>5</v>
      </c>
      <c r="G342">
        <v>2</v>
      </c>
      <c r="H342" t="s">
        <v>51</v>
      </c>
      <c r="I342">
        <v>460</v>
      </c>
      <c r="J342">
        <v>4</v>
      </c>
      <c r="K342" s="17" t="s">
        <v>46</v>
      </c>
      <c r="L342">
        <v>61</v>
      </c>
      <c r="M342">
        <v>3</v>
      </c>
      <c r="N342">
        <v>2</v>
      </c>
      <c r="O342" s="17" t="s">
        <v>53</v>
      </c>
      <c r="P342" s="14">
        <v>4</v>
      </c>
      <c r="Q342" t="s">
        <v>52</v>
      </c>
      <c r="R342" s="14">
        <v>6347</v>
      </c>
      <c r="S342" s="17" t="str">
        <f t="shared" si="10"/>
        <v>medium</v>
      </c>
      <c r="T342">
        <v>23177</v>
      </c>
      <c r="U342">
        <v>7</v>
      </c>
      <c r="V342" s="17" t="s">
        <v>43</v>
      </c>
      <c r="W342">
        <v>16</v>
      </c>
      <c r="X342">
        <v>3</v>
      </c>
      <c r="Y342">
        <v>3</v>
      </c>
      <c r="Z342">
        <v>2</v>
      </c>
      <c r="AA342">
        <v>8</v>
      </c>
      <c r="AB342">
        <v>2</v>
      </c>
      <c r="AC342">
        <v>2</v>
      </c>
      <c r="AD342" s="14">
        <v>6</v>
      </c>
      <c r="AE342" t="str">
        <f t="shared" si="11"/>
        <v>6-10 years</v>
      </c>
      <c r="AF342" s="14">
        <v>2</v>
      </c>
      <c r="AG342" s="14">
        <v>0</v>
      </c>
      <c r="AH342" s="14">
        <v>4</v>
      </c>
    </row>
    <row r="343" spans="1:34" x14ac:dyDescent="0.3">
      <c r="A343" s="14">
        <v>38</v>
      </c>
      <c r="B343" s="17" t="s">
        <v>43</v>
      </c>
      <c r="C343" t="s">
        <v>36</v>
      </c>
      <c r="D343">
        <v>343</v>
      </c>
      <c r="E343" s="17" t="s">
        <v>45</v>
      </c>
      <c r="F343">
        <v>15</v>
      </c>
      <c r="G343">
        <v>2</v>
      </c>
      <c r="H343" t="s">
        <v>38</v>
      </c>
      <c r="I343">
        <v>461</v>
      </c>
      <c r="J343">
        <v>3</v>
      </c>
      <c r="K343" s="17" t="s">
        <v>46</v>
      </c>
      <c r="L343">
        <v>92</v>
      </c>
      <c r="M343">
        <v>2</v>
      </c>
      <c r="N343">
        <v>3</v>
      </c>
      <c r="O343" s="17" t="s">
        <v>58</v>
      </c>
      <c r="P343" s="14">
        <v>4</v>
      </c>
      <c r="Q343" t="s">
        <v>52</v>
      </c>
      <c r="R343" s="14">
        <v>11510</v>
      </c>
      <c r="S343" s="17" t="str">
        <f t="shared" si="10"/>
        <v>high</v>
      </c>
      <c r="T343">
        <v>15682</v>
      </c>
      <c r="U343">
        <v>0</v>
      </c>
      <c r="V343" s="17" t="s">
        <v>35</v>
      </c>
      <c r="W343">
        <v>14</v>
      </c>
      <c r="X343">
        <v>3</v>
      </c>
      <c r="Y343">
        <v>2</v>
      </c>
      <c r="Z343">
        <v>1</v>
      </c>
      <c r="AA343">
        <v>12</v>
      </c>
      <c r="AB343">
        <v>3</v>
      </c>
      <c r="AC343">
        <v>3</v>
      </c>
      <c r="AD343" s="14">
        <v>11</v>
      </c>
      <c r="AE343" t="str">
        <f t="shared" si="11"/>
        <v>10+ years</v>
      </c>
      <c r="AF343" s="14">
        <v>10</v>
      </c>
      <c r="AG343" s="14">
        <v>2</v>
      </c>
      <c r="AH343" s="14">
        <v>9</v>
      </c>
    </row>
    <row r="344" spans="1:34" x14ac:dyDescent="0.3">
      <c r="A344" s="14">
        <v>31</v>
      </c>
      <c r="B344" s="17" t="s">
        <v>43</v>
      </c>
      <c r="C344" t="s">
        <v>36</v>
      </c>
      <c r="D344">
        <v>1232</v>
      </c>
      <c r="E344" s="17" t="s">
        <v>45</v>
      </c>
      <c r="F344">
        <v>7</v>
      </c>
      <c r="G344">
        <v>4</v>
      </c>
      <c r="H344" t="s">
        <v>51</v>
      </c>
      <c r="I344">
        <v>462</v>
      </c>
      <c r="J344">
        <v>3</v>
      </c>
      <c r="K344" s="17" t="s">
        <v>39</v>
      </c>
      <c r="L344">
        <v>39</v>
      </c>
      <c r="M344">
        <v>3</v>
      </c>
      <c r="N344">
        <v>3</v>
      </c>
      <c r="O344" s="17" t="s">
        <v>53</v>
      </c>
      <c r="P344" s="14">
        <v>4</v>
      </c>
      <c r="Q344" t="s">
        <v>41</v>
      </c>
      <c r="R344" s="14">
        <v>7143</v>
      </c>
      <c r="S344" s="17" t="str">
        <f t="shared" si="10"/>
        <v>high</v>
      </c>
      <c r="T344">
        <v>25713</v>
      </c>
      <c r="U344">
        <v>1</v>
      </c>
      <c r="V344" s="17" t="s">
        <v>35</v>
      </c>
      <c r="W344">
        <v>14</v>
      </c>
      <c r="X344">
        <v>3</v>
      </c>
      <c r="Y344">
        <v>3</v>
      </c>
      <c r="Z344">
        <v>0</v>
      </c>
      <c r="AA344">
        <v>11</v>
      </c>
      <c r="AB344">
        <v>2</v>
      </c>
      <c r="AC344">
        <v>2</v>
      </c>
      <c r="AD344" s="14">
        <v>11</v>
      </c>
      <c r="AE344" t="str">
        <f t="shared" si="11"/>
        <v>10+ years</v>
      </c>
      <c r="AF344" s="14">
        <v>9</v>
      </c>
      <c r="AG344" s="14">
        <v>4</v>
      </c>
      <c r="AH344" s="14">
        <v>10</v>
      </c>
    </row>
    <row r="345" spans="1:34" x14ac:dyDescent="0.3">
      <c r="A345" s="14">
        <v>29</v>
      </c>
      <c r="B345" s="17" t="s">
        <v>43</v>
      </c>
      <c r="C345" t="s">
        <v>36</v>
      </c>
      <c r="D345">
        <v>144</v>
      </c>
      <c r="E345" s="17" t="s">
        <v>37</v>
      </c>
      <c r="F345">
        <v>10</v>
      </c>
      <c r="G345">
        <v>1</v>
      </c>
      <c r="H345" t="s">
        <v>59</v>
      </c>
      <c r="I345">
        <v>463</v>
      </c>
      <c r="J345">
        <v>4</v>
      </c>
      <c r="K345" s="17" t="s">
        <v>39</v>
      </c>
      <c r="L345">
        <v>39</v>
      </c>
      <c r="M345">
        <v>2</v>
      </c>
      <c r="N345">
        <v>2</v>
      </c>
      <c r="O345" s="17" t="s">
        <v>40</v>
      </c>
      <c r="P345" s="14">
        <v>2</v>
      </c>
      <c r="Q345" t="s">
        <v>52</v>
      </c>
      <c r="R345" s="14">
        <v>8268</v>
      </c>
      <c r="S345" s="17" t="str">
        <f t="shared" si="10"/>
        <v>high</v>
      </c>
      <c r="T345">
        <v>11866</v>
      </c>
      <c r="U345">
        <v>1</v>
      </c>
      <c r="V345" s="17" t="s">
        <v>35</v>
      </c>
      <c r="W345">
        <v>14</v>
      </c>
      <c r="X345">
        <v>3</v>
      </c>
      <c r="Y345">
        <v>1</v>
      </c>
      <c r="Z345">
        <v>2</v>
      </c>
      <c r="AA345">
        <v>7</v>
      </c>
      <c r="AB345">
        <v>2</v>
      </c>
      <c r="AC345">
        <v>3</v>
      </c>
      <c r="AD345" s="14">
        <v>7</v>
      </c>
      <c r="AE345" t="str">
        <f t="shared" si="11"/>
        <v>6-10 years</v>
      </c>
      <c r="AF345" s="14">
        <v>7</v>
      </c>
      <c r="AG345" s="14">
        <v>1</v>
      </c>
      <c r="AH345" s="14">
        <v>7</v>
      </c>
    </row>
    <row r="346" spans="1:34" x14ac:dyDescent="0.3">
      <c r="A346" s="14">
        <v>35</v>
      </c>
      <c r="B346" s="17" t="s">
        <v>43</v>
      </c>
      <c r="C346" t="s">
        <v>36</v>
      </c>
      <c r="D346">
        <v>1296</v>
      </c>
      <c r="E346" s="17" t="s">
        <v>45</v>
      </c>
      <c r="F346">
        <v>5</v>
      </c>
      <c r="G346">
        <v>4</v>
      </c>
      <c r="H346" t="s">
        <v>60</v>
      </c>
      <c r="I346">
        <v>464</v>
      </c>
      <c r="J346">
        <v>3</v>
      </c>
      <c r="K346" s="17" t="s">
        <v>46</v>
      </c>
      <c r="L346">
        <v>62</v>
      </c>
      <c r="M346">
        <v>3</v>
      </c>
      <c r="N346">
        <v>3</v>
      </c>
      <c r="O346" s="17" t="s">
        <v>53</v>
      </c>
      <c r="P346" s="14">
        <v>2</v>
      </c>
      <c r="Q346" t="s">
        <v>41</v>
      </c>
      <c r="R346" s="14">
        <v>8095</v>
      </c>
      <c r="S346" s="17" t="str">
        <f t="shared" si="10"/>
        <v>high</v>
      </c>
      <c r="T346">
        <v>18264</v>
      </c>
      <c r="U346">
        <v>0</v>
      </c>
      <c r="V346" s="17" t="s">
        <v>43</v>
      </c>
      <c r="W346">
        <v>13</v>
      </c>
      <c r="X346">
        <v>3</v>
      </c>
      <c r="Y346">
        <v>4</v>
      </c>
      <c r="Z346">
        <v>0</v>
      </c>
      <c r="AA346">
        <v>17</v>
      </c>
      <c r="AB346">
        <v>5</v>
      </c>
      <c r="AC346">
        <v>3</v>
      </c>
      <c r="AD346" s="14">
        <v>16</v>
      </c>
      <c r="AE346" t="str">
        <f t="shared" si="11"/>
        <v>10+ years</v>
      </c>
      <c r="AF346" s="14">
        <v>6</v>
      </c>
      <c r="AG346" s="14">
        <v>0</v>
      </c>
      <c r="AH346" s="14">
        <v>13</v>
      </c>
    </row>
    <row r="347" spans="1:34" x14ac:dyDescent="0.3">
      <c r="A347" s="14">
        <v>23</v>
      </c>
      <c r="B347" s="17" t="s">
        <v>43</v>
      </c>
      <c r="C347" t="s">
        <v>36</v>
      </c>
      <c r="D347">
        <v>1309</v>
      </c>
      <c r="E347" s="17" t="s">
        <v>45</v>
      </c>
      <c r="F347">
        <v>26</v>
      </c>
      <c r="G347">
        <v>1</v>
      </c>
      <c r="H347" t="s">
        <v>38</v>
      </c>
      <c r="I347">
        <v>465</v>
      </c>
      <c r="J347">
        <v>3</v>
      </c>
      <c r="K347" s="17" t="s">
        <v>46</v>
      </c>
      <c r="L347">
        <v>83</v>
      </c>
      <c r="M347">
        <v>3</v>
      </c>
      <c r="N347">
        <v>1</v>
      </c>
      <c r="O347" s="17" t="s">
        <v>47</v>
      </c>
      <c r="P347" s="14">
        <v>4</v>
      </c>
      <c r="Q347" t="s">
        <v>52</v>
      </c>
      <c r="R347" s="14">
        <v>2904</v>
      </c>
      <c r="S347" s="17" t="str">
        <f t="shared" si="10"/>
        <v>low</v>
      </c>
      <c r="T347">
        <v>16092</v>
      </c>
      <c r="U347">
        <v>1</v>
      </c>
      <c r="V347" s="17" t="s">
        <v>43</v>
      </c>
      <c r="W347">
        <v>12</v>
      </c>
      <c r="X347">
        <v>3</v>
      </c>
      <c r="Y347">
        <v>3</v>
      </c>
      <c r="Z347">
        <v>2</v>
      </c>
      <c r="AA347">
        <v>4</v>
      </c>
      <c r="AB347">
        <v>2</v>
      </c>
      <c r="AC347">
        <v>2</v>
      </c>
      <c r="AD347" s="14">
        <v>4</v>
      </c>
      <c r="AE347" t="str">
        <f t="shared" si="11"/>
        <v>3-5 years</v>
      </c>
      <c r="AF347" s="14">
        <v>2</v>
      </c>
      <c r="AG347" s="14">
        <v>0</v>
      </c>
      <c r="AH347" s="14">
        <v>2</v>
      </c>
    </row>
    <row r="348" spans="1:34" x14ac:dyDescent="0.3">
      <c r="A348" s="14">
        <v>41</v>
      </c>
      <c r="B348" s="17" t="s">
        <v>43</v>
      </c>
      <c r="C348" t="s">
        <v>36</v>
      </c>
      <c r="D348">
        <v>483</v>
      </c>
      <c r="E348" s="17" t="s">
        <v>45</v>
      </c>
      <c r="F348">
        <v>6</v>
      </c>
      <c r="G348">
        <v>3</v>
      </c>
      <c r="H348" t="s">
        <v>51</v>
      </c>
      <c r="I348">
        <v>466</v>
      </c>
      <c r="J348">
        <v>4</v>
      </c>
      <c r="K348" s="17" t="s">
        <v>46</v>
      </c>
      <c r="L348">
        <v>95</v>
      </c>
      <c r="M348">
        <v>2</v>
      </c>
      <c r="N348">
        <v>2</v>
      </c>
      <c r="O348" s="17" t="s">
        <v>53</v>
      </c>
      <c r="P348" s="14">
        <v>2</v>
      </c>
      <c r="Q348" t="s">
        <v>41</v>
      </c>
      <c r="R348" s="14">
        <v>6032</v>
      </c>
      <c r="S348" s="17" t="str">
        <f t="shared" si="10"/>
        <v>medium</v>
      </c>
      <c r="T348">
        <v>10110</v>
      </c>
      <c r="U348">
        <v>6</v>
      </c>
      <c r="V348" s="17" t="s">
        <v>35</v>
      </c>
      <c r="W348">
        <v>15</v>
      </c>
      <c r="X348">
        <v>3</v>
      </c>
      <c r="Y348">
        <v>4</v>
      </c>
      <c r="Z348">
        <v>0</v>
      </c>
      <c r="AA348">
        <v>8</v>
      </c>
      <c r="AB348">
        <v>3</v>
      </c>
      <c r="AC348">
        <v>3</v>
      </c>
      <c r="AD348" s="14">
        <v>5</v>
      </c>
      <c r="AE348" t="str">
        <f t="shared" si="11"/>
        <v>3-5 years</v>
      </c>
      <c r="AF348" s="14">
        <v>4</v>
      </c>
      <c r="AG348" s="14">
        <v>1</v>
      </c>
      <c r="AH348" s="14">
        <v>2</v>
      </c>
    </row>
    <row r="349" spans="1:34" x14ac:dyDescent="0.3">
      <c r="A349" s="14">
        <v>47</v>
      </c>
      <c r="B349" s="17" t="s">
        <v>43</v>
      </c>
      <c r="C349" t="s">
        <v>44</v>
      </c>
      <c r="D349">
        <v>1309</v>
      </c>
      <c r="E349" s="17" t="s">
        <v>37</v>
      </c>
      <c r="F349">
        <v>4</v>
      </c>
      <c r="G349">
        <v>1</v>
      </c>
      <c r="H349" t="s">
        <v>51</v>
      </c>
      <c r="I349">
        <v>467</v>
      </c>
      <c r="J349">
        <v>2</v>
      </c>
      <c r="K349" s="17" t="s">
        <v>46</v>
      </c>
      <c r="L349">
        <v>99</v>
      </c>
      <c r="M349">
        <v>3</v>
      </c>
      <c r="N349">
        <v>2</v>
      </c>
      <c r="O349" s="17" t="s">
        <v>57</v>
      </c>
      <c r="P349" s="14">
        <v>3</v>
      </c>
      <c r="Q349" t="s">
        <v>41</v>
      </c>
      <c r="R349" s="14">
        <v>2976</v>
      </c>
      <c r="S349" s="17" t="str">
        <f t="shared" si="10"/>
        <v>low</v>
      </c>
      <c r="T349">
        <v>25751</v>
      </c>
      <c r="U349">
        <v>3</v>
      </c>
      <c r="V349" s="17" t="s">
        <v>43</v>
      </c>
      <c r="W349">
        <v>19</v>
      </c>
      <c r="X349">
        <v>3</v>
      </c>
      <c r="Y349">
        <v>1</v>
      </c>
      <c r="Z349">
        <v>0</v>
      </c>
      <c r="AA349">
        <v>5</v>
      </c>
      <c r="AB349">
        <v>3</v>
      </c>
      <c r="AC349">
        <v>3</v>
      </c>
      <c r="AD349" s="14">
        <v>0</v>
      </c>
      <c r="AE349" t="str">
        <f t="shared" si="11"/>
        <v>0-2 years</v>
      </c>
      <c r="AF349" s="14">
        <v>0</v>
      </c>
      <c r="AG349" s="14">
        <v>0</v>
      </c>
      <c r="AH349" s="14">
        <v>0</v>
      </c>
    </row>
    <row r="350" spans="1:34" x14ac:dyDescent="0.3">
      <c r="A350" s="14">
        <v>42</v>
      </c>
      <c r="B350" s="17" t="s">
        <v>43</v>
      </c>
      <c r="C350" t="s">
        <v>36</v>
      </c>
      <c r="D350">
        <v>810</v>
      </c>
      <c r="E350" s="17" t="s">
        <v>45</v>
      </c>
      <c r="F350">
        <v>23</v>
      </c>
      <c r="G350">
        <v>5</v>
      </c>
      <c r="H350" t="s">
        <v>38</v>
      </c>
      <c r="I350">
        <v>468</v>
      </c>
      <c r="J350">
        <v>1</v>
      </c>
      <c r="K350" s="17" t="s">
        <v>39</v>
      </c>
      <c r="L350">
        <v>44</v>
      </c>
      <c r="M350">
        <v>3</v>
      </c>
      <c r="N350">
        <v>4</v>
      </c>
      <c r="O350" s="17" t="s">
        <v>58</v>
      </c>
      <c r="P350" s="14">
        <v>4</v>
      </c>
      <c r="Q350" t="s">
        <v>41</v>
      </c>
      <c r="R350" s="14">
        <v>15992</v>
      </c>
      <c r="S350" s="17" t="str">
        <f t="shared" si="10"/>
        <v>high</v>
      </c>
      <c r="T350">
        <v>15901</v>
      </c>
      <c r="U350">
        <v>2</v>
      </c>
      <c r="V350" s="17" t="s">
        <v>43</v>
      </c>
      <c r="W350">
        <v>14</v>
      </c>
      <c r="X350">
        <v>3</v>
      </c>
      <c r="Y350">
        <v>2</v>
      </c>
      <c r="Z350">
        <v>0</v>
      </c>
      <c r="AA350">
        <v>16</v>
      </c>
      <c r="AB350">
        <v>2</v>
      </c>
      <c r="AC350">
        <v>3</v>
      </c>
      <c r="AD350" s="14">
        <v>1</v>
      </c>
      <c r="AE350" t="str">
        <f t="shared" si="11"/>
        <v>0-2 years</v>
      </c>
      <c r="AF350" s="14">
        <v>0</v>
      </c>
      <c r="AG350" s="14">
        <v>0</v>
      </c>
      <c r="AH350" s="14">
        <v>0</v>
      </c>
    </row>
    <row r="351" spans="1:34" x14ac:dyDescent="0.3">
      <c r="A351" s="14">
        <v>29</v>
      </c>
      <c r="B351" s="17" t="s">
        <v>43</v>
      </c>
      <c r="C351" t="s">
        <v>55</v>
      </c>
      <c r="D351">
        <v>746</v>
      </c>
      <c r="E351" s="17" t="s">
        <v>37</v>
      </c>
      <c r="F351">
        <v>2</v>
      </c>
      <c r="G351">
        <v>3</v>
      </c>
      <c r="H351" t="s">
        <v>38</v>
      </c>
      <c r="I351">
        <v>469</v>
      </c>
      <c r="J351">
        <v>4</v>
      </c>
      <c r="K351" s="17" t="s">
        <v>46</v>
      </c>
      <c r="L351">
        <v>61</v>
      </c>
      <c r="M351">
        <v>3</v>
      </c>
      <c r="N351">
        <v>2</v>
      </c>
      <c r="O351" s="17" t="s">
        <v>40</v>
      </c>
      <c r="P351" s="14">
        <v>3</v>
      </c>
      <c r="Q351" t="s">
        <v>48</v>
      </c>
      <c r="R351" s="14">
        <v>4649</v>
      </c>
      <c r="S351" s="17" t="str">
        <f t="shared" si="10"/>
        <v>medium</v>
      </c>
      <c r="T351">
        <v>16928</v>
      </c>
      <c r="U351">
        <v>1</v>
      </c>
      <c r="V351" s="17" t="s">
        <v>43</v>
      </c>
      <c r="W351">
        <v>14</v>
      </c>
      <c r="X351">
        <v>3</v>
      </c>
      <c r="Y351">
        <v>1</v>
      </c>
      <c r="Z351">
        <v>1</v>
      </c>
      <c r="AA351">
        <v>4</v>
      </c>
      <c r="AB351">
        <v>3</v>
      </c>
      <c r="AC351">
        <v>2</v>
      </c>
      <c r="AD351" s="14">
        <v>4</v>
      </c>
      <c r="AE351" t="str">
        <f t="shared" si="11"/>
        <v>3-5 years</v>
      </c>
      <c r="AF351" s="14">
        <v>3</v>
      </c>
      <c r="AG351" s="14">
        <v>0</v>
      </c>
      <c r="AH351" s="14">
        <v>2</v>
      </c>
    </row>
    <row r="352" spans="1:34" x14ac:dyDescent="0.3">
      <c r="A352" s="14">
        <v>42</v>
      </c>
      <c r="B352" s="17" t="s">
        <v>43</v>
      </c>
      <c r="C352" t="s">
        <v>36</v>
      </c>
      <c r="D352">
        <v>544</v>
      </c>
      <c r="E352" s="17" t="s">
        <v>61</v>
      </c>
      <c r="F352">
        <v>2</v>
      </c>
      <c r="G352">
        <v>1</v>
      </c>
      <c r="H352" t="s">
        <v>60</v>
      </c>
      <c r="I352">
        <v>470</v>
      </c>
      <c r="J352">
        <v>3</v>
      </c>
      <c r="K352" s="17" t="s">
        <v>46</v>
      </c>
      <c r="L352">
        <v>52</v>
      </c>
      <c r="M352">
        <v>3</v>
      </c>
      <c r="N352">
        <v>1</v>
      </c>
      <c r="O352" s="17" t="s">
        <v>61</v>
      </c>
      <c r="P352" s="14">
        <v>3</v>
      </c>
      <c r="Q352" t="s">
        <v>52</v>
      </c>
      <c r="R352" s="14">
        <v>2696</v>
      </c>
      <c r="S352" s="17" t="str">
        <f t="shared" si="10"/>
        <v>low</v>
      </c>
      <c r="T352">
        <v>24017</v>
      </c>
      <c r="U352">
        <v>0</v>
      </c>
      <c r="V352" s="17" t="s">
        <v>35</v>
      </c>
      <c r="W352">
        <v>11</v>
      </c>
      <c r="X352">
        <v>3</v>
      </c>
      <c r="Y352">
        <v>3</v>
      </c>
      <c r="Z352">
        <v>1</v>
      </c>
      <c r="AA352">
        <v>4</v>
      </c>
      <c r="AB352">
        <v>5</v>
      </c>
      <c r="AC352">
        <v>3</v>
      </c>
      <c r="AD352" s="14">
        <v>3</v>
      </c>
      <c r="AE352" t="str">
        <f t="shared" si="11"/>
        <v>3-5 years</v>
      </c>
      <c r="AF352" s="14">
        <v>2</v>
      </c>
      <c r="AG352" s="14">
        <v>1</v>
      </c>
      <c r="AH352" s="14">
        <v>0</v>
      </c>
    </row>
    <row r="353" spans="1:34" x14ac:dyDescent="0.3">
      <c r="A353" s="14">
        <v>32</v>
      </c>
      <c r="B353" s="17" t="s">
        <v>43</v>
      </c>
      <c r="C353" t="s">
        <v>36</v>
      </c>
      <c r="D353">
        <v>1062</v>
      </c>
      <c r="E353" s="17" t="s">
        <v>45</v>
      </c>
      <c r="F353">
        <v>2</v>
      </c>
      <c r="G353">
        <v>3</v>
      </c>
      <c r="H353" t="s">
        <v>51</v>
      </c>
      <c r="I353">
        <v>471</v>
      </c>
      <c r="J353">
        <v>3</v>
      </c>
      <c r="K353" s="17" t="s">
        <v>39</v>
      </c>
      <c r="L353">
        <v>75</v>
      </c>
      <c r="M353">
        <v>3</v>
      </c>
      <c r="N353">
        <v>1</v>
      </c>
      <c r="O353" s="17" t="s">
        <v>50</v>
      </c>
      <c r="P353" s="14">
        <v>2</v>
      </c>
      <c r="Q353" t="s">
        <v>48</v>
      </c>
      <c r="R353" s="14">
        <v>2370</v>
      </c>
      <c r="S353" s="17" t="str">
        <f t="shared" si="10"/>
        <v>low</v>
      </c>
      <c r="T353">
        <v>3956</v>
      </c>
      <c r="U353">
        <v>1</v>
      </c>
      <c r="V353" s="17" t="s">
        <v>43</v>
      </c>
      <c r="W353">
        <v>13</v>
      </c>
      <c r="X353">
        <v>3</v>
      </c>
      <c r="Y353">
        <v>3</v>
      </c>
      <c r="Z353">
        <v>1</v>
      </c>
      <c r="AA353">
        <v>8</v>
      </c>
      <c r="AB353">
        <v>4</v>
      </c>
      <c r="AC353">
        <v>3</v>
      </c>
      <c r="AD353" s="14">
        <v>8</v>
      </c>
      <c r="AE353" t="str">
        <f t="shared" si="11"/>
        <v>6-10 years</v>
      </c>
      <c r="AF353" s="14">
        <v>0</v>
      </c>
      <c r="AG353" s="14">
        <v>0</v>
      </c>
      <c r="AH353" s="14">
        <v>7</v>
      </c>
    </row>
    <row r="354" spans="1:34" x14ac:dyDescent="0.3">
      <c r="A354" s="14">
        <v>48</v>
      </c>
      <c r="B354" s="17" t="s">
        <v>43</v>
      </c>
      <c r="C354" t="s">
        <v>36</v>
      </c>
      <c r="D354">
        <v>530</v>
      </c>
      <c r="E354" s="17" t="s">
        <v>37</v>
      </c>
      <c r="F354">
        <v>29</v>
      </c>
      <c r="G354">
        <v>1</v>
      </c>
      <c r="H354" t="s">
        <v>51</v>
      </c>
      <c r="I354">
        <v>473</v>
      </c>
      <c r="J354">
        <v>1</v>
      </c>
      <c r="K354" s="17" t="s">
        <v>39</v>
      </c>
      <c r="L354">
        <v>91</v>
      </c>
      <c r="M354">
        <v>3</v>
      </c>
      <c r="N354">
        <v>3</v>
      </c>
      <c r="O354" s="17" t="s">
        <v>56</v>
      </c>
      <c r="P354" s="14">
        <v>3</v>
      </c>
      <c r="Q354" t="s">
        <v>48</v>
      </c>
      <c r="R354" s="14">
        <v>12504</v>
      </c>
      <c r="S354" s="17" t="str">
        <f t="shared" si="10"/>
        <v>high</v>
      </c>
      <c r="T354">
        <v>23978</v>
      </c>
      <c r="U354">
        <v>3</v>
      </c>
      <c r="V354" s="17" t="s">
        <v>43</v>
      </c>
      <c r="W354">
        <v>21</v>
      </c>
      <c r="X354">
        <v>4</v>
      </c>
      <c r="Y354">
        <v>2</v>
      </c>
      <c r="Z354">
        <v>1</v>
      </c>
      <c r="AA354">
        <v>15</v>
      </c>
      <c r="AB354">
        <v>3</v>
      </c>
      <c r="AC354">
        <v>1</v>
      </c>
      <c r="AD354" s="14">
        <v>0</v>
      </c>
      <c r="AE354" t="str">
        <f t="shared" si="11"/>
        <v>0-2 years</v>
      </c>
      <c r="AF354" s="14">
        <v>0</v>
      </c>
      <c r="AG354" s="14">
        <v>0</v>
      </c>
      <c r="AH354" s="14">
        <v>0</v>
      </c>
    </row>
    <row r="355" spans="1:34" x14ac:dyDescent="0.3">
      <c r="A355" s="14">
        <v>37</v>
      </c>
      <c r="B355" s="17" t="s">
        <v>43</v>
      </c>
      <c r="C355" t="s">
        <v>36</v>
      </c>
      <c r="D355">
        <v>1319</v>
      </c>
      <c r="E355" s="17" t="s">
        <v>45</v>
      </c>
      <c r="F355">
        <v>6</v>
      </c>
      <c r="G355">
        <v>3</v>
      </c>
      <c r="H355" t="s">
        <v>51</v>
      </c>
      <c r="I355">
        <v>474</v>
      </c>
      <c r="J355">
        <v>3</v>
      </c>
      <c r="K355" s="17" t="s">
        <v>46</v>
      </c>
      <c r="L355">
        <v>51</v>
      </c>
      <c r="M355">
        <v>4</v>
      </c>
      <c r="N355">
        <v>2</v>
      </c>
      <c r="O355" s="17" t="s">
        <v>47</v>
      </c>
      <c r="P355" s="14">
        <v>1</v>
      </c>
      <c r="Q355" t="s">
        <v>52</v>
      </c>
      <c r="R355" s="14">
        <v>5974</v>
      </c>
      <c r="S355" s="17" t="str">
        <f t="shared" si="10"/>
        <v>medium</v>
      </c>
      <c r="T355">
        <v>17001</v>
      </c>
      <c r="U355">
        <v>4</v>
      </c>
      <c r="V355" s="17" t="s">
        <v>35</v>
      </c>
      <c r="W355">
        <v>13</v>
      </c>
      <c r="X355">
        <v>3</v>
      </c>
      <c r="Y355">
        <v>1</v>
      </c>
      <c r="Z355">
        <v>2</v>
      </c>
      <c r="AA355">
        <v>13</v>
      </c>
      <c r="AB355">
        <v>2</v>
      </c>
      <c r="AC355">
        <v>3</v>
      </c>
      <c r="AD355" s="14">
        <v>7</v>
      </c>
      <c r="AE355" t="str">
        <f t="shared" si="11"/>
        <v>6-10 years</v>
      </c>
      <c r="AF355" s="14">
        <v>7</v>
      </c>
      <c r="AG355" s="14">
        <v>6</v>
      </c>
      <c r="AH355" s="14">
        <v>7</v>
      </c>
    </row>
    <row r="356" spans="1:34" x14ac:dyDescent="0.3">
      <c r="A356" s="14">
        <v>30</v>
      </c>
      <c r="B356" s="17" t="s">
        <v>43</v>
      </c>
      <c r="C356" t="s">
        <v>55</v>
      </c>
      <c r="D356">
        <v>641</v>
      </c>
      <c r="E356" s="17" t="s">
        <v>37</v>
      </c>
      <c r="F356">
        <v>25</v>
      </c>
      <c r="G356">
        <v>2</v>
      </c>
      <c r="H356" t="s">
        <v>60</v>
      </c>
      <c r="I356">
        <v>475</v>
      </c>
      <c r="J356">
        <v>4</v>
      </c>
      <c r="K356" s="17" t="s">
        <v>39</v>
      </c>
      <c r="L356">
        <v>85</v>
      </c>
      <c r="M356">
        <v>3</v>
      </c>
      <c r="N356">
        <v>2</v>
      </c>
      <c r="O356" s="17" t="s">
        <v>40</v>
      </c>
      <c r="P356" s="14">
        <v>3</v>
      </c>
      <c r="Q356" t="s">
        <v>48</v>
      </c>
      <c r="R356" s="14">
        <v>4736</v>
      </c>
      <c r="S356" s="17" t="str">
        <f t="shared" si="10"/>
        <v>medium</v>
      </c>
      <c r="T356">
        <v>6069</v>
      </c>
      <c r="U356">
        <v>7</v>
      </c>
      <c r="V356" s="17" t="s">
        <v>35</v>
      </c>
      <c r="W356">
        <v>12</v>
      </c>
      <c r="X356">
        <v>3</v>
      </c>
      <c r="Y356">
        <v>2</v>
      </c>
      <c r="Z356">
        <v>1</v>
      </c>
      <c r="AA356">
        <v>4</v>
      </c>
      <c r="AB356">
        <v>2</v>
      </c>
      <c r="AC356">
        <v>4</v>
      </c>
      <c r="AD356" s="14">
        <v>2</v>
      </c>
      <c r="AE356" t="str">
        <f t="shared" si="11"/>
        <v>0-2 years</v>
      </c>
      <c r="AF356" s="14">
        <v>2</v>
      </c>
      <c r="AG356" s="14">
        <v>2</v>
      </c>
      <c r="AH356" s="14">
        <v>2</v>
      </c>
    </row>
    <row r="357" spans="1:34" x14ac:dyDescent="0.3">
      <c r="A357" s="14">
        <v>26</v>
      </c>
      <c r="B357" s="17" t="s">
        <v>43</v>
      </c>
      <c r="C357" t="s">
        <v>36</v>
      </c>
      <c r="D357">
        <v>933</v>
      </c>
      <c r="E357" s="17" t="s">
        <v>37</v>
      </c>
      <c r="F357">
        <v>1</v>
      </c>
      <c r="G357">
        <v>3</v>
      </c>
      <c r="H357" t="s">
        <v>38</v>
      </c>
      <c r="I357">
        <v>476</v>
      </c>
      <c r="J357">
        <v>3</v>
      </c>
      <c r="K357" s="17" t="s">
        <v>46</v>
      </c>
      <c r="L357">
        <v>57</v>
      </c>
      <c r="M357">
        <v>3</v>
      </c>
      <c r="N357">
        <v>2</v>
      </c>
      <c r="O357" s="17" t="s">
        <v>40</v>
      </c>
      <c r="P357" s="14">
        <v>3</v>
      </c>
      <c r="Q357" t="s">
        <v>48</v>
      </c>
      <c r="R357" s="14">
        <v>5296</v>
      </c>
      <c r="S357" s="17" t="str">
        <f t="shared" si="10"/>
        <v>medium</v>
      </c>
      <c r="T357">
        <v>20156</v>
      </c>
      <c r="U357">
        <v>1</v>
      </c>
      <c r="V357" s="17" t="s">
        <v>43</v>
      </c>
      <c r="W357">
        <v>17</v>
      </c>
      <c r="X357">
        <v>3</v>
      </c>
      <c r="Y357">
        <v>2</v>
      </c>
      <c r="Z357">
        <v>1</v>
      </c>
      <c r="AA357">
        <v>8</v>
      </c>
      <c r="AB357">
        <v>3</v>
      </c>
      <c r="AC357">
        <v>3</v>
      </c>
      <c r="AD357" s="14">
        <v>8</v>
      </c>
      <c r="AE357" t="str">
        <f t="shared" si="11"/>
        <v>6-10 years</v>
      </c>
      <c r="AF357" s="14">
        <v>7</v>
      </c>
      <c r="AG357" s="14">
        <v>7</v>
      </c>
      <c r="AH357" s="14">
        <v>7</v>
      </c>
    </row>
    <row r="358" spans="1:34" x14ac:dyDescent="0.3">
      <c r="A358" s="14">
        <v>42</v>
      </c>
      <c r="B358" s="17" t="s">
        <v>43</v>
      </c>
      <c r="C358" t="s">
        <v>36</v>
      </c>
      <c r="D358">
        <v>1332</v>
      </c>
      <c r="E358" s="17" t="s">
        <v>45</v>
      </c>
      <c r="F358">
        <v>2</v>
      </c>
      <c r="G358">
        <v>4</v>
      </c>
      <c r="H358" t="s">
        <v>49</v>
      </c>
      <c r="I358">
        <v>477</v>
      </c>
      <c r="J358">
        <v>1</v>
      </c>
      <c r="K358" s="17" t="s">
        <v>46</v>
      </c>
      <c r="L358">
        <v>98</v>
      </c>
      <c r="M358">
        <v>2</v>
      </c>
      <c r="N358">
        <v>2</v>
      </c>
      <c r="O358" s="17" t="s">
        <v>54</v>
      </c>
      <c r="P358" s="14">
        <v>4</v>
      </c>
      <c r="Q358" t="s">
        <v>41</v>
      </c>
      <c r="R358" s="14">
        <v>6781</v>
      </c>
      <c r="S358" s="17" t="str">
        <f t="shared" si="10"/>
        <v>medium</v>
      </c>
      <c r="T358">
        <v>17078</v>
      </c>
      <c r="U358">
        <v>3</v>
      </c>
      <c r="V358" s="17" t="s">
        <v>43</v>
      </c>
      <c r="W358">
        <v>23</v>
      </c>
      <c r="X358">
        <v>4</v>
      </c>
      <c r="Y358">
        <v>2</v>
      </c>
      <c r="Z358">
        <v>0</v>
      </c>
      <c r="AA358">
        <v>14</v>
      </c>
      <c r="AB358">
        <v>6</v>
      </c>
      <c r="AC358">
        <v>3</v>
      </c>
      <c r="AD358" s="14">
        <v>1</v>
      </c>
      <c r="AE358" t="str">
        <f t="shared" si="11"/>
        <v>0-2 years</v>
      </c>
      <c r="AF358" s="14">
        <v>0</v>
      </c>
      <c r="AG358" s="14">
        <v>0</v>
      </c>
      <c r="AH358" s="14">
        <v>0</v>
      </c>
    </row>
    <row r="359" spans="1:34" x14ac:dyDescent="0.3">
      <c r="A359" s="14">
        <v>21</v>
      </c>
      <c r="B359" s="17" t="s">
        <v>35</v>
      </c>
      <c r="C359" t="s">
        <v>44</v>
      </c>
      <c r="D359">
        <v>756</v>
      </c>
      <c r="E359" s="17" t="s">
        <v>37</v>
      </c>
      <c r="F359">
        <v>1</v>
      </c>
      <c r="G359">
        <v>1</v>
      </c>
      <c r="H359" t="s">
        <v>60</v>
      </c>
      <c r="I359">
        <v>478</v>
      </c>
      <c r="J359">
        <v>1</v>
      </c>
      <c r="K359" s="17" t="s">
        <v>39</v>
      </c>
      <c r="L359">
        <v>99</v>
      </c>
      <c r="M359">
        <v>2</v>
      </c>
      <c r="N359">
        <v>1</v>
      </c>
      <c r="O359" s="17" t="s">
        <v>57</v>
      </c>
      <c r="P359" s="14">
        <v>2</v>
      </c>
      <c r="Q359" t="s">
        <v>41</v>
      </c>
      <c r="R359" s="14">
        <v>2174</v>
      </c>
      <c r="S359" s="17" t="str">
        <f t="shared" si="10"/>
        <v>low</v>
      </c>
      <c r="T359">
        <v>9150</v>
      </c>
      <c r="U359">
        <v>1</v>
      </c>
      <c r="V359" s="17" t="s">
        <v>35</v>
      </c>
      <c r="W359">
        <v>11</v>
      </c>
      <c r="X359">
        <v>3</v>
      </c>
      <c r="Y359">
        <v>3</v>
      </c>
      <c r="Z359">
        <v>0</v>
      </c>
      <c r="AA359">
        <v>3</v>
      </c>
      <c r="AB359">
        <v>3</v>
      </c>
      <c r="AC359">
        <v>3</v>
      </c>
      <c r="AD359" s="14">
        <v>3</v>
      </c>
      <c r="AE359" t="str">
        <f t="shared" si="11"/>
        <v>3-5 years</v>
      </c>
      <c r="AF359" s="14">
        <v>2</v>
      </c>
      <c r="AG359" s="14">
        <v>1</v>
      </c>
      <c r="AH359" s="14">
        <v>2</v>
      </c>
    </row>
    <row r="360" spans="1:34" x14ac:dyDescent="0.3">
      <c r="A360" s="14">
        <v>36</v>
      </c>
      <c r="B360" s="17" t="s">
        <v>43</v>
      </c>
      <c r="C360" t="s">
        <v>55</v>
      </c>
      <c r="D360">
        <v>845</v>
      </c>
      <c r="E360" s="17" t="s">
        <v>37</v>
      </c>
      <c r="F360">
        <v>1</v>
      </c>
      <c r="G360">
        <v>5</v>
      </c>
      <c r="H360" t="s">
        <v>51</v>
      </c>
      <c r="I360">
        <v>479</v>
      </c>
      <c r="J360">
        <v>4</v>
      </c>
      <c r="K360" s="17" t="s">
        <v>39</v>
      </c>
      <c r="L360">
        <v>45</v>
      </c>
      <c r="M360">
        <v>3</v>
      </c>
      <c r="N360">
        <v>2</v>
      </c>
      <c r="O360" s="17" t="s">
        <v>40</v>
      </c>
      <c r="P360" s="14">
        <v>4</v>
      </c>
      <c r="Q360" t="s">
        <v>41</v>
      </c>
      <c r="R360" s="14">
        <v>6653</v>
      </c>
      <c r="S360" s="17" t="str">
        <f t="shared" si="10"/>
        <v>medium</v>
      </c>
      <c r="T360">
        <v>15276</v>
      </c>
      <c r="U360">
        <v>4</v>
      </c>
      <c r="V360" s="17" t="s">
        <v>43</v>
      </c>
      <c r="W360">
        <v>15</v>
      </c>
      <c r="X360">
        <v>3</v>
      </c>
      <c r="Y360">
        <v>2</v>
      </c>
      <c r="Z360">
        <v>0</v>
      </c>
      <c r="AA360">
        <v>7</v>
      </c>
      <c r="AB360">
        <v>6</v>
      </c>
      <c r="AC360">
        <v>3</v>
      </c>
      <c r="AD360" s="14">
        <v>1</v>
      </c>
      <c r="AE360" t="str">
        <f t="shared" si="11"/>
        <v>0-2 years</v>
      </c>
      <c r="AF360" s="14">
        <v>0</v>
      </c>
      <c r="AG360" s="14">
        <v>0</v>
      </c>
      <c r="AH360" s="14">
        <v>0</v>
      </c>
    </row>
    <row r="361" spans="1:34" x14ac:dyDescent="0.3">
      <c r="A361" s="14">
        <v>36</v>
      </c>
      <c r="B361" s="17" t="s">
        <v>43</v>
      </c>
      <c r="C361" t="s">
        <v>44</v>
      </c>
      <c r="D361">
        <v>541</v>
      </c>
      <c r="E361" s="17" t="s">
        <v>37</v>
      </c>
      <c r="F361">
        <v>3</v>
      </c>
      <c r="G361">
        <v>4</v>
      </c>
      <c r="H361" t="s">
        <v>51</v>
      </c>
      <c r="I361">
        <v>481</v>
      </c>
      <c r="J361">
        <v>1</v>
      </c>
      <c r="K361" s="17" t="s">
        <v>46</v>
      </c>
      <c r="L361">
        <v>48</v>
      </c>
      <c r="M361">
        <v>2</v>
      </c>
      <c r="N361">
        <v>3</v>
      </c>
      <c r="O361" s="17" t="s">
        <v>40</v>
      </c>
      <c r="P361" s="14">
        <v>4</v>
      </c>
      <c r="Q361" t="s">
        <v>48</v>
      </c>
      <c r="R361" s="14">
        <v>9699</v>
      </c>
      <c r="S361" s="17" t="str">
        <f t="shared" si="10"/>
        <v>high</v>
      </c>
      <c r="T361">
        <v>7246</v>
      </c>
      <c r="U361">
        <v>4</v>
      </c>
      <c r="V361" s="17" t="s">
        <v>43</v>
      </c>
      <c r="W361">
        <v>11</v>
      </c>
      <c r="X361">
        <v>3</v>
      </c>
      <c r="Y361">
        <v>1</v>
      </c>
      <c r="Z361">
        <v>1</v>
      </c>
      <c r="AA361">
        <v>16</v>
      </c>
      <c r="AB361">
        <v>2</v>
      </c>
      <c r="AC361">
        <v>3</v>
      </c>
      <c r="AD361" s="14">
        <v>13</v>
      </c>
      <c r="AE361" t="str">
        <f t="shared" si="11"/>
        <v>10+ years</v>
      </c>
      <c r="AF361" s="14">
        <v>9</v>
      </c>
      <c r="AG361" s="14">
        <v>1</v>
      </c>
      <c r="AH361" s="14">
        <v>12</v>
      </c>
    </row>
    <row r="362" spans="1:34" x14ac:dyDescent="0.3">
      <c r="A362" s="14">
        <v>57</v>
      </c>
      <c r="B362" s="17" t="s">
        <v>43</v>
      </c>
      <c r="C362" t="s">
        <v>36</v>
      </c>
      <c r="D362">
        <v>593</v>
      </c>
      <c r="E362" s="17" t="s">
        <v>45</v>
      </c>
      <c r="F362">
        <v>1</v>
      </c>
      <c r="G362">
        <v>4</v>
      </c>
      <c r="H362" t="s">
        <v>51</v>
      </c>
      <c r="I362">
        <v>482</v>
      </c>
      <c r="J362">
        <v>4</v>
      </c>
      <c r="K362" s="17" t="s">
        <v>46</v>
      </c>
      <c r="L362">
        <v>88</v>
      </c>
      <c r="M362">
        <v>3</v>
      </c>
      <c r="N362">
        <v>2</v>
      </c>
      <c r="O362" s="17" t="s">
        <v>54</v>
      </c>
      <c r="P362" s="14">
        <v>3</v>
      </c>
      <c r="Q362" t="s">
        <v>48</v>
      </c>
      <c r="R362" s="14">
        <v>6755</v>
      </c>
      <c r="S362" s="17" t="str">
        <f t="shared" si="10"/>
        <v>medium</v>
      </c>
      <c r="T362">
        <v>2967</v>
      </c>
      <c r="U362">
        <v>2</v>
      </c>
      <c r="V362" s="17" t="s">
        <v>43</v>
      </c>
      <c r="W362">
        <v>11</v>
      </c>
      <c r="X362">
        <v>3</v>
      </c>
      <c r="Y362">
        <v>3</v>
      </c>
      <c r="Z362">
        <v>0</v>
      </c>
      <c r="AA362">
        <v>15</v>
      </c>
      <c r="AB362">
        <v>2</v>
      </c>
      <c r="AC362">
        <v>3</v>
      </c>
      <c r="AD362" s="14">
        <v>3</v>
      </c>
      <c r="AE362" t="str">
        <f t="shared" si="11"/>
        <v>3-5 years</v>
      </c>
      <c r="AF362" s="14">
        <v>2</v>
      </c>
      <c r="AG362" s="14">
        <v>1</v>
      </c>
      <c r="AH362" s="14">
        <v>2</v>
      </c>
    </row>
    <row r="363" spans="1:34" x14ac:dyDescent="0.3">
      <c r="A363" s="14">
        <v>40</v>
      </c>
      <c r="B363" s="17" t="s">
        <v>43</v>
      </c>
      <c r="C363" t="s">
        <v>36</v>
      </c>
      <c r="D363">
        <v>1171</v>
      </c>
      <c r="E363" s="17" t="s">
        <v>45</v>
      </c>
      <c r="F363">
        <v>10</v>
      </c>
      <c r="G363">
        <v>4</v>
      </c>
      <c r="H363" t="s">
        <v>38</v>
      </c>
      <c r="I363">
        <v>483</v>
      </c>
      <c r="J363">
        <v>4</v>
      </c>
      <c r="K363" s="17" t="s">
        <v>39</v>
      </c>
      <c r="L363">
        <v>46</v>
      </c>
      <c r="M363">
        <v>4</v>
      </c>
      <c r="N363">
        <v>1</v>
      </c>
      <c r="O363" s="17" t="s">
        <v>50</v>
      </c>
      <c r="P363" s="14">
        <v>3</v>
      </c>
      <c r="Q363" t="s">
        <v>48</v>
      </c>
      <c r="R363" s="14">
        <v>2213</v>
      </c>
      <c r="S363" s="17" t="str">
        <f t="shared" si="10"/>
        <v>low</v>
      </c>
      <c r="T363">
        <v>22495</v>
      </c>
      <c r="U363">
        <v>3</v>
      </c>
      <c r="V363" s="17" t="s">
        <v>35</v>
      </c>
      <c r="W363">
        <v>13</v>
      </c>
      <c r="X363">
        <v>3</v>
      </c>
      <c r="Y363">
        <v>3</v>
      </c>
      <c r="Z363">
        <v>1</v>
      </c>
      <c r="AA363">
        <v>10</v>
      </c>
      <c r="AB363">
        <v>3</v>
      </c>
      <c r="AC363">
        <v>3</v>
      </c>
      <c r="AD363" s="14">
        <v>7</v>
      </c>
      <c r="AE363" t="str">
        <f t="shared" si="11"/>
        <v>6-10 years</v>
      </c>
      <c r="AF363" s="14">
        <v>7</v>
      </c>
      <c r="AG363" s="14">
        <v>1</v>
      </c>
      <c r="AH363" s="14">
        <v>7</v>
      </c>
    </row>
    <row r="364" spans="1:34" x14ac:dyDescent="0.3">
      <c r="A364" s="14">
        <v>21</v>
      </c>
      <c r="B364" s="17" t="s">
        <v>43</v>
      </c>
      <c r="C364" t="s">
        <v>55</v>
      </c>
      <c r="D364">
        <v>895</v>
      </c>
      <c r="E364" s="17" t="s">
        <v>37</v>
      </c>
      <c r="F364">
        <v>9</v>
      </c>
      <c r="G364">
        <v>2</v>
      </c>
      <c r="H364" t="s">
        <v>51</v>
      </c>
      <c r="I364">
        <v>484</v>
      </c>
      <c r="J364">
        <v>1</v>
      </c>
      <c r="K364" s="17" t="s">
        <v>46</v>
      </c>
      <c r="L364">
        <v>39</v>
      </c>
      <c r="M364">
        <v>3</v>
      </c>
      <c r="N364">
        <v>1</v>
      </c>
      <c r="O364" s="17" t="s">
        <v>57</v>
      </c>
      <c r="P364" s="14">
        <v>4</v>
      </c>
      <c r="Q364" t="s">
        <v>41</v>
      </c>
      <c r="R364" s="14">
        <v>2610</v>
      </c>
      <c r="S364" s="17" t="str">
        <f t="shared" si="10"/>
        <v>low</v>
      </c>
      <c r="T364">
        <v>2851</v>
      </c>
      <c r="U364">
        <v>1</v>
      </c>
      <c r="V364" s="17" t="s">
        <v>43</v>
      </c>
      <c r="W364">
        <v>24</v>
      </c>
      <c r="X364">
        <v>4</v>
      </c>
      <c r="Y364">
        <v>3</v>
      </c>
      <c r="Z364">
        <v>0</v>
      </c>
      <c r="AA364">
        <v>3</v>
      </c>
      <c r="AB364">
        <v>3</v>
      </c>
      <c r="AC364">
        <v>2</v>
      </c>
      <c r="AD364" s="14">
        <v>3</v>
      </c>
      <c r="AE364" t="str">
        <f t="shared" si="11"/>
        <v>3-5 years</v>
      </c>
      <c r="AF364" s="14">
        <v>2</v>
      </c>
      <c r="AG364" s="14">
        <v>2</v>
      </c>
      <c r="AH364" s="14">
        <v>2</v>
      </c>
    </row>
    <row r="365" spans="1:34" x14ac:dyDescent="0.3">
      <c r="A365" s="14">
        <v>33</v>
      </c>
      <c r="B365" s="17" t="s">
        <v>35</v>
      </c>
      <c r="C365" t="s">
        <v>36</v>
      </c>
      <c r="D365">
        <v>350</v>
      </c>
      <c r="E365" s="17" t="s">
        <v>37</v>
      </c>
      <c r="F365">
        <v>5</v>
      </c>
      <c r="G365">
        <v>3</v>
      </c>
      <c r="H365" t="s">
        <v>59</v>
      </c>
      <c r="I365">
        <v>485</v>
      </c>
      <c r="J365">
        <v>4</v>
      </c>
      <c r="K365" s="17" t="s">
        <v>39</v>
      </c>
      <c r="L365">
        <v>34</v>
      </c>
      <c r="M365">
        <v>3</v>
      </c>
      <c r="N365">
        <v>1</v>
      </c>
      <c r="O365" s="17" t="s">
        <v>57</v>
      </c>
      <c r="P365" s="14">
        <v>3</v>
      </c>
      <c r="Q365" t="s">
        <v>41</v>
      </c>
      <c r="R365" s="14">
        <v>2851</v>
      </c>
      <c r="S365" s="17" t="str">
        <f t="shared" si="10"/>
        <v>low</v>
      </c>
      <c r="T365">
        <v>9150</v>
      </c>
      <c r="U365">
        <v>1</v>
      </c>
      <c r="V365" s="17" t="s">
        <v>35</v>
      </c>
      <c r="W365">
        <v>13</v>
      </c>
      <c r="X365">
        <v>3</v>
      </c>
      <c r="Y365">
        <v>2</v>
      </c>
      <c r="Z365">
        <v>0</v>
      </c>
      <c r="AA365">
        <v>1</v>
      </c>
      <c r="AB365">
        <v>2</v>
      </c>
      <c r="AC365">
        <v>3</v>
      </c>
      <c r="AD365" s="14">
        <v>1</v>
      </c>
      <c r="AE365" t="str">
        <f t="shared" si="11"/>
        <v>0-2 years</v>
      </c>
      <c r="AF365" s="14">
        <v>0</v>
      </c>
      <c r="AG365" s="14">
        <v>0</v>
      </c>
      <c r="AH365" s="14">
        <v>0</v>
      </c>
    </row>
    <row r="366" spans="1:34" x14ac:dyDescent="0.3">
      <c r="A366" s="14">
        <v>37</v>
      </c>
      <c r="B366" s="17" t="s">
        <v>43</v>
      </c>
      <c r="C366" t="s">
        <v>36</v>
      </c>
      <c r="D366">
        <v>921</v>
      </c>
      <c r="E366" s="17" t="s">
        <v>45</v>
      </c>
      <c r="F366">
        <v>10</v>
      </c>
      <c r="G366">
        <v>3</v>
      </c>
      <c r="H366" t="s">
        <v>51</v>
      </c>
      <c r="I366">
        <v>486</v>
      </c>
      <c r="J366">
        <v>3</v>
      </c>
      <c r="K366" s="17" t="s">
        <v>39</v>
      </c>
      <c r="L366">
        <v>98</v>
      </c>
      <c r="M366">
        <v>3</v>
      </c>
      <c r="N366">
        <v>1</v>
      </c>
      <c r="O366" s="17" t="s">
        <v>50</v>
      </c>
      <c r="P366" s="14">
        <v>1</v>
      </c>
      <c r="Q366" t="s">
        <v>48</v>
      </c>
      <c r="R366" s="14">
        <v>3452</v>
      </c>
      <c r="S366" s="17" t="str">
        <f t="shared" si="10"/>
        <v>medium</v>
      </c>
      <c r="T366">
        <v>17663</v>
      </c>
      <c r="U366">
        <v>6</v>
      </c>
      <c r="V366" s="17" t="s">
        <v>43</v>
      </c>
      <c r="W366">
        <v>20</v>
      </c>
      <c r="X366">
        <v>4</v>
      </c>
      <c r="Y366">
        <v>2</v>
      </c>
      <c r="Z366">
        <v>1</v>
      </c>
      <c r="AA366">
        <v>17</v>
      </c>
      <c r="AB366">
        <v>3</v>
      </c>
      <c r="AC366">
        <v>3</v>
      </c>
      <c r="AD366" s="14">
        <v>5</v>
      </c>
      <c r="AE366" t="str">
        <f t="shared" si="11"/>
        <v>3-5 years</v>
      </c>
      <c r="AF366" s="14">
        <v>4</v>
      </c>
      <c r="AG366" s="14">
        <v>0</v>
      </c>
      <c r="AH366" s="14">
        <v>3</v>
      </c>
    </row>
    <row r="367" spans="1:34" x14ac:dyDescent="0.3">
      <c r="A367" s="14">
        <v>46</v>
      </c>
      <c r="B367" s="17" t="s">
        <v>43</v>
      </c>
      <c r="C367" t="s">
        <v>55</v>
      </c>
      <c r="D367">
        <v>1144</v>
      </c>
      <c r="E367" s="17" t="s">
        <v>45</v>
      </c>
      <c r="F367">
        <v>7</v>
      </c>
      <c r="G367">
        <v>4</v>
      </c>
      <c r="H367" t="s">
        <v>51</v>
      </c>
      <c r="I367">
        <v>487</v>
      </c>
      <c r="J367">
        <v>3</v>
      </c>
      <c r="K367" s="17" t="s">
        <v>39</v>
      </c>
      <c r="L367">
        <v>30</v>
      </c>
      <c r="M367">
        <v>3</v>
      </c>
      <c r="N367">
        <v>2</v>
      </c>
      <c r="O367" s="17" t="s">
        <v>53</v>
      </c>
      <c r="P367" s="14">
        <v>3</v>
      </c>
      <c r="Q367" t="s">
        <v>48</v>
      </c>
      <c r="R367" s="14">
        <v>5258</v>
      </c>
      <c r="S367" s="17" t="str">
        <f t="shared" si="10"/>
        <v>medium</v>
      </c>
      <c r="T367">
        <v>16044</v>
      </c>
      <c r="U367">
        <v>2</v>
      </c>
      <c r="V367" s="17" t="s">
        <v>43</v>
      </c>
      <c r="W367">
        <v>14</v>
      </c>
      <c r="X367">
        <v>3</v>
      </c>
      <c r="Y367">
        <v>3</v>
      </c>
      <c r="Z367">
        <v>0</v>
      </c>
      <c r="AA367">
        <v>7</v>
      </c>
      <c r="AB367">
        <v>2</v>
      </c>
      <c r="AC367">
        <v>4</v>
      </c>
      <c r="AD367" s="14">
        <v>1</v>
      </c>
      <c r="AE367" t="str">
        <f t="shared" si="11"/>
        <v>0-2 years</v>
      </c>
      <c r="AF367" s="14">
        <v>0</v>
      </c>
      <c r="AG367" s="14">
        <v>0</v>
      </c>
      <c r="AH367" s="14">
        <v>0</v>
      </c>
    </row>
    <row r="368" spans="1:34" x14ac:dyDescent="0.3">
      <c r="A368" s="14">
        <v>41</v>
      </c>
      <c r="B368" s="17" t="s">
        <v>35</v>
      </c>
      <c r="C368" t="s">
        <v>44</v>
      </c>
      <c r="D368">
        <v>143</v>
      </c>
      <c r="E368" s="17" t="s">
        <v>37</v>
      </c>
      <c r="F368">
        <v>4</v>
      </c>
      <c r="G368">
        <v>3</v>
      </c>
      <c r="H368" t="s">
        <v>59</v>
      </c>
      <c r="I368">
        <v>488</v>
      </c>
      <c r="J368">
        <v>1</v>
      </c>
      <c r="K368" s="17" t="s">
        <v>46</v>
      </c>
      <c r="L368">
        <v>56</v>
      </c>
      <c r="M368">
        <v>3</v>
      </c>
      <c r="N368">
        <v>2</v>
      </c>
      <c r="O368" s="17" t="s">
        <v>40</v>
      </c>
      <c r="P368" s="14">
        <v>2</v>
      </c>
      <c r="Q368" t="s">
        <v>41</v>
      </c>
      <c r="R368" s="14">
        <v>9355</v>
      </c>
      <c r="S368" s="17" t="str">
        <f t="shared" si="10"/>
        <v>high</v>
      </c>
      <c r="T368">
        <v>9558</v>
      </c>
      <c r="U368">
        <v>1</v>
      </c>
      <c r="V368" s="17" t="s">
        <v>43</v>
      </c>
      <c r="W368">
        <v>18</v>
      </c>
      <c r="X368">
        <v>3</v>
      </c>
      <c r="Y368">
        <v>3</v>
      </c>
      <c r="Z368">
        <v>0</v>
      </c>
      <c r="AA368">
        <v>8</v>
      </c>
      <c r="AB368">
        <v>5</v>
      </c>
      <c r="AC368">
        <v>3</v>
      </c>
      <c r="AD368" s="14">
        <v>8</v>
      </c>
      <c r="AE368" t="str">
        <f t="shared" si="11"/>
        <v>6-10 years</v>
      </c>
      <c r="AF368" s="14">
        <v>7</v>
      </c>
      <c r="AG368" s="14">
        <v>7</v>
      </c>
      <c r="AH368" s="14">
        <v>7</v>
      </c>
    </row>
    <row r="369" spans="1:34" x14ac:dyDescent="0.3">
      <c r="A369" s="14">
        <v>50</v>
      </c>
      <c r="B369" s="17" t="s">
        <v>43</v>
      </c>
      <c r="C369" t="s">
        <v>36</v>
      </c>
      <c r="D369">
        <v>1046</v>
      </c>
      <c r="E369" s="17" t="s">
        <v>45</v>
      </c>
      <c r="F369">
        <v>10</v>
      </c>
      <c r="G369">
        <v>3</v>
      </c>
      <c r="H369" t="s">
        <v>60</v>
      </c>
      <c r="I369">
        <v>491</v>
      </c>
      <c r="J369">
        <v>4</v>
      </c>
      <c r="K369" s="17" t="s">
        <v>46</v>
      </c>
      <c r="L369">
        <v>100</v>
      </c>
      <c r="M369">
        <v>2</v>
      </c>
      <c r="N369">
        <v>3</v>
      </c>
      <c r="O369" s="17" t="s">
        <v>54</v>
      </c>
      <c r="P369" s="14">
        <v>4</v>
      </c>
      <c r="Q369" t="s">
        <v>41</v>
      </c>
      <c r="R369" s="14">
        <v>10496</v>
      </c>
      <c r="S369" s="17" t="str">
        <f t="shared" si="10"/>
        <v>high</v>
      </c>
      <c r="T369">
        <v>2755</v>
      </c>
      <c r="U369">
        <v>6</v>
      </c>
      <c r="V369" s="17" t="s">
        <v>43</v>
      </c>
      <c r="W369">
        <v>15</v>
      </c>
      <c r="X369">
        <v>3</v>
      </c>
      <c r="Y369">
        <v>4</v>
      </c>
      <c r="Z369">
        <v>0</v>
      </c>
      <c r="AA369">
        <v>20</v>
      </c>
      <c r="AB369">
        <v>2</v>
      </c>
      <c r="AC369">
        <v>3</v>
      </c>
      <c r="AD369" s="14">
        <v>4</v>
      </c>
      <c r="AE369" t="str">
        <f t="shared" si="11"/>
        <v>3-5 years</v>
      </c>
      <c r="AF369" s="14">
        <v>3</v>
      </c>
      <c r="AG369" s="14">
        <v>1</v>
      </c>
      <c r="AH369" s="14">
        <v>3</v>
      </c>
    </row>
    <row r="370" spans="1:34" x14ac:dyDescent="0.3">
      <c r="A370" s="14">
        <v>40</v>
      </c>
      <c r="B370" s="17" t="s">
        <v>35</v>
      </c>
      <c r="C370" t="s">
        <v>36</v>
      </c>
      <c r="D370">
        <v>575</v>
      </c>
      <c r="E370" s="17" t="s">
        <v>37</v>
      </c>
      <c r="F370">
        <v>22</v>
      </c>
      <c r="G370">
        <v>2</v>
      </c>
      <c r="H370" t="s">
        <v>59</v>
      </c>
      <c r="I370">
        <v>492</v>
      </c>
      <c r="J370">
        <v>3</v>
      </c>
      <c r="K370" s="17" t="s">
        <v>46</v>
      </c>
      <c r="L370">
        <v>68</v>
      </c>
      <c r="M370">
        <v>2</v>
      </c>
      <c r="N370">
        <v>2</v>
      </c>
      <c r="O370" s="17" t="s">
        <v>40</v>
      </c>
      <c r="P370" s="14">
        <v>3</v>
      </c>
      <c r="Q370" t="s">
        <v>48</v>
      </c>
      <c r="R370" s="14">
        <v>6380</v>
      </c>
      <c r="S370" s="17" t="str">
        <f t="shared" si="10"/>
        <v>medium</v>
      </c>
      <c r="T370">
        <v>6110</v>
      </c>
      <c r="U370">
        <v>2</v>
      </c>
      <c r="V370" s="17" t="s">
        <v>35</v>
      </c>
      <c r="W370">
        <v>12</v>
      </c>
      <c r="X370">
        <v>3</v>
      </c>
      <c r="Y370">
        <v>1</v>
      </c>
      <c r="Z370">
        <v>2</v>
      </c>
      <c r="AA370">
        <v>8</v>
      </c>
      <c r="AB370">
        <v>6</v>
      </c>
      <c r="AC370">
        <v>3</v>
      </c>
      <c r="AD370" s="14">
        <v>6</v>
      </c>
      <c r="AE370" t="str">
        <f t="shared" si="11"/>
        <v>6-10 years</v>
      </c>
      <c r="AF370" s="14">
        <v>4</v>
      </c>
      <c r="AG370" s="14">
        <v>1</v>
      </c>
      <c r="AH370" s="14">
        <v>0</v>
      </c>
    </row>
    <row r="371" spans="1:34" x14ac:dyDescent="0.3">
      <c r="A371" s="14">
        <v>31</v>
      </c>
      <c r="B371" s="17" t="s">
        <v>43</v>
      </c>
      <c r="C371" t="s">
        <v>36</v>
      </c>
      <c r="D371">
        <v>408</v>
      </c>
      <c r="E371" s="17" t="s">
        <v>45</v>
      </c>
      <c r="F371">
        <v>9</v>
      </c>
      <c r="G371">
        <v>4</v>
      </c>
      <c r="H371" t="s">
        <v>38</v>
      </c>
      <c r="I371">
        <v>493</v>
      </c>
      <c r="J371">
        <v>3</v>
      </c>
      <c r="K371" s="17" t="s">
        <v>46</v>
      </c>
      <c r="L371">
        <v>42</v>
      </c>
      <c r="M371">
        <v>2</v>
      </c>
      <c r="N371">
        <v>1</v>
      </c>
      <c r="O371" s="17" t="s">
        <v>47</v>
      </c>
      <c r="P371" s="14">
        <v>2</v>
      </c>
      <c r="Q371" t="s">
        <v>41</v>
      </c>
      <c r="R371" s="14">
        <v>2657</v>
      </c>
      <c r="S371" s="17" t="str">
        <f t="shared" si="10"/>
        <v>low</v>
      </c>
      <c r="T371">
        <v>7551</v>
      </c>
      <c r="U371">
        <v>0</v>
      </c>
      <c r="V371" s="17" t="s">
        <v>35</v>
      </c>
      <c r="W371">
        <v>16</v>
      </c>
      <c r="X371">
        <v>3</v>
      </c>
      <c r="Y371">
        <v>4</v>
      </c>
      <c r="Z371">
        <v>0</v>
      </c>
      <c r="AA371">
        <v>3</v>
      </c>
      <c r="AB371">
        <v>5</v>
      </c>
      <c r="AC371">
        <v>3</v>
      </c>
      <c r="AD371" s="14">
        <v>2</v>
      </c>
      <c r="AE371" t="str">
        <f t="shared" si="11"/>
        <v>0-2 years</v>
      </c>
      <c r="AF371" s="14">
        <v>2</v>
      </c>
      <c r="AG371" s="14">
        <v>2</v>
      </c>
      <c r="AH371" s="14">
        <v>2</v>
      </c>
    </row>
    <row r="372" spans="1:34" x14ac:dyDescent="0.3">
      <c r="A372" s="14">
        <v>21</v>
      </c>
      <c r="B372" s="17" t="s">
        <v>35</v>
      </c>
      <c r="C372" t="s">
        <v>36</v>
      </c>
      <c r="D372">
        <v>156</v>
      </c>
      <c r="E372" s="17" t="s">
        <v>37</v>
      </c>
      <c r="F372">
        <v>12</v>
      </c>
      <c r="G372">
        <v>3</v>
      </c>
      <c r="H372" t="s">
        <v>38</v>
      </c>
      <c r="I372">
        <v>494</v>
      </c>
      <c r="J372">
        <v>3</v>
      </c>
      <c r="K372" s="17" t="s">
        <v>39</v>
      </c>
      <c r="L372">
        <v>90</v>
      </c>
      <c r="M372">
        <v>4</v>
      </c>
      <c r="N372">
        <v>1</v>
      </c>
      <c r="O372" s="17" t="s">
        <v>57</v>
      </c>
      <c r="P372" s="14">
        <v>2</v>
      </c>
      <c r="Q372" t="s">
        <v>41</v>
      </c>
      <c r="R372" s="14">
        <v>2716</v>
      </c>
      <c r="S372" s="17" t="str">
        <f t="shared" si="10"/>
        <v>low</v>
      </c>
      <c r="T372">
        <v>25422</v>
      </c>
      <c r="U372">
        <v>1</v>
      </c>
      <c r="V372" s="17" t="s">
        <v>43</v>
      </c>
      <c r="W372">
        <v>15</v>
      </c>
      <c r="X372">
        <v>3</v>
      </c>
      <c r="Y372">
        <v>4</v>
      </c>
      <c r="Z372">
        <v>0</v>
      </c>
      <c r="AA372">
        <v>1</v>
      </c>
      <c r="AB372">
        <v>0</v>
      </c>
      <c r="AC372">
        <v>3</v>
      </c>
      <c r="AD372" s="14">
        <v>1</v>
      </c>
      <c r="AE372" t="str">
        <f t="shared" si="11"/>
        <v>0-2 years</v>
      </c>
      <c r="AF372" s="14">
        <v>0</v>
      </c>
      <c r="AG372" s="14">
        <v>0</v>
      </c>
      <c r="AH372" s="14">
        <v>0</v>
      </c>
    </row>
    <row r="373" spans="1:34" x14ac:dyDescent="0.3">
      <c r="A373" s="14">
        <v>29</v>
      </c>
      <c r="B373" s="17" t="s">
        <v>43</v>
      </c>
      <c r="C373" t="s">
        <v>36</v>
      </c>
      <c r="D373">
        <v>1283</v>
      </c>
      <c r="E373" s="17" t="s">
        <v>45</v>
      </c>
      <c r="F373">
        <v>23</v>
      </c>
      <c r="G373">
        <v>3</v>
      </c>
      <c r="H373" t="s">
        <v>38</v>
      </c>
      <c r="I373">
        <v>495</v>
      </c>
      <c r="J373">
        <v>4</v>
      </c>
      <c r="K373" s="17" t="s">
        <v>46</v>
      </c>
      <c r="L373">
        <v>54</v>
      </c>
      <c r="M373">
        <v>3</v>
      </c>
      <c r="N373">
        <v>1</v>
      </c>
      <c r="O373" s="17" t="s">
        <v>47</v>
      </c>
      <c r="P373" s="14">
        <v>4</v>
      </c>
      <c r="Q373" t="s">
        <v>41</v>
      </c>
      <c r="R373" s="14">
        <v>2201</v>
      </c>
      <c r="S373" s="17" t="str">
        <f t="shared" si="10"/>
        <v>low</v>
      </c>
      <c r="T373">
        <v>18168</v>
      </c>
      <c r="U373">
        <v>9</v>
      </c>
      <c r="V373" s="17" t="s">
        <v>43</v>
      </c>
      <c r="W373">
        <v>16</v>
      </c>
      <c r="X373">
        <v>3</v>
      </c>
      <c r="Y373">
        <v>4</v>
      </c>
      <c r="Z373">
        <v>0</v>
      </c>
      <c r="AA373">
        <v>6</v>
      </c>
      <c r="AB373">
        <v>4</v>
      </c>
      <c r="AC373">
        <v>3</v>
      </c>
      <c r="AD373" s="14">
        <v>3</v>
      </c>
      <c r="AE373" t="str">
        <f t="shared" si="11"/>
        <v>3-5 years</v>
      </c>
      <c r="AF373" s="14">
        <v>2</v>
      </c>
      <c r="AG373" s="14">
        <v>1</v>
      </c>
      <c r="AH373" s="14">
        <v>2</v>
      </c>
    </row>
    <row r="374" spans="1:34" x14ac:dyDescent="0.3">
      <c r="A374" s="14">
        <v>35</v>
      </c>
      <c r="B374" s="17" t="s">
        <v>43</v>
      </c>
      <c r="C374" t="s">
        <v>36</v>
      </c>
      <c r="D374">
        <v>755</v>
      </c>
      <c r="E374" s="17" t="s">
        <v>45</v>
      </c>
      <c r="F374">
        <v>9</v>
      </c>
      <c r="G374">
        <v>4</v>
      </c>
      <c r="H374" t="s">
        <v>38</v>
      </c>
      <c r="I374">
        <v>496</v>
      </c>
      <c r="J374">
        <v>3</v>
      </c>
      <c r="K374" s="17" t="s">
        <v>46</v>
      </c>
      <c r="L374">
        <v>97</v>
      </c>
      <c r="M374">
        <v>2</v>
      </c>
      <c r="N374">
        <v>2</v>
      </c>
      <c r="O374" s="17" t="s">
        <v>54</v>
      </c>
      <c r="P374" s="14">
        <v>2</v>
      </c>
      <c r="Q374" t="s">
        <v>41</v>
      </c>
      <c r="R374" s="14">
        <v>6540</v>
      </c>
      <c r="S374" s="17" t="str">
        <f t="shared" si="10"/>
        <v>medium</v>
      </c>
      <c r="T374">
        <v>19394</v>
      </c>
      <c r="U374">
        <v>9</v>
      </c>
      <c r="V374" s="17" t="s">
        <v>43</v>
      </c>
      <c r="W374">
        <v>19</v>
      </c>
      <c r="X374">
        <v>3</v>
      </c>
      <c r="Y374">
        <v>3</v>
      </c>
      <c r="Z374">
        <v>0</v>
      </c>
      <c r="AA374">
        <v>10</v>
      </c>
      <c r="AB374">
        <v>5</v>
      </c>
      <c r="AC374">
        <v>3</v>
      </c>
      <c r="AD374" s="14">
        <v>1</v>
      </c>
      <c r="AE374" t="str">
        <f t="shared" si="11"/>
        <v>0-2 years</v>
      </c>
      <c r="AF374" s="14">
        <v>1</v>
      </c>
      <c r="AG374" s="14">
        <v>0</v>
      </c>
      <c r="AH374" s="14">
        <v>0</v>
      </c>
    </row>
    <row r="375" spans="1:34" x14ac:dyDescent="0.3">
      <c r="A375" s="14">
        <v>27</v>
      </c>
      <c r="B375" s="17" t="s">
        <v>43</v>
      </c>
      <c r="C375" t="s">
        <v>36</v>
      </c>
      <c r="D375">
        <v>1469</v>
      </c>
      <c r="E375" s="17" t="s">
        <v>45</v>
      </c>
      <c r="F375">
        <v>1</v>
      </c>
      <c r="G375">
        <v>2</v>
      </c>
      <c r="H375" t="s">
        <v>51</v>
      </c>
      <c r="I375">
        <v>497</v>
      </c>
      <c r="J375">
        <v>4</v>
      </c>
      <c r="K375" s="17" t="s">
        <v>46</v>
      </c>
      <c r="L375">
        <v>82</v>
      </c>
      <c r="M375">
        <v>3</v>
      </c>
      <c r="N375">
        <v>1</v>
      </c>
      <c r="O375" s="17" t="s">
        <v>50</v>
      </c>
      <c r="P375" s="14">
        <v>2</v>
      </c>
      <c r="Q375" t="s">
        <v>52</v>
      </c>
      <c r="R375" s="14">
        <v>3816</v>
      </c>
      <c r="S375" s="17" t="str">
        <f t="shared" si="10"/>
        <v>medium</v>
      </c>
      <c r="T375">
        <v>17881</v>
      </c>
      <c r="U375">
        <v>1</v>
      </c>
      <c r="V375" s="17" t="s">
        <v>43</v>
      </c>
      <c r="W375">
        <v>11</v>
      </c>
      <c r="X375">
        <v>3</v>
      </c>
      <c r="Y375">
        <v>2</v>
      </c>
      <c r="Z375">
        <v>1</v>
      </c>
      <c r="AA375">
        <v>5</v>
      </c>
      <c r="AB375">
        <v>2</v>
      </c>
      <c r="AC375">
        <v>3</v>
      </c>
      <c r="AD375" s="14">
        <v>5</v>
      </c>
      <c r="AE375" t="str">
        <f t="shared" si="11"/>
        <v>3-5 years</v>
      </c>
      <c r="AF375" s="14">
        <v>2</v>
      </c>
      <c r="AG375" s="14">
        <v>0</v>
      </c>
      <c r="AH375" s="14">
        <v>4</v>
      </c>
    </row>
    <row r="376" spans="1:34" x14ac:dyDescent="0.3">
      <c r="A376" s="14">
        <v>28</v>
      </c>
      <c r="B376" s="17" t="s">
        <v>43</v>
      </c>
      <c r="C376" t="s">
        <v>36</v>
      </c>
      <c r="D376">
        <v>304</v>
      </c>
      <c r="E376" s="17" t="s">
        <v>37</v>
      </c>
      <c r="F376">
        <v>9</v>
      </c>
      <c r="G376">
        <v>4</v>
      </c>
      <c r="H376" t="s">
        <v>38</v>
      </c>
      <c r="I376">
        <v>498</v>
      </c>
      <c r="J376">
        <v>2</v>
      </c>
      <c r="K376" s="17" t="s">
        <v>46</v>
      </c>
      <c r="L376">
        <v>92</v>
      </c>
      <c r="M376">
        <v>3</v>
      </c>
      <c r="N376">
        <v>2</v>
      </c>
      <c r="O376" s="17" t="s">
        <v>40</v>
      </c>
      <c r="P376" s="14">
        <v>4</v>
      </c>
      <c r="Q376" t="s">
        <v>41</v>
      </c>
      <c r="R376" s="14">
        <v>5253</v>
      </c>
      <c r="S376" s="17" t="str">
        <f t="shared" si="10"/>
        <v>medium</v>
      </c>
      <c r="T376">
        <v>20750</v>
      </c>
      <c r="U376">
        <v>1</v>
      </c>
      <c r="V376" s="17" t="s">
        <v>43</v>
      </c>
      <c r="W376">
        <v>16</v>
      </c>
      <c r="X376">
        <v>3</v>
      </c>
      <c r="Y376">
        <v>4</v>
      </c>
      <c r="Z376">
        <v>0</v>
      </c>
      <c r="AA376">
        <v>7</v>
      </c>
      <c r="AB376">
        <v>1</v>
      </c>
      <c r="AC376">
        <v>3</v>
      </c>
      <c r="AD376" s="14">
        <v>7</v>
      </c>
      <c r="AE376" t="str">
        <f t="shared" si="11"/>
        <v>6-10 years</v>
      </c>
      <c r="AF376" s="14">
        <v>5</v>
      </c>
      <c r="AG376" s="14">
        <v>0</v>
      </c>
      <c r="AH376" s="14">
        <v>7</v>
      </c>
    </row>
    <row r="377" spans="1:34" x14ac:dyDescent="0.3">
      <c r="A377" s="14">
        <v>49</v>
      </c>
      <c r="B377" s="17" t="s">
        <v>43</v>
      </c>
      <c r="C377" t="s">
        <v>36</v>
      </c>
      <c r="D377">
        <v>1261</v>
      </c>
      <c r="E377" s="17" t="s">
        <v>45</v>
      </c>
      <c r="F377">
        <v>7</v>
      </c>
      <c r="G377">
        <v>3</v>
      </c>
      <c r="H377" t="s">
        <v>49</v>
      </c>
      <c r="I377">
        <v>499</v>
      </c>
      <c r="J377">
        <v>2</v>
      </c>
      <c r="K377" s="17" t="s">
        <v>46</v>
      </c>
      <c r="L377">
        <v>31</v>
      </c>
      <c r="M377">
        <v>2</v>
      </c>
      <c r="N377">
        <v>3</v>
      </c>
      <c r="O377" s="17" t="s">
        <v>54</v>
      </c>
      <c r="P377" s="14">
        <v>3</v>
      </c>
      <c r="Q377" t="s">
        <v>41</v>
      </c>
      <c r="R377" s="14">
        <v>10965</v>
      </c>
      <c r="S377" s="17" t="str">
        <f t="shared" si="10"/>
        <v>high</v>
      </c>
      <c r="T377">
        <v>12066</v>
      </c>
      <c r="U377">
        <v>8</v>
      </c>
      <c r="V377" s="17" t="s">
        <v>43</v>
      </c>
      <c r="W377">
        <v>24</v>
      </c>
      <c r="X377">
        <v>4</v>
      </c>
      <c r="Y377">
        <v>3</v>
      </c>
      <c r="Z377">
        <v>0</v>
      </c>
      <c r="AA377">
        <v>26</v>
      </c>
      <c r="AB377">
        <v>2</v>
      </c>
      <c r="AC377">
        <v>3</v>
      </c>
      <c r="AD377" s="14">
        <v>5</v>
      </c>
      <c r="AE377" t="str">
        <f t="shared" si="11"/>
        <v>3-5 years</v>
      </c>
      <c r="AF377" s="14">
        <v>2</v>
      </c>
      <c r="AG377" s="14">
        <v>0</v>
      </c>
      <c r="AH377" s="14">
        <v>0</v>
      </c>
    </row>
    <row r="378" spans="1:34" x14ac:dyDescent="0.3">
      <c r="A378" s="14">
        <v>51</v>
      </c>
      <c r="B378" s="17" t="s">
        <v>43</v>
      </c>
      <c r="C378" t="s">
        <v>36</v>
      </c>
      <c r="D378">
        <v>1178</v>
      </c>
      <c r="E378" s="17" t="s">
        <v>37</v>
      </c>
      <c r="F378">
        <v>14</v>
      </c>
      <c r="G378">
        <v>2</v>
      </c>
      <c r="H378" t="s">
        <v>38</v>
      </c>
      <c r="I378">
        <v>500</v>
      </c>
      <c r="J378">
        <v>3</v>
      </c>
      <c r="K378" s="17" t="s">
        <v>39</v>
      </c>
      <c r="L378">
        <v>87</v>
      </c>
      <c r="M378">
        <v>3</v>
      </c>
      <c r="N378">
        <v>2</v>
      </c>
      <c r="O378" s="17" t="s">
        <v>40</v>
      </c>
      <c r="P378" s="14">
        <v>4</v>
      </c>
      <c r="Q378" t="s">
        <v>48</v>
      </c>
      <c r="R378" s="14">
        <v>4936</v>
      </c>
      <c r="S378" s="17" t="str">
        <f t="shared" si="10"/>
        <v>medium</v>
      </c>
      <c r="T378">
        <v>14862</v>
      </c>
      <c r="U378">
        <v>4</v>
      </c>
      <c r="V378" s="17" t="s">
        <v>43</v>
      </c>
      <c r="W378">
        <v>11</v>
      </c>
      <c r="X378">
        <v>3</v>
      </c>
      <c r="Y378">
        <v>3</v>
      </c>
      <c r="Z378">
        <v>1</v>
      </c>
      <c r="AA378">
        <v>18</v>
      </c>
      <c r="AB378">
        <v>2</v>
      </c>
      <c r="AC378">
        <v>2</v>
      </c>
      <c r="AD378" s="14">
        <v>7</v>
      </c>
      <c r="AE378" t="str">
        <f t="shared" si="11"/>
        <v>6-10 years</v>
      </c>
      <c r="AF378" s="14">
        <v>7</v>
      </c>
      <c r="AG378" s="14">
        <v>0</v>
      </c>
      <c r="AH378" s="14">
        <v>7</v>
      </c>
    </row>
    <row r="379" spans="1:34" x14ac:dyDescent="0.3">
      <c r="A379" s="14">
        <v>36</v>
      </c>
      <c r="B379" s="17" t="s">
        <v>43</v>
      </c>
      <c r="C379" t="s">
        <v>36</v>
      </c>
      <c r="D379">
        <v>329</v>
      </c>
      <c r="E379" s="17" t="s">
        <v>45</v>
      </c>
      <c r="F379">
        <v>2</v>
      </c>
      <c r="G379">
        <v>3</v>
      </c>
      <c r="H379" t="s">
        <v>38</v>
      </c>
      <c r="I379">
        <v>501</v>
      </c>
      <c r="J379">
        <v>4</v>
      </c>
      <c r="K379" s="17" t="s">
        <v>39</v>
      </c>
      <c r="L379">
        <v>96</v>
      </c>
      <c r="M379">
        <v>3</v>
      </c>
      <c r="N379">
        <v>1</v>
      </c>
      <c r="O379" s="17" t="s">
        <v>47</v>
      </c>
      <c r="P379" s="14">
        <v>3</v>
      </c>
      <c r="Q379" t="s">
        <v>48</v>
      </c>
      <c r="R379" s="14">
        <v>2543</v>
      </c>
      <c r="S379" s="17" t="str">
        <f t="shared" si="10"/>
        <v>low</v>
      </c>
      <c r="T379">
        <v>11868</v>
      </c>
      <c r="U379">
        <v>4</v>
      </c>
      <c r="V379" s="17" t="s">
        <v>43</v>
      </c>
      <c r="W379">
        <v>13</v>
      </c>
      <c r="X379">
        <v>3</v>
      </c>
      <c r="Y379">
        <v>2</v>
      </c>
      <c r="Z379">
        <v>1</v>
      </c>
      <c r="AA379">
        <v>6</v>
      </c>
      <c r="AB379">
        <v>3</v>
      </c>
      <c r="AC379">
        <v>3</v>
      </c>
      <c r="AD379" s="14">
        <v>2</v>
      </c>
      <c r="AE379" t="str">
        <f t="shared" si="11"/>
        <v>0-2 years</v>
      </c>
      <c r="AF379" s="14">
        <v>2</v>
      </c>
      <c r="AG379" s="14">
        <v>2</v>
      </c>
      <c r="AH379" s="14">
        <v>2</v>
      </c>
    </row>
    <row r="380" spans="1:34" x14ac:dyDescent="0.3">
      <c r="A380" s="14">
        <v>34</v>
      </c>
      <c r="B380" s="17" t="s">
        <v>35</v>
      </c>
      <c r="C380" t="s">
        <v>55</v>
      </c>
      <c r="D380">
        <v>1362</v>
      </c>
      <c r="E380" s="17" t="s">
        <v>37</v>
      </c>
      <c r="F380">
        <v>19</v>
      </c>
      <c r="G380">
        <v>3</v>
      </c>
      <c r="H380" t="s">
        <v>59</v>
      </c>
      <c r="I380">
        <v>502</v>
      </c>
      <c r="J380">
        <v>1</v>
      </c>
      <c r="K380" s="17" t="s">
        <v>46</v>
      </c>
      <c r="L380">
        <v>67</v>
      </c>
      <c r="M380">
        <v>4</v>
      </c>
      <c r="N380">
        <v>2</v>
      </c>
      <c r="O380" s="17" t="s">
        <v>40</v>
      </c>
      <c r="P380" s="14">
        <v>4</v>
      </c>
      <c r="Q380" t="s">
        <v>41</v>
      </c>
      <c r="R380" s="14">
        <v>5304</v>
      </c>
      <c r="S380" s="17" t="str">
        <f t="shared" si="10"/>
        <v>medium</v>
      </c>
      <c r="T380">
        <v>4652</v>
      </c>
      <c r="U380">
        <v>8</v>
      </c>
      <c r="V380" s="17" t="s">
        <v>35</v>
      </c>
      <c r="W380">
        <v>13</v>
      </c>
      <c r="X380">
        <v>3</v>
      </c>
      <c r="Y380">
        <v>2</v>
      </c>
      <c r="Z380">
        <v>0</v>
      </c>
      <c r="AA380">
        <v>9</v>
      </c>
      <c r="AB380">
        <v>3</v>
      </c>
      <c r="AC380">
        <v>2</v>
      </c>
      <c r="AD380" s="14">
        <v>5</v>
      </c>
      <c r="AE380" t="str">
        <f t="shared" si="11"/>
        <v>3-5 years</v>
      </c>
      <c r="AF380" s="14">
        <v>2</v>
      </c>
      <c r="AG380" s="14">
        <v>0</v>
      </c>
      <c r="AH380" s="14">
        <v>4</v>
      </c>
    </row>
    <row r="381" spans="1:34" x14ac:dyDescent="0.3">
      <c r="A381" s="14">
        <v>55</v>
      </c>
      <c r="B381" s="17" t="s">
        <v>43</v>
      </c>
      <c r="C381" t="s">
        <v>36</v>
      </c>
      <c r="D381">
        <v>1311</v>
      </c>
      <c r="E381" s="17" t="s">
        <v>45</v>
      </c>
      <c r="F381">
        <v>2</v>
      </c>
      <c r="G381">
        <v>3</v>
      </c>
      <c r="H381" t="s">
        <v>38</v>
      </c>
      <c r="I381">
        <v>505</v>
      </c>
      <c r="J381">
        <v>3</v>
      </c>
      <c r="K381" s="17" t="s">
        <v>39</v>
      </c>
      <c r="L381">
        <v>97</v>
      </c>
      <c r="M381">
        <v>3</v>
      </c>
      <c r="N381">
        <v>4</v>
      </c>
      <c r="O381" s="17" t="s">
        <v>56</v>
      </c>
      <c r="P381" s="14">
        <v>4</v>
      </c>
      <c r="Q381" t="s">
        <v>41</v>
      </c>
      <c r="R381" s="14">
        <v>16659</v>
      </c>
      <c r="S381" s="17" t="str">
        <f t="shared" si="10"/>
        <v>high</v>
      </c>
      <c r="T381">
        <v>23258</v>
      </c>
      <c r="U381">
        <v>2</v>
      </c>
      <c r="V381" s="17" t="s">
        <v>35</v>
      </c>
      <c r="W381">
        <v>13</v>
      </c>
      <c r="X381">
        <v>3</v>
      </c>
      <c r="Y381">
        <v>3</v>
      </c>
      <c r="Z381">
        <v>0</v>
      </c>
      <c r="AA381">
        <v>30</v>
      </c>
      <c r="AB381">
        <v>2</v>
      </c>
      <c r="AC381">
        <v>3</v>
      </c>
      <c r="AD381" s="14">
        <v>5</v>
      </c>
      <c r="AE381" t="str">
        <f t="shared" si="11"/>
        <v>3-5 years</v>
      </c>
      <c r="AF381" s="14">
        <v>4</v>
      </c>
      <c r="AG381" s="14">
        <v>1</v>
      </c>
      <c r="AH381" s="14">
        <v>2</v>
      </c>
    </row>
    <row r="382" spans="1:34" x14ac:dyDescent="0.3">
      <c r="A382" s="14">
        <v>24</v>
      </c>
      <c r="B382" s="17" t="s">
        <v>43</v>
      </c>
      <c r="C382" t="s">
        <v>36</v>
      </c>
      <c r="D382">
        <v>1371</v>
      </c>
      <c r="E382" s="17" t="s">
        <v>37</v>
      </c>
      <c r="F382">
        <v>10</v>
      </c>
      <c r="G382">
        <v>4</v>
      </c>
      <c r="H382" t="s">
        <v>59</v>
      </c>
      <c r="I382">
        <v>507</v>
      </c>
      <c r="J382">
        <v>4</v>
      </c>
      <c r="K382" s="17" t="s">
        <v>39</v>
      </c>
      <c r="L382">
        <v>77</v>
      </c>
      <c r="M382">
        <v>3</v>
      </c>
      <c r="N382">
        <v>2</v>
      </c>
      <c r="O382" s="17" t="s">
        <v>40</v>
      </c>
      <c r="P382" s="14">
        <v>3</v>
      </c>
      <c r="Q382" t="s">
        <v>52</v>
      </c>
      <c r="R382" s="14">
        <v>4260</v>
      </c>
      <c r="S382" s="17" t="str">
        <f t="shared" si="10"/>
        <v>medium</v>
      </c>
      <c r="T382">
        <v>5915</v>
      </c>
      <c r="U382">
        <v>1</v>
      </c>
      <c r="V382" s="17" t="s">
        <v>35</v>
      </c>
      <c r="W382">
        <v>12</v>
      </c>
      <c r="X382">
        <v>3</v>
      </c>
      <c r="Y382">
        <v>4</v>
      </c>
      <c r="Z382">
        <v>1</v>
      </c>
      <c r="AA382">
        <v>5</v>
      </c>
      <c r="AB382">
        <v>2</v>
      </c>
      <c r="AC382">
        <v>4</v>
      </c>
      <c r="AD382" s="14">
        <v>5</v>
      </c>
      <c r="AE382" t="str">
        <f t="shared" si="11"/>
        <v>3-5 years</v>
      </c>
      <c r="AF382" s="14">
        <v>2</v>
      </c>
      <c r="AG382" s="14">
        <v>0</v>
      </c>
      <c r="AH382" s="14">
        <v>3</v>
      </c>
    </row>
    <row r="383" spans="1:34" x14ac:dyDescent="0.3">
      <c r="A383" s="14">
        <v>30</v>
      </c>
      <c r="B383" s="17" t="s">
        <v>43</v>
      </c>
      <c r="C383" t="s">
        <v>36</v>
      </c>
      <c r="D383">
        <v>202</v>
      </c>
      <c r="E383" s="17" t="s">
        <v>37</v>
      </c>
      <c r="F383">
        <v>2</v>
      </c>
      <c r="G383">
        <v>1</v>
      </c>
      <c r="H383" t="s">
        <v>60</v>
      </c>
      <c r="I383">
        <v>508</v>
      </c>
      <c r="J383">
        <v>3</v>
      </c>
      <c r="K383" s="17" t="s">
        <v>46</v>
      </c>
      <c r="L383">
        <v>72</v>
      </c>
      <c r="M383">
        <v>3</v>
      </c>
      <c r="N383">
        <v>1</v>
      </c>
      <c r="O383" s="17" t="s">
        <v>57</v>
      </c>
      <c r="P383" s="14">
        <v>2</v>
      </c>
      <c r="Q383" t="s">
        <v>48</v>
      </c>
      <c r="R383" s="14">
        <v>2476</v>
      </c>
      <c r="S383" s="17" t="str">
        <f t="shared" si="10"/>
        <v>low</v>
      </c>
      <c r="T383">
        <v>17434</v>
      </c>
      <c r="U383">
        <v>1</v>
      </c>
      <c r="V383" s="17" t="s">
        <v>43</v>
      </c>
      <c r="W383">
        <v>18</v>
      </c>
      <c r="X383">
        <v>3</v>
      </c>
      <c r="Y383">
        <v>1</v>
      </c>
      <c r="Z383">
        <v>1</v>
      </c>
      <c r="AA383">
        <v>1</v>
      </c>
      <c r="AB383">
        <v>3</v>
      </c>
      <c r="AC383">
        <v>3</v>
      </c>
      <c r="AD383" s="14">
        <v>1</v>
      </c>
      <c r="AE383" t="str">
        <f t="shared" si="11"/>
        <v>0-2 years</v>
      </c>
      <c r="AF383" s="14">
        <v>0</v>
      </c>
      <c r="AG383" s="14">
        <v>0</v>
      </c>
      <c r="AH383" s="14">
        <v>0</v>
      </c>
    </row>
    <row r="384" spans="1:34" x14ac:dyDescent="0.3">
      <c r="A384" s="14">
        <v>26</v>
      </c>
      <c r="B384" s="17" t="s">
        <v>35</v>
      </c>
      <c r="C384" t="s">
        <v>44</v>
      </c>
      <c r="D384">
        <v>575</v>
      </c>
      <c r="E384" s="17" t="s">
        <v>45</v>
      </c>
      <c r="F384">
        <v>3</v>
      </c>
      <c r="G384">
        <v>1</v>
      </c>
      <c r="H384" t="s">
        <v>60</v>
      </c>
      <c r="I384">
        <v>510</v>
      </c>
      <c r="J384">
        <v>3</v>
      </c>
      <c r="K384" s="17" t="s">
        <v>46</v>
      </c>
      <c r="L384">
        <v>73</v>
      </c>
      <c r="M384">
        <v>3</v>
      </c>
      <c r="N384">
        <v>1</v>
      </c>
      <c r="O384" s="17" t="s">
        <v>47</v>
      </c>
      <c r="P384" s="14">
        <v>1</v>
      </c>
      <c r="Q384" t="s">
        <v>41</v>
      </c>
      <c r="R384" s="14">
        <v>3102</v>
      </c>
      <c r="S384" s="17" t="str">
        <f t="shared" si="10"/>
        <v>medium</v>
      </c>
      <c r="T384">
        <v>6582</v>
      </c>
      <c r="U384">
        <v>0</v>
      </c>
      <c r="V384" s="17" t="s">
        <v>43</v>
      </c>
      <c r="W384">
        <v>22</v>
      </c>
      <c r="X384">
        <v>4</v>
      </c>
      <c r="Y384">
        <v>3</v>
      </c>
      <c r="Z384">
        <v>0</v>
      </c>
      <c r="AA384">
        <v>7</v>
      </c>
      <c r="AB384">
        <v>2</v>
      </c>
      <c r="AC384">
        <v>3</v>
      </c>
      <c r="AD384" s="14">
        <v>6</v>
      </c>
      <c r="AE384" t="str">
        <f t="shared" si="11"/>
        <v>6-10 years</v>
      </c>
      <c r="AF384" s="14">
        <v>4</v>
      </c>
      <c r="AG384" s="14">
        <v>0</v>
      </c>
      <c r="AH384" s="14">
        <v>4</v>
      </c>
    </row>
    <row r="385" spans="1:34" x14ac:dyDescent="0.3">
      <c r="A385" s="14">
        <v>22</v>
      </c>
      <c r="B385" s="17" t="s">
        <v>43</v>
      </c>
      <c r="C385" t="s">
        <v>36</v>
      </c>
      <c r="D385">
        <v>253</v>
      </c>
      <c r="E385" s="17" t="s">
        <v>45</v>
      </c>
      <c r="F385">
        <v>11</v>
      </c>
      <c r="G385">
        <v>3</v>
      </c>
      <c r="H385" t="s">
        <v>51</v>
      </c>
      <c r="I385">
        <v>511</v>
      </c>
      <c r="J385">
        <v>1</v>
      </c>
      <c r="K385" s="17" t="s">
        <v>39</v>
      </c>
      <c r="L385">
        <v>43</v>
      </c>
      <c r="M385">
        <v>3</v>
      </c>
      <c r="N385">
        <v>1</v>
      </c>
      <c r="O385" s="17" t="s">
        <v>47</v>
      </c>
      <c r="P385" s="14">
        <v>2</v>
      </c>
      <c r="Q385" t="s">
        <v>48</v>
      </c>
      <c r="R385" s="14">
        <v>2244</v>
      </c>
      <c r="S385" s="17" t="str">
        <f t="shared" si="10"/>
        <v>low</v>
      </c>
      <c r="T385">
        <v>24440</v>
      </c>
      <c r="U385">
        <v>1</v>
      </c>
      <c r="V385" s="17" t="s">
        <v>43</v>
      </c>
      <c r="W385">
        <v>13</v>
      </c>
      <c r="X385">
        <v>3</v>
      </c>
      <c r="Y385">
        <v>4</v>
      </c>
      <c r="Z385">
        <v>1</v>
      </c>
      <c r="AA385">
        <v>2</v>
      </c>
      <c r="AB385">
        <v>1</v>
      </c>
      <c r="AC385">
        <v>3</v>
      </c>
      <c r="AD385" s="14">
        <v>2</v>
      </c>
      <c r="AE385" t="str">
        <f t="shared" si="11"/>
        <v>0-2 years</v>
      </c>
      <c r="AF385" s="14">
        <v>1</v>
      </c>
      <c r="AG385" s="14">
        <v>1</v>
      </c>
      <c r="AH385" s="14">
        <v>2</v>
      </c>
    </row>
    <row r="386" spans="1:34" x14ac:dyDescent="0.3">
      <c r="A386" s="14">
        <v>36</v>
      </c>
      <c r="B386" s="17" t="s">
        <v>43</v>
      </c>
      <c r="C386" t="s">
        <v>36</v>
      </c>
      <c r="D386">
        <v>164</v>
      </c>
      <c r="E386" s="17" t="s">
        <v>37</v>
      </c>
      <c r="F386">
        <v>2</v>
      </c>
      <c r="G386">
        <v>2</v>
      </c>
      <c r="H386" t="s">
        <v>51</v>
      </c>
      <c r="I386">
        <v>513</v>
      </c>
      <c r="J386">
        <v>2</v>
      </c>
      <c r="K386" s="17" t="s">
        <v>46</v>
      </c>
      <c r="L386">
        <v>61</v>
      </c>
      <c r="M386">
        <v>2</v>
      </c>
      <c r="N386">
        <v>3</v>
      </c>
      <c r="O386" s="17" t="s">
        <v>40</v>
      </c>
      <c r="P386" s="14">
        <v>3</v>
      </c>
      <c r="Q386" t="s">
        <v>48</v>
      </c>
      <c r="R386" s="14">
        <v>7596</v>
      </c>
      <c r="S386" s="17" t="str">
        <f t="shared" ref="S386:S449" si="12">IF(R386&lt;=3000, "low",IF(R386&lt;=7000,"medium","high"))</f>
        <v>high</v>
      </c>
      <c r="T386">
        <v>3809</v>
      </c>
      <c r="U386">
        <v>1</v>
      </c>
      <c r="V386" s="17" t="s">
        <v>43</v>
      </c>
      <c r="W386">
        <v>13</v>
      </c>
      <c r="X386">
        <v>3</v>
      </c>
      <c r="Y386">
        <v>2</v>
      </c>
      <c r="Z386">
        <v>2</v>
      </c>
      <c r="AA386">
        <v>10</v>
      </c>
      <c r="AB386">
        <v>2</v>
      </c>
      <c r="AC386">
        <v>3</v>
      </c>
      <c r="AD386" s="14">
        <v>10</v>
      </c>
      <c r="AE386" t="str">
        <f t="shared" ref="AE386:AE449" si="13">IF(AD386&lt;=2,"0-2 years", IF(AD386&lt;=5,"3-5 years", IF(AD386&lt;=10,"6-10 years","10+ years")))</f>
        <v>6-10 years</v>
      </c>
      <c r="AF386" s="14">
        <v>9</v>
      </c>
      <c r="AG386" s="14">
        <v>9</v>
      </c>
      <c r="AH386" s="14">
        <v>0</v>
      </c>
    </row>
    <row r="387" spans="1:34" x14ac:dyDescent="0.3">
      <c r="A387" s="14">
        <v>30</v>
      </c>
      <c r="B387" s="17" t="s">
        <v>35</v>
      </c>
      <c r="C387" t="s">
        <v>44</v>
      </c>
      <c r="D387">
        <v>464</v>
      </c>
      <c r="E387" s="17" t="s">
        <v>45</v>
      </c>
      <c r="F387">
        <v>4</v>
      </c>
      <c r="G387">
        <v>3</v>
      </c>
      <c r="H387" t="s">
        <v>60</v>
      </c>
      <c r="I387">
        <v>514</v>
      </c>
      <c r="J387">
        <v>3</v>
      </c>
      <c r="K387" s="17" t="s">
        <v>46</v>
      </c>
      <c r="L387">
        <v>40</v>
      </c>
      <c r="M387">
        <v>3</v>
      </c>
      <c r="N387">
        <v>1</v>
      </c>
      <c r="O387" s="17" t="s">
        <v>47</v>
      </c>
      <c r="P387" s="14">
        <v>4</v>
      </c>
      <c r="Q387" t="s">
        <v>41</v>
      </c>
      <c r="R387" s="14">
        <v>2285</v>
      </c>
      <c r="S387" s="17" t="str">
        <f t="shared" si="12"/>
        <v>low</v>
      </c>
      <c r="T387">
        <v>3427</v>
      </c>
      <c r="U387">
        <v>9</v>
      </c>
      <c r="V387" s="17" t="s">
        <v>35</v>
      </c>
      <c r="W387">
        <v>23</v>
      </c>
      <c r="X387">
        <v>4</v>
      </c>
      <c r="Y387">
        <v>3</v>
      </c>
      <c r="Z387">
        <v>0</v>
      </c>
      <c r="AA387">
        <v>3</v>
      </c>
      <c r="AB387">
        <v>4</v>
      </c>
      <c r="AC387">
        <v>3</v>
      </c>
      <c r="AD387" s="14">
        <v>1</v>
      </c>
      <c r="AE387" t="str">
        <f t="shared" si="13"/>
        <v>0-2 years</v>
      </c>
      <c r="AF387" s="14">
        <v>0</v>
      </c>
      <c r="AG387" s="14">
        <v>0</v>
      </c>
      <c r="AH387" s="14">
        <v>0</v>
      </c>
    </row>
    <row r="388" spans="1:34" x14ac:dyDescent="0.3">
      <c r="A388" s="14">
        <v>37</v>
      </c>
      <c r="B388" s="17" t="s">
        <v>43</v>
      </c>
      <c r="C388" t="s">
        <v>36</v>
      </c>
      <c r="D388">
        <v>1107</v>
      </c>
      <c r="E388" s="17" t="s">
        <v>45</v>
      </c>
      <c r="F388">
        <v>14</v>
      </c>
      <c r="G388">
        <v>3</v>
      </c>
      <c r="H388" t="s">
        <v>38</v>
      </c>
      <c r="I388">
        <v>515</v>
      </c>
      <c r="J388">
        <v>4</v>
      </c>
      <c r="K388" s="17" t="s">
        <v>39</v>
      </c>
      <c r="L388">
        <v>95</v>
      </c>
      <c r="M388">
        <v>3</v>
      </c>
      <c r="N388">
        <v>1</v>
      </c>
      <c r="O388" s="17" t="s">
        <v>50</v>
      </c>
      <c r="P388" s="14">
        <v>1</v>
      </c>
      <c r="Q388" t="s">
        <v>52</v>
      </c>
      <c r="R388" s="14">
        <v>3034</v>
      </c>
      <c r="S388" s="17" t="str">
        <f t="shared" si="12"/>
        <v>medium</v>
      </c>
      <c r="T388">
        <v>26914</v>
      </c>
      <c r="U388">
        <v>1</v>
      </c>
      <c r="V388" s="17" t="s">
        <v>43</v>
      </c>
      <c r="W388">
        <v>12</v>
      </c>
      <c r="X388">
        <v>3</v>
      </c>
      <c r="Y388">
        <v>3</v>
      </c>
      <c r="Z388">
        <v>1</v>
      </c>
      <c r="AA388">
        <v>18</v>
      </c>
      <c r="AB388">
        <v>2</v>
      </c>
      <c r="AC388">
        <v>2</v>
      </c>
      <c r="AD388" s="14">
        <v>18</v>
      </c>
      <c r="AE388" t="str">
        <f t="shared" si="13"/>
        <v>10+ years</v>
      </c>
      <c r="AF388" s="14">
        <v>7</v>
      </c>
      <c r="AG388" s="14">
        <v>12</v>
      </c>
      <c r="AH388" s="14">
        <v>17</v>
      </c>
    </row>
    <row r="389" spans="1:34" x14ac:dyDescent="0.3">
      <c r="A389" s="14">
        <v>40</v>
      </c>
      <c r="B389" s="17" t="s">
        <v>43</v>
      </c>
      <c r="C389" t="s">
        <v>36</v>
      </c>
      <c r="D389">
        <v>759</v>
      </c>
      <c r="E389" s="17" t="s">
        <v>37</v>
      </c>
      <c r="F389">
        <v>2</v>
      </c>
      <c r="G389">
        <v>2</v>
      </c>
      <c r="H389" t="s">
        <v>59</v>
      </c>
      <c r="I389">
        <v>516</v>
      </c>
      <c r="J389">
        <v>4</v>
      </c>
      <c r="K389" s="17" t="s">
        <v>39</v>
      </c>
      <c r="L389">
        <v>46</v>
      </c>
      <c r="M389">
        <v>3</v>
      </c>
      <c r="N389">
        <v>2</v>
      </c>
      <c r="O389" s="17" t="s">
        <v>40</v>
      </c>
      <c r="P389" s="14">
        <v>2</v>
      </c>
      <c r="Q389" t="s">
        <v>52</v>
      </c>
      <c r="R389" s="14">
        <v>5715</v>
      </c>
      <c r="S389" s="17" t="str">
        <f t="shared" si="12"/>
        <v>medium</v>
      </c>
      <c r="T389">
        <v>22553</v>
      </c>
      <c r="U389">
        <v>7</v>
      </c>
      <c r="V389" s="17" t="s">
        <v>43</v>
      </c>
      <c r="W389">
        <v>12</v>
      </c>
      <c r="X389">
        <v>3</v>
      </c>
      <c r="Y389">
        <v>3</v>
      </c>
      <c r="Z389">
        <v>2</v>
      </c>
      <c r="AA389">
        <v>8</v>
      </c>
      <c r="AB389">
        <v>5</v>
      </c>
      <c r="AC389">
        <v>3</v>
      </c>
      <c r="AD389" s="14">
        <v>5</v>
      </c>
      <c r="AE389" t="str">
        <f t="shared" si="13"/>
        <v>3-5 years</v>
      </c>
      <c r="AF389" s="14">
        <v>4</v>
      </c>
      <c r="AG389" s="14">
        <v>1</v>
      </c>
      <c r="AH389" s="14">
        <v>3</v>
      </c>
    </row>
    <row r="390" spans="1:34" x14ac:dyDescent="0.3">
      <c r="A390" s="14">
        <v>42</v>
      </c>
      <c r="B390" s="17" t="s">
        <v>43</v>
      </c>
      <c r="C390" t="s">
        <v>36</v>
      </c>
      <c r="D390">
        <v>201</v>
      </c>
      <c r="E390" s="17" t="s">
        <v>45</v>
      </c>
      <c r="F390">
        <v>1</v>
      </c>
      <c r="G390">
        <v>4</v>
      </c>
      <c r="H390" t="s">
        <v>38</v>
      </c>
      <c r="I390">
        <v>517</v>
      </c>
      <c r="J390">
        <v>2</v>
      </c>
      <c r="K390" s="17" t="s">
        <v>39</v>
      </c>
      <c r="L390">
        <v>95</v>
      </c>
      <c r="M390">
        <v>3</v>
      </c>
      <c r="N390">
        <v>1</v>
      </c>
      <c r="O390" s="17" t="s">
        <v>50</v>
      </c>
      <c r="P390" s="14">
        <v>1</v>
      </c>
      <c r="Q390" t="s">
        <v>52</v>
      </c>
      <c r="R390" s="14">
        <v>2576</v>
      </c>
      <c r="S390" s="17" t="str">
        <f t="shared" si="12"/>
        <v>low</v>
      </c>
      <c r="T390">
        <v>20490</v>
      </c>
      <c r="U390">
        <v>3</v>
      </c>
      <c r="V390" s="17" t="s">
        <v>43</v>
      </c>
      <c r="W390">
        <v>16</v>
      </c>
      <c r="X390">
        <v>3</v>
      </c>
      <c r="Y390">
        <v>2</v>
      </c>
      <c r="Z390">
        <v>1</v>
      </c>
      <c r="AA390">
        <v>8</v>
      </c>
      <c r="AB390">
        <v>5</v>
      </c>
      <c r="AC390">
        <v>3</v>
      </c>
      <c r="AD390" s="14">
        <v>5</v>
      </c>
      <c r="AE390" t="str">
        <f t="shared" si="13"/>
        <v>3-5 years</v>
      </c>
      <c r="AF390" s="14">
        <v>2</v>
      </c>
      <c r="AG390" s="14">
        <v>1</v>
      </c>
      <c r="AH390" s="14">
        <v>2</v>
      </c>
    </row>
    <row r="391" spans="1:34" x14ac:dyDescent="0.3">
      <c r="A391" s="14">
        <v>37</v>
      </c>
      <c r="B391" s="17" t="s">
        <v>43</v>
      </c>
      <c r="C391" t="s">
        <v>36</v>
      </c>
      <c r="D391">
        <v>1305</v>
      </c>
      <c r="E391" s="17" t="s">
        <v>45</v>
      </c>
      <c r="F391">
        <v>10</v>
      </c>
      <c r="G391">
        <v>4</v>
      </c>
      <c r="H391" t="s">
        <v>38</v>
      </c>
      <c r="I391">
        <v>518</v>
      </c>
      <c r="J391">
        <v>3</v>
      </c>
      <c r="K391" s="17" t="s">
        <v>46</v>
      </c>
      <c r="L391">
        <v>49</v>
      </c>
      <c r="M391">
        <v>3</v>
      </c>
      <c r="N391">
        <v>2</v>
      </c>
      <c r="O391" s="17" t="s">
        <v>53</v>
      </c>
      <c r="P391" s="14">
        <v>2</v>
      </c>
      <c r="Q391" t="s">
        <v>41</v>
      </c>
      <c r="R391" s="14">
        <v>4197</v>
      </c>
      <c r="S391" s="17" t="str">
        <f t="shared" si="12"/>
        <v>medium</v>
      </c>
      <c r="T391">
        <v>21123</v>
      </c>
      <c r="U391">
        <v>2</v>
      </c>
      <c r="V391" s="17" t="s">
        <v>35</v>
      </c>
      <c r="W391">
        <v>12</v>
      </c>
      <c r="X391">
        <v>3</v>
      </c>
      <c r="Y391">
        <v>4</v>
      </c>
      <c r="Z391">
        <v>0</v>
      </c>
      <c r="AA391">
        <v>18</v>
      </c>
      <c r="AB391">
        <v>2</v>
      </c>
      <c r="AC391">
        <v>2</v>
      </c>
      <c r="AD391" s="14">
        <v>1</v>
      </c>
      <c r="AE391" t="str">
        <f t="shared" si="13"/>
        <v>0-2 years</v>
      </c>
      <c r="AF391" s="14">
        <v>0</v>
      </c>
      <c r="AG391" s="14">
        <v>0</v>
      </c>
      <c r="AH391" s="14">
        <v>1</v>
      </c>
    </row>
    <row r="392" spans="1:34" x14ac:dyDescent="0.3">
      <c r="A392" s="14">
        <v>43</v>
      </c>
      <c r="B392" s="17" t="s">
        <v>43</v>
      </c>
      <c r="C392" t="s">
        <v>36</v>
      </c>
      <c r="D392">
        <v>982</v>
      </c>
      <c r="E392" s="17" t="s">
        <v>45</v>
      </c>
      <c r="F392">
        <v>12</v>
      </c>
      <c r="G392">
        <v>3</v>
      </c>
      <c r="H392" t="s">
        <v>38</v>
      </c>
      <c r="I392">
        <v>520</v>
      </c>
      <c r="J392">
        <v>1</v>
      </c>
      <c r="K392" s="17" t="s">
        <v>46</v>
      </c>
      <c r="L392">
        <v>59</v>
      </c>
      <c r="M392">
        <v>2</v>
      </c>
      <c r="N392">
        <v>4</v>
      </c>
      <c r="O392" s="17" t="s">
        <v>58</v>
      </c>
      <c r="P392" s="14">
        <v>2</v>
      </c>
      <c r="Q392" t="s">
        <v>52</v>
      </c>
      <c r="R392" s="14">
        <v>14336</v>
      </c>
      <c r="S392" s="17" t="str">
        <f t="shared" si="12"/>
        <v>high</v>
      </c>
      <c r="T392">
        <v>4345</v>
      </c>
      <c r="U392">
        <v>1</v>
      </c>
      <c r="V392" s="17" t="s">
        <v>43</v>
      </c>
      <c r="W392">
        <v>11</v>
      </c>
      <c r="X392">
        <v>3</v>
      </c>
      <c r="Y392">
        <v>3</v>
      </c>
      <c r="Z392">
        <v>1</v>
      </c>
      <c r="AA392">
        <v>25</v>
      </c>
      <c r="AB392">
        <v>3</v>
      </c>
      <c r="AC392">
        <v>3</v>
      </c>
      <c r="AD392" s="14">
        <v>25</v>
      </c>
      <c r="AE392" t="str">
        <f t="shared" si="13"/>
        <v>10+ years</v>
      </c>
      <c r="AF392" s="14">
        <v>10</v>
      </c>
      <c r="AG392" s="14">
        <v>3</v>
      </c>
      <c r="AH392" s="14">
        <v>9</v>
      </c>
    </row>
    <row r="393" spans="1:34" x14ac:dyDescent="0.3">
      <c r="A393" s="14">
        <v>40</v>
      </c>
      <c r="B393" s="17" t="s">
        <v>43</v>
      </c>
      <c r="C393" t="s">
        <v>36</v>
      </c>
      <c r="D393">
        <v>555</v>
      </c>
      <c r="E393" s="17" t="s">
        <v>45</v>
      </c>
      <c r="F393">
        <v>2</v>
      </c>
      <c r="G393">
        <v>3</v>
      </c>
      <c r="H393" t="s">
        <v>51</v>
      </c>
      <c r="I393">
        <v>521</v>
      </c>
      <c r="J393">
        <v>2</v>
      </c>
      <c r="K393" s="17" t="s">
        <v>39</v>
      </c>
      <c r="L393">
        <v>78</v>
      </c>
      <c r="M393">
        <v>2</v>
      </c>
      <c r="N393">
        <v>2</v>
      </c>
      <c r="O393" s="17" t="s">
        <v>50</v>
      </c>
      <c r="P393" s="14">
        <v>3</v>
      </c>
      <c r="Q393" t="s">
        <v>48</v>
      </c>
      <c r="R393" s="14">
        <v>3448</v>
      </c>
      <c r="S393" s="17" t="str">
        <f t="shared" si="12"/>
        <v>medium</v>
      </c>
      <c r="T393">
        <v>13436</v>
      </c>
      <c r="U393">
        <v>6</v>
      </c>
      <c r="V393" s="17" t="s">
        <v>43</v>
      </c>
      <c r="W393">
        <v>22</v>
      </c>
      <c r="X393">
        <v>4</v>
      </c>
      <c r="Y393">
        <v>2</v>
      </c>
      <c r="Z393">
        <v>1</v>
      </c>
      <c r="AA393">
        <v>20</v>
      </c>
      <c r="AB393">
        <v>3</v>
      </c>
      <c r="AC393">
        <v>3</v>
      </c>
      <c r="AD393" s="14">
        <v>1</v>
      </c>
      <c r="AE393" t="str">
        <f t="shared" si="13"/>
        <v>0-2 years</v>
      </c>
      <c r="AF393" s="14">
        <v>0</v>
      </c>
      <c r="AG393" s="14">
        <v>0</v>
      </c>
      <c r="AH393" s="14">
        <v>0</v>
      </c>
    </row>
    <row r="394" spans="1:34" x14ac:dyDescent="0.3">
      <c r="A394" s="14">
        <v>54</v>
      </c>
      <c r="B394" s="17" t="s">
        <v>43</v>
      </c>
      <c r="C394" t="s">
        <v>36</v>
      </c>
      <c r="D394">
        <v>821</v>
      </c>
      <c r="E394" s="17" t="s">
        <v>45</v>
      </c>
      <c r="F394">
        <v>5</v>
      </c>
      <c r="G394">
        <v>2</v>
      </c>
      <c r="H394" t="s">
        <v>51</v>
      </c>
      <c r="I394">
        <v>522</v>
      </c>
      <c r="J394">
        <v>1</v>
      </c>
      <c r="K394" s="17" t="s">
        <v>46</v>
      </c>
      <c r="L394">
        <v>86</v>
      </c>
      <c r="M394">
        <v>3</v>
      </c>
      <c r="N394">
        <v>5</v>
      </c>
      <c r="O394" s="17" t="s">
        <v>58</v>
      </c>
      <c r="P394" s="14">
        <v>1</v>
      </c>
      <c r="Q394" t="s">
        <v>48</v>
      </c>
      <c r="R394" s="14">
        <v>19406</v>
      </c>
      <c r="S394" s="17" t="str">
        <f t="shared" si="12"/>
        <v>high</v>
      </c>
      <c r="T394">
        <v>8509</v>
      </c>
      <c r="U394">
        <v>4</v>
      </c>
      <c r="V394" s="17" t="s">
        <v>43</v>
      </c>
      <c r="W394">
        <v>11</v>
      </c>
      <c r="X394">
        <v>3</v>
      </c>
      <c r="Y394">
        <v>3</v>
      </c>
      <c r="Z394">
        <v>1</v>
      </c>
      <c r="AA394">
        <v>24</v>
      </c>
      <c r="AB394">
        <v>4</v>
      </c>
      <c r="AC394">
        <v>2</v>
      </c>
      <c r="AD394" s="14">
        <v>4</v>
      </c>
      <c r="AE394" t="str">
        <f t="shared" si="13"/>
        <v>3-5 years</v>
      </c>
      <c r="AF394" s="14">
        <v>2</v>
      </c>
      <c r="AG394" s="14">
        <v>1</v>
      </c>
      <c r="AH394" s="14">
        <v>2</v>
      </c>
    </row>
    <row r="395" spans="1:34" x14ac:dyDescent="0.3">
      <c r="A395" s="14">
        <v>34</v>
      </c>
      <c r="B395" s="17" t="s">
        <v>43</v>
      </c>
      <c r="C395" t="s">
        <v>55</v>
      </c>
      <c r="D395">
        <v>1381</v>
      </c>
      <c r="E395" s="17" t="s">
        <v>37</v>
      </c>
      <c r="F395">
        <v>4</v>
      </c>
      <c r="G395">
        <v>4</v>
      </c>
      <c r="H395" t="s">
        <v>59</v>
      </c>
      <c r="I395">
        <v>523</v>
      </c>
      <c r="J395">
        <v>3</v>
      </c>
      <c r="K395" s="17" t="s">
        <v>39</v>
      </c>
      <c r="L395">
        <v>72</v>
      </c>
      <c r="M395">
        <v>3</v>
      </c>
      <c r="N395">
        <v>2</v>
      </c>
      <c r="O395" s="17" t="s">
        <v>40</v>
      </c>
      <c r="P395" s="14">
        <v>3</v>
      </c>
      <c r="Q395" t="s">
        <v>48</v>
      </c>
      <c r="R395" s="14">
        <v>6538</v>
      </c>
      <c r="S395" s="17" t="str">
        <f t="shared" si="12"/>
        <v>medium</v>
      </c>
      <c r="T395">
        <v>12740</v>
      </c>
      <c r="U395">
        <v>9</v>
      </c>
      <c r="V395" s="17" t="s">
        <v>43</v>
      </c>
      <c r="W395">
        <v>15</v>
      </c>
      <c r="X395">
        <v>3</v>
      </c>
      <c r="Y395">
        <v>1</v>
      </c>
      <c r="Z395">
        <v>1</v>
      </c>
      <c r="AA395">
        <v>6</v>
      </c>
      <c r="AB395">
        <v>3</v>
      </c>
      <c r="AC395">
        <v>3</v>
      </c>
      <c r="AD395" s="14">
        <v>3</v>
      </c>
      <c r="AE395" t="str">
        <f t="shared" si="13"/>
        <v>3-5 years</v>
      </c>
      <c r="AF395" s="14">
        <v>2</v>
      </c>
      <c r="AG395" s="14">
        <v>1</v>
      </c>
      <c r="AH395" s="14">
        <v>2</v>
      </c>
    </row>
    <row r="396" spans="1:34" x14ac:dyDescent="0.3">
      <c r="A396" s="14">
        <v>31</v>
      </c>
      <c r="B396" s="17" t="s">
        <v>43</v>
      </c>
      <c r="C396" t="s">
        <v>36</v>
      </c>
      <c r="D396">
        <v>480</v>
      </c>
      <c r="E396" s="17" t="s">
        <v>45</v>
      </c>
      <c r="F396">
        <v>7</v>
      </c>
      <c r="G396">
        <v>2</v>
      </c>
      <c r="H396" t="s">
        <v>51</v>
      </c>
      <c r="I396">
        <v>524</v>
      </c>
      <c r="J396">
        <v>2</v>
      </c>
      <c r="K396" s="17" t="s">
        <v>39</v>
      </c>
      <c r="L396">
        <v>31</v>
      </c>
      <c r="M396">
        <v>3</v>
      </c>
      <c r="N396">
        <v>2</v>
      </c>
      <c r="O396" s="17" t="s">
        <v>53</v>
      </c>
      <c r="P396" s="14">
        <v>1</v>
      </c>
      <c r="Q396" t="s">
        <v>48</v>
      </c>
      <c r="R396" s="14">
        <v>4306</v>
      </c>
      <c r="S396" s="17" t="str">
        <f t="shared" si="12"/>
        <v>medium</v>
      </c>
      <c r="T396">
        <v>4156</v>
      </c>
      <c r="U396">
        <v>1</v>
      </c>
      <c r="V396" s="17" t="s">
        <v>43</v>
      </c>
      <c r="W396">
        <v>12</v>
      </c>
      <c r="X396">
        <v>3</v>
      </c>
      <c r="Y396">
        <v>2</v>
      </c>
      <c r="Z396">
        <v>1</v>
      </c>
      <c r="AA396">
        <v>13</v>
      </c>
      <c r="AB396">
        <v>5</v>
      </c>
      <c r="AC396">
        <v>1</v>
      </c>
      <c r="AD396" s="14">
        <v>13</v>
      </c>
      <c r="AE396" t="str">
        <f t="shared" si="13"/>
        <v>10+ years</v>
      </c>
      <c r="AF396" s="14">
        <v>10</v>
      </c>
      <c r="AG396" s="14">
        <v>3</v>
      </c>
      <c r="AH396" s="14">
        <v>12</v>
      </c>
    </row>
    <row r="397" spans="1:34" x14ac:dyDescent="0.3">
      <c r="A397" s="14">
        <v>43</v>
      </c>
      <c r="B397" s="17" t="s">
        <v>43</v>
      </c>
      <c r="C397" t="s">
        <v>44</v>
      </c>
      <c r="D397">
        <v>313</v>
      </c>
      <c r="E397" s="17" t="s">
        <v>45</v>
      </c>
      <c r="F397">
        <v>21</v>
      </c>
      <c r="G397">
        <v>3</v>
      </c>
      <c r="H397" t="s">
        <v>51</v>
      </c>
      <c r="I397">
        <v>525</v>
      </c>
      <c r="J397">
        <v>4</v>
      </c>
      <c r="K397" s="17" t="s">
        <v>46</v>
      </c>
      <c r="L397">
        <v>61</v>
      </c>
      <c r="M397">
        <v>3</v>
      </c>
      <c r="N397">
        <v>1</v>
      </c>
      <c r="O397" s="17" t="s">
        <v>50</v>
      </c>
      <c r="P397" s="14">
        <v>4</v>
      </c>
      <c r="Q397" t="s">
        <v>48</v>
      </c>
      <c r="R397" s="14">
        <v>2258</v>
      </c>
      <c r="S397" s="17" t="str">
        <f t="shared" si="12"/>
        <v>low</v>
      </c>
      <c r="T397">
        <v>15238</v>
      </c>
      <c r="U397">
        <v>7</v>
      </c>
      <c r="V397" s="17" t="s">
        <v>43</v>
      </c>
      <c r="W397">
        <v>20</v>
      </c>
      <c r="X397">
        <v>4</v>
      </c>
      <c r="Y397">
        <v>1</v>
      </c>
      <c r="Z397">
        <v>1</v>
      </c>
      <c r="AA397">
        <v>8</v>
      </c>
      <c r="AB397">
        <v>1</v>
      </c>
      <c r="AC397">
        <v>3</v>
      </c>
      <c r="AD397" s="14">
        <v>3</v>
      </c>
      <c r="AE397" t="str">
        <f t="shared" si="13"/>
        <v>3-5 years</v>
      </c>
      <c r="AF397" s="14">
        <v>2</v>
      </c>
      <c r="AG397" s="14">
        <v>1</v>
      </c>
      <c r="AH397" s="14">
        <v>2</v>
      </c>
    </row>
    <row r="398" spans="1:34" x14ac:dyDescent="0.3">
      <c r="A398" s="14">
        <v>43</v>
      </c>
      <c r="B398" s="17" t="s">
        <v>43</v>
      </c>
      <c r="C398" t="s">
        <v>36</v>
      </c>
      <c r="D398">
        <v>1473</v>
      </c>
      <c r="E398" s="17" t="s">
        <v>45</v>
      </c>
      <c r="F398">
        <v>8</v>
      </c>
      <c r="G398">
        <v>4</v>
      </c>
      <c r="H398" t="s">
        <v>49</v>
      </c>
      <c r="I398">
        <v>526</v>
      </c>
      <c r="J398">
        <v>3</v>
      </c>
      <c r="K398" s="17" t="s">
        <v>39</v>
      </c>
      <c r="L398">
        <v>74</v>
      </c>
      <c r="M398">
        <v>3</v>
      </c>
      <c r="N398">
        <v>2</v>
      </c>
      <c r="O398" s="17" t="s">
        <v>54</v>
      </c>
      <c r="P398" s="14">
        <v>3</v>
      </c>
      <c r="Q398" t="s">
        <v>52</v>
      </c>
      <c r="R398" s="14">
        <v>4522</v>
      </c>
      <c r="S398" s="17" t="str">
        <f t="shared" si="12"/>
        <v>medium</v>
      </c>
      <c r="T398">
        <v>2227</v>
      </c>
      <c r="U398">
        <v>4</v>
      </c>
      <c r="V398" s="17" t="s">
        <v>35</v>
      </c>
      <c r="W398">
        <v>14</v>
      </c>
      <c r="X398">
        <v>3</v>
      </c>
      <c r="Y398">
        <v>4</v>
      </c>
      <c r="Z398">
        <v>0</v>
      </c>
      <c r="AA398">
        <v>8</v>
      </c>
      <c r="AB398">
        <v>3</v>
      </c>
      <c r="AC398">
        <v>3</v>
      </c>
      <c r="AD398" s="14">
        <v>5</v>
      </c>
      <c r="AE398" t="str">
        <f t="shared" si="13"/>
        <v>3-5 years</v>
      </c>
      <c r="AF398" s="14">
        <v>2</v>
      </c>
      <c r="AG398" s="14">
        <v>0</v>
      </c>
      <c r="AH398" s="14">
        <v>2</v>
      </c>
    </row>
    <row r="399" spans="1:34" x14ac:dyDescent="0.3">
      <c r="A399" s="14">
        <v>25</v>
      </c>
      <c r="B399" s="17" t="s">
        <v>43</v>
      </c>
      <c r="C399" t="s">
        <v>36</v>
      </c>
      <c r="D399">
        <v>891</v>
      </c>
      <c r="E399" s="17" t="s">
        <v>37</v>
      </c>
      <c r="F399">
        <v>4</v>
      </c>
      <c r="G399">
        <v>2</v>
      </c>
      <c r="H399" t="s">
        <v>38</v>
      </c>
      <c r="I399">
        <v>527</v>
      </c>
      <c r="J399">
        <v>2</v>
      </c>
      <c r="K399" s="17" t="s">
        <v>39</v>
      </c>
      <c r="L399">
        <v>99</v>
      </c>
      <c r="M399">
        <v>2</v>
      </c>
      <c r="N399">
        <v>2</v>
      </c>
      <c r="O399" s="17" t="s">
        <v>40</v>
      </c>
      <c r="P399" s="14">
        <v>4</v>
      </c>
      <c r="Q399" t="s">
        <v>41</v>
      </c>
      <c r="R399" s="14">
        <v>4487</v>
      </c>
      <c r="S399" s="17" t="str">
        <f t="shared" si="12"/>
        <v>medium</v>
      </c>
      <c r="T399">
        <v>12090</v>
      </c>
      <c r="U399">
        <v>1</v>
      </c>
      <c r="V399" s="17" t="s">
        <v>35</v>
      </c>
      <c r="W399">
        <v>11</v>
      </c>
      <c r="X399">
        <v>3</v>
      </c>
      <c r="Y399">
        <v>2</v>
      </c>
      <c r="Z399">
        <v>0</v>
      </c>
      <c r="AA399">
        <v>5</v>
      </c>
      <c r="AB399">
        <v>3</v>
      </c>
      <c r="AC399">
        <v>3</v>
      </c>
      <c r="AD399" s="14">
        <v>5</v>
      </c>
      <c r="AE399" t="str">
        <f t="shared" si="13"/>
        <v>3-5 years</v>
      </c>
      <c r="AF399" s="14">
        <v>4</v>
      </c>
      <c r="AG399" s="14">
        <v>1</v>
      </c>
      <c r="AH399" s="14">
        <v>3</v>
      </c>
    </row>
    <row r="400" spans="1:34" x14ac:dyDescent="0.3">
      <c r="A400" s="14">
        <v>37</v>
      </c>
      <c r="B400" s="17" t="s">
        <v>43</v>
      </c>
      <c r="C400" t="s">
        <v>55</v>
      </c>
      <c r="D400">
        <v>1063</v>
      </c>
      <c r="E400" s="17" t="s">
        <v>45</v>
      </c>
      <c r="F400">
        <v>25</v>
      </c>
      <c r="G400">
        <v>5</v>
      </c>
      <c r="H400" t="s">
        <v>51</v>
      </c>
      <c r="I400">
        <v>529</v>
      </c>
      <c r="J400">
        <v>2</v>
      </c>
      <c r="K400" s="17" t="s">
        <v>39</v>
      </c>
      <c r="L400">
        <v>72</v>
      </c>
      <c r="M400">
        <v>3</v>
      </c>
      <c r="N400">
        <v>2</v>
      </c>
      <c r="O400" s="17" t="s">
        <v>47</v>
      </c>
      <c r="P400" s="14">
        <v>3</v>
      </c>
      <c r="Q400" t="s">
        <v>48</v>
      </c>
      <c r="R400" s="14">
        <v>4449</v>
      </c>
      <c r="S400" s="17" t="str">
        <f t="shared" si="12"/>
        <v>medium</v>
      </c>
      <c r="T400">
        <v>23866</v>
      </c>
      <c r="U400">
        <v>3</v>
      </c>
      <c r="V400" s="17" t="s">
        <v>35</v>
      </c>
      <c r="W400">
        <v>15</v>
      </c>
      <c r="X400">
        <v>3</v>
      </c>
      <c r="Y400">
        <v>1</v>
      </c>
      <c r="Z400">
        <v>2</v>
      </c>
      <c r="AA400">
        <v>15</v>
      </c>
      <c r="AB400">
        <v>2</v>
      </c>
      <c r="AC400">
        <v>3</v>
      </c>
      <c r="AD400" s="14">
        <v>13</v>
      </c>
      <c r="AE400" t="str">
        <f t="shared" si="13"/>
        <v>10+ years</v>
      </c>
      <c r="AF400" s="14">
        <v>11</v>
      </c>
      <c r="AG400" s="14">
        <v>10</v>
      </c>
      <c r="AH400" s="14">
        <v>7</v>
      </c>
    </row>
    <row r="401" spans="1:34" x14ac:dyDescent="0.3">
      <c r="A401" s="14">
        <v>31</v>
      </c>
      <c r="B401" s="17" t="s">
        <v>43</v>
      </c>
      <c r="C401" t="s">
        <v>36</v>
      </c>
      <c r="D401">
        <v>329</v>
      </c>
      <c r="E401" s="17" t="s">
        <v>45</v>
      </c>
      <c r="F401">
        <v>1</v>
      </c>
      <c r="G401">
        <v>2</v>
      </c>
      <c r="H401" t="s">
        <v>38</v>
      </c>
      <c r="I401">
        <v>530</v>
      </c>
      <c r="J401">
        <v>4</v>
      </c>
      <c r="K401" s="17" t="s">
        <v>46</v>
      </c>
      <c r="L401">
        <v>98</v>
      </c>
      <c r="M401">
        <v>2</v>
      </c>
      <c r="N401">
        <v>1</v>
      </c>
      <c r="O401" s="17" t="s">
        <v>50</v>
      </c>
      <c r="P401" s="14">
        <v>1</v>
      </c>
      <c r="Q401" t="s">
        <v>48</v>
      </c>
      <c r="R401" s="14">
        <v>2218</v>
      </c>
      <c r="S401" s="17" t="str">
        <f t="shared" si="12"/>
        <v>low</v>
      </c>
      <c r="T401">
        <v>16193</v>
      </c>
      <c r="U401">
        <v>1</v>
      </c>
      <c r="V401" s="17" t="s">
        <v>43</v>
      </c>
      <c r="W401">
        <v>12</v>
      </c>
      <c r="X401">
        <v>3</v>
      </c>
      <c r="Y401">
        <v>3</v>
      </c>
      <c r="Z401">
        <v>1</v>
      </c>
      <c r="AA401">
        <v>4</v>
      </c>
      <c r="AB401">
        <v>3</v>
      </c>
      <c r="AC401">
        <v>3</v>
      </c>
      <c r="AD401" s="14">
        <v>4</v>
      </c>
      <c r="AE401" t="str">
        <f t="shared" si="13"/>
        <v>3-5 years</v>
      </c>
      <c r="AF401" s="14">
        <v>2</v>
      </c>
      <c r="AG401" s="14">
        <v>3</v>
      </c>
      <c r="AH401" s="14">
        <v>2</v>
      </c>
    </row>
    <row r="402" spans="1:34" x14ac:dyDescent="0.3">
      <c r="A402" s="14">
        <v>39</v>
      </c>
      <c r="B402" s="17" t="s">
        <v>43</v>
      </c>
      <c r="C402" t="s">
        <v>44</v>
      </c>
      <c r="D402">
        <v>1218</v>
      </c>
      <c r="E402" s="17" t="s">
        <v>45</v>
      </c>
      <c r="F402">
        <v>1</v>
      </c>
      <c r="G402">
        <v>1</v>
      </c>
      <c r="H402" t="s">
        <v>38</v>
      </c>
      <c r="I402">
        <v>531</v>
      </c>
      <c r="J402">
        <v>2</v>
      </c>
      <c r="K402" s="17" t="s">
        <v>46</v>
      </c>
      <c r="L402">
        <v>52</v>
      </c>
      <c r="M402">
        <v>3</v>
      </c>
      <c r="N402">
        <v>5</v>
      </c>
      <c r="O402" s="17" t="s">
        <v>56</v>
      </c>
      <c r="P402" s="14">
        <v>3</v>
      </c>
      <c r="Q402" t="s">
        <v>52</v>
      </c>
      <c r="R402" s="14">
        <v>19197</v>
      </c>
      <c r="S402" s="17" t="str">
        <f t="shared" si="12"/>
        <v>high</v>
      </c>
      <c r="T402">
        <v>8213</v>
      </c>
      <c r="U402">
        <v>1</v>
      </c>
      <c r="V402" s="17" t="s">
        <v>35</v>
      </c>
      <c r="W402">
        <v>14</v>
      </c>
      <c r="X402">
        <v>3</v>
      </c>
      <c r="Y402">
        <v>3</v>
      </c>
      <c r="Z402">
        <v>1</v>
      </c>
      <c r="AA402">
        <v>21</v>
      </c>
      <c r="AB402">
        <v>3</v>
      </c>
      <c r="AC402">
        <v>3</v>
      </c>
      <c r="AD402" s="14">
        <v>21</v>
      </c>
      <c r="AE402" t="str">
        <f t="shared" si="13"/>
        <v>10+ years</v>
      </c>
      <c r="AF402" s="14">
        <v>8</v>
      </c>
      <c r="AG402" s="14">
        <v>1</v>
      </c>
      <c r="AH402" s="14">
        <v>6</v>
      </c>
    </row>
    <row r="403" spans="1:34" x14ac:dyDescent="0.3">
      <c r="A403" s="14">
        <v>56</v>
      </c>
      <c r="B403" s="17" t="s">
        <v>43</v>
      </c>
      <c r="C403" t="s">
        <v>44</v>
      </c>
      <c r="D403">
        <v>906</v>
      </c>
      <c r="E403" s="17" t="s">
        <v>37</v>
      </c>
      <c r="F403">
        <v>6</v>
      </c>
      <c r="G403">
        <v>3</v>
      </c>
      <c r="H403" t="s">
        <v>38</v>
      </c>
      <c r="I403">
        <v>532</v>
      </c>
      <c r="J403">
        <v>3</v>
      </c>
      <c r="K403" s="17" t="s">
        <v>39</v>
      </c>
      <c r="L403">
        <v>86</v>
      </c>
      <c r="M403">
        <v>4</v>
      </c>
      <c r="N403">
        <v>4</v>
      </c>
      <c r="O403" s="17" t="s">
        <v>40</v>
      </c>
      <c r="P403" s="14">
        <v>1</v>
      </c>
      <c r="Q403" t="s">
        <v>48</v>
      </c>
      <c r="R403" s="14">
        <v>13212</v>
      </c>
      <c r="S403" s="17" t="str">
        <f t="shared" si="12"/>
        <v>high</v>
      </c>
      <c r="T403">
        <v>18256</v>
      </c>
      <c r="U403">
        <v>9</v>
      </c>
      <c r="V403" s="17" t="s">
        <v>43</v>
      </c>
      <c r="W403">
        <v>11</v>
      </c>
      <c r="X403">
        <v>3</v>
      </c>
      <c r="Y403">
        <v>4</v>
      </c>
      <c r="Z403">
        <v>3</v>
      </c>
      <c r="AA403">
        <v>36</v>
      </c>
      <c r="AB403">
        <v>0</v>
      </c>
      <c r="AC403">
        <v>2</v>
      </c>
      <c r="AD403" s="14">
        <v>7</v>
      </c>
      <c r="AE403" t="str">
        <f t="shared" si="13"/>
        <v>6-10 years</v>
      </c>
      <c r="AF403" s="14">
        <v>7</v>
      </c>
      <c r="AG403" s="14">
        <v>7</v>
      </c>
      <c r="AH403" s="14">
        <v>7</v>
      </c>
    </row>
    <row r="404" spans="1:34" x14ac:dyDescent="0.3">
      <c r="A404" s="14">
        <v>30</v>
      </c>
      <c r="B404" s="17" t="s">
        <v>43</v>
      </c>
      <c r="C404" t="s">
        <v>36</v>
      </c>
      <c r="D404">
        <v>1082</v>
      </c>
      <c r="E404" s="17" t="s">
        <v>37</v>
      </c>
      <c r="F404">
        <v>12</v>
      </c>
      <c r="G404">
        <v>3</v>
      </c>
      <c r="H404" t="s">
        <v>60</v>
      </c>
      <c r="I404">
        <v>533</v>
      </c>
      <c r="J404">
        <v>2</v>
      </c>
      <c r="K404" s="17" t="s">
        <v>39</v>
      </c>
      <c r="L404">
        <v>83</v>
      </c>
      <c r="M404">
        <v>3</v>
      </c>
      <c r="N404">
        <v>2</v>
      </c>
      <c r="O404" s="17" t="s">
        <v>40</v>
      </c>
      <c r="P404" s="14">
        <v>3</v>
      </c>
      <c r="Q404" t="s">
        <v>41</v>
      </c>
      <c r="R404" s="14">
        <v>6577</v>
      </c>
      <c r="S404" s="17" t="str">
        <f t="shared" si="12"/>
        <v>medium</v>
      </c>
      <c r="T404">
        <v>19558</v>
      </c>
      <c r="U404">
        <v>0</v>
      </c>
      <c r="V404" s="17" t="s">
        <v>43</v>
      </c>
      <c r="W404">
        <v>11</v>
      </c>
      <c r="X404">
        <v>3</v>
      </c>
      <c r="Y404">
        <v>2</v>
      </c>
      <c r="Z404">
        <v>0</v>
      </c>
      <c r="AA404">
        <v>6</v>
      </c>
      <c r="AB404">
        <v>6</v>
      </c>
      <c r="AC404">
        <v>3</v>
      </c>
      <c r="AD404" s="14">
        <v>5</v>
      </c>
      <c r="AE404" t="str">
        <f t="shared" si="13"/>
        <v>3-5 years</v>
      </c>
      <c r="AF404" s="14">
        <v>4</v>
      </c>
      <c r="AG404" s="14">
        <v>4</v>
      </c>
      <c r="AH404" s="14">
        <v>4</v>
      </c>
    </row>
    <row r="405" spans="1:34" x14ac:dyDescent="0.3">
      <c r="A405" s="14">
        <v>41</v>
      </c>
      <c r="B405" s="17" t="s">
        <v>43</v>
      </c>
      <c r="C405" t="s">
        <v>36</v>
      </c>
      <c r="D405">
        <v>645</v>
      </c>
      <c r="E405" s="17" t="s">
        <v>37</v>
      </c>
      <c r="F405">
        <v>1</v>
      </c>
      <c r="G405">
        <v>3</v>
      </c>
      <c r="H405" t="s">
        <v>59</v>
      </c>
      <c r="I405">
        <v>534</v>
      </c>
      <c r="J405">
        <v>2</v>
      </c>
      <c r="K405" s="17" t="s">
        <v>46</v>
      </c>
      <c r="L405">
        <v>49</v>
      </c>
      <c r="M405">
        <v>4</v>
      </c>
      <c r="N405">
        <v>3</v>
      </c>
      <c r="O405" s="17" t="s">
        <v>40</v>
      </c>
      <c r="P405" s="14">
        <v>1</v>
      </c>
      <c r="Q405" t="s">
        <v>48</v>
      </c>
      <c r="R405" s="14">
        <v>8392</v>
      </c>
      <c r="S405" s="17" t="str">
        <f t="shared" si="12"/>
        <v>high</v>
      </c>
      <c r="T405">
        <v>19566</v>
      </c>
      <c r="U405">
        <v>1</v>
      </c>
      <c r="V405" s="17" t="s">
        <v>43</v>
      </c>
      <c r="W405">
        <v>16</v>
      </c>
      <c r="X405">
        <v>3</v>
      </c>
      <c r="Y405">
        <v>3</v>
      </c>
      <c r="Z405">
        <v>1</v>
      </c>
      <c r="AA405">
        <v>10</v>
      </c>
      <c r="AB405">
        <v>2</v>
      </c>
      <c r="AC405">
        <v>3</v>
      </c>
      <c r="AD405" s="14">
        <v>10</v>
      </c>
      <c r="AE405" t="str">
        <f t="shared" si="13"/>
        <v>6-10 years</v>
      </c>
      <c r="AF405" s="14">
        <v>7</v>
      </c>
      <c r="AG405" s="14">
        <v>0</v>
      </c>
      <c r="AH405" s="14">
        <v>7</v>
      </c>
    </row>
    <row r="406" spans="1:34" x14ac:dyDescent="0.3">
      <c r="A406" s="14">
        <v>28</v>
      </c>
      <c r="B406" s="17" t="s">
        <v>43</v>
      </c>
      <c r="C406" t="s">
        <v>36</v>
      </c>
      <c r="D406">
        <v>1300</v>
      </c>
      <c r="E406" s="17" t="s">
        <v>45</v>
      </c>
      <c r="F406">
        <v>17</v>
      </c>
      <c r="G406">
        <v>2</v>
      </c>
      <c r="H406" t="s">
        <v>51</v>
      </c>
      <c r="I406">
        <v>536</v>
      </c>
      <c r="J406">
        <v>3</v>
      </c>
      <c r="K406" s="17" t="s">
        <v>46</v>
      </c>
      <c r="L406">
        <v>79</v>
      </c>
      <c r="M406">
        <v>3</v>
      </c>
      <c r="N406">
        <v>2</v>
      </c>
      <c r="O406" s="17" t="s">
        <v>50</v>
      </c>
      <c r="P406" s="14">
        <v>1</v>
      </c>
      <c r="Q406" t="s">
        <v>52</v>
      </c>
      <c r="R406" s="14">
        <v>4558</v>
      </c>
      <c r="S406" s="17" t="str">
        <f t="shared" si="12"/>
        <v>medium</v>
      </c>
      <c r="T406">
        <v>13535</v>
      </c>
      <c r="U406">
        <v>1</v>
      </c>
      <c r="V406" s="17" t="s">
        <v>43</v>
      </c>
      <c r="W406">
        <v>12</v>
      </c>
      <c r="X406">
        <v>3</v>
      </c>
      <c r="Y406">
        <v>4</v>
      </c>
      <c r="Z406">
        <v>1</v>
      </c>
      <c r="AA406">
        <v>10</v>
      </c>
      <c r="AB406">
        <v>2</v>
      </c>
      <c r="AC406">
        <v>3</v>
      </c>
      <c r="AD406" s="14">
        <v>10</v>
      </c>
      <c r="AE406" t="str">
        <f t="shared" si="13"/>
        <v>6-10 years</v>
      </c>
      <c r="AF406" s="14">
        <v>0</v>
      </c>
      <c r="AG406" s="14">
        <v>1</v>
      </c>
      <c r="AH406" s="14">
        <v>8</v>
      </c>
    </row>
    <row r="407" spans="1:34" x14ac:dyDescent="0.3">
      <c r="A407" s="14">
        <v>25</v>
      </c>
      <c r="B407" s="17" t="s">
        <v>35</v>
      </c>
      <c r="C407" t="s">
        <v>36</v>
      </c>
      <c r="D407">
        <v>688</v>
      </c>
      <c r="E407" s="17" t="s">
        <v>45</v>
      </c>
      <c r="F407">
        <v>3</v>
      </c>
      <c r="G407">
        <v>3</v>
      </c>
      <c r="H407" t="s">
        <v>51</v>
      </c>
      <c r="I407">
        <v>538</v>
      </c>
      <c r="J407">
        <v>1</v>
      </c>
      <c r="K407" s="17" t="s">
        <v>46</v>
      </c>
      <c r="L407">
        <v>91</v>
      </c>
      <c r="M407">
        <v>3</v>
      </c>
      <c r="N407">
        <v>1</v>
      </c>
      <c r="O407" s="17" t="s">
        <v>50</v>
      </c>
      <c r="P407" s="14">
        <v>1</v>
      </c>
      <c r="Q407" t="s">
        <v>48</v>
      </c>
      <c r="R407" s="14">
        <v>4031</v>
      </c>
      <c r="S407" s="17" t="str">
        <f t="shared" si="12"/>
        <v>medium</v>
      </c>
      <c r="T407">
        <v>9396</v>
      </c>
      <c r="U407">
        <v>5</v>
      </c>
      <c r="V407" s="17" t="s">
        <v>43</v>
      </c>
      <c r="W407">
        <v>13</v>
      </c>
      <c r="X407">
        <v>3</v>
      </c>
      <c r="Y407">
        <v>3</v>
      </c>
      <c r="Z407">
        <v>1</v>
      </c>
      <c r="AA407">
        <v>6</v>
      </c>
      <c r="AB407">
        <v>5</v>
      </c>
      <c r="AC407">
        <v>3</v>
      </c>
      <c r="AD407" s="14">
        <v>2</v>
      </c>
      <c r="AE407" t="str">
        <f t="shared" si="13"/>
        <v>0-2 years</v>
      </c>
      <c r="AF407" s="14">
        <v>2</v>
      </c>
      <c r="AG407" s="14">
        <v>0</v>
      </c>
      <c r="AH407" s="14">
        <v>2</v>
      </c>
    </row>
    <row r="408" spans="1:34" x14ac:dyDescent="0.3">
      <c r="A408" s="14">
        <v>52</v>
      </c>
      <c r="B408" s="17" t="s">
        <v>43</v>
      </c>
      <c r="C408" t="s">
        <v>36</v>
      </c>
      <c r="D408">
        <v>319</v>
      </c>
      <c r="E408" s="17" t="s">
        <v>45</v>
      </c>
      <c r="F408">
        <v>3</v>
      </c>
      <c r="G408">
        <v>3</v>
      </c>
      <c r="H408" t="s">
        <v>51</v>
      </c>
      <c r="I408">
        <v>543</v>
      </c>
      <c r="J408">
        <v>4</v>
      </c>
      <c r="K408" s="17" t="s">
        <v>46</v>
      </c>
      <c r="L408">
        <v>39</v>
      </c>
      <c r="M408">
        <v>2</v>
      </c>
      <c r="N408">
        <v>3</v>
      </c>
      <c r="O408" s="17" t="s">
        <v>53</v>
      </c>
      <c r="P408" s="14">
        <v>3</v>
      </c>
      <c r="Q408" t="s">
        <v>48</v>
      </c>
      <c r="R408" s="14">
        <v>7969</v>
      </c>
      <c r="S408" s="17" t="str">
        <f t="shared" si="12"/>
        <v>high</v>
      </c>
      <c r="T408">
        <v>19609</v>
      </c>
      <c r="U408">
        <v>2</v>
      </c>
      <c r="V408" s="17" t="s">
        <v>35</v>
      </c>
      <c r="W408">
        <v>14</v>
      </c>
      <c r="X408">
        <v>3</v>
      </c>
      <c r="Y408">
        <v>3</v>
      </c>
      <c r="Z408">
        <v>0</v>
      </c>
      <c r="AA408">
        <v>28</v>
      </c>
      <c r="AB408">
        <v>4</v>
      </c>
      <c r="AC408">
        <v>3</v>
      </c>
      <c r="AD408" s="14">
        <v>5</v>
      </c>
      <c r="AE408" t="str">
        <f t="shared" si="13"/>
        <v>3-5 years</v>
      </c>
      <c r="AF408" s="14">
        <v>4</v>
      </c>
      <c r="AG408" s="14">
        <v>0</v>
      </c>
      <c r="AH408" s="14">
        <v>4</v>
      </c>
    </row>
    <row r="409" spans="1:34" x14ac:dyDescent="0.3">
      <c r="A409" s="14">
        <v>45</v>
      </c>
      <c r="B409" s="17" t="s">
        <v>43</v>
      </c>
      <c r="C409" t="s">
        <v>36</v>
      </c>
      <c r="D409">
        <v>192</v>
      </c>
      <c r="E409" s="17" t="s">
        <v>45</v>
      </c>
      <c r="F409">
        <v>10</v>
      </c>
      <c r="G409">
        <v>2</v>
      </c>
      <c r="H409" t="s">
        <v>38</v>
      </c>
      <c r="I409">
        <v>544</v>
      </c>
      <c r="J409">
        <v>1</v>
      </c>
      <c r="K409" s="17" t="s">
        <v>46</v>
      </c>
      <c r="L409">
        <v>69</v>
      </c>
      <c r="M409">
        <v>3</v>
      </c>
      <c r="N409">
        <v>1</v>
      </c>
      <c r="O409" s="17" t="s">
        <v>47</v>
      </c>
      <c r="P409" s="14">
        <v>4</v>
      </c>
      <c r="Q409" t="s">
        <v>48</v>
      </c>
      <c r="R409" s="14">
        <v>2654</v>
      </c>
      <c r="S409" s="17" t="str">
        <f t="shared" si="12"/>
        <v>low</v>
      </c>
      <c r="T409">
        <v>9655</v>
      </c>
      <c r="U409">
        <v>3</v>
      </c>
      <c r="V409" s="17" t="s">
        <v>43</v>
      </c>
      <c r="W409">
        <v>21</v>
      </c>
      <c r="X409">
        <v>4</v>
      </c>
      <c r="Y409">
        <v>4</v>
      </c>
      <c r="Z409">
        <v>2</v>
      </c>
      <c r="AA409">
        <v>8</v>
      </c>
      <c r="AB409">
        <v>3</v>
      </c>
      <c r="AC409">
        <v>2</v>
      </c>
      <c r="AD409" s="14">
        <v>2</v>
      </c>
      <c r="AE409" t="str">
        <f t="shared" si="13"/>
        <v>0-2 years</v>
      </c>
      <c r="AF409" s="14">
        <v>2</v>
      </c>
      <c r="AG409" s="14">
        <v>0</v>
      </c>
      <c r="AH409" s="14">
        <v>2</v>
      </c>
    </row>
    <row r="410" spans="1:34" x14ac:dyDescent="0.3">
      <c r="A410" s="14">
        <v>52</v>
      </c>
      <c r="B410" s="17" t="s">
        <v>43</v>
      </c>
      <c r="C410" t="s">
        <v>36</v>
      </c>
      <c r="D410">
        <v>1490</v>
      </c>
      <c r="E410" s="17" t="s">
        <v>45</v>
      </c>
      <c r="F410">
        <v>4</v>
      </c>
      <c r="G410">
        <v>2</v>
      </c>
      <c r="H410" t="s">
        <v>38</v>
      </c>
      <c r="I410">
        <v>546</v>
      </c>
      <c r="J410">
        <v>4</v>
      </c>
      <c r="K410" s="17" t="s">
        <v>39</v>
      </c>
      <c r="L410">
        <v>30</v>
      </c>
      <c r="M410">
        <v>3</v>
      </c>
      <c r="N410">
        <v>4</v>
      </c>
      <c r="O410" s="17" t="s">
        <v>56</v>
      </c>
      <c r="P410" s="14">
        <v>4</v>
      </c>
      <c r="Q410" t="s">
        <v>48</v>
      </c>
      <c r="R410" s="14">
        <v>16555</v>
      </c>
      <c r="S410" s="17" t="str">
        <f t="shared" si="12"/>
        <v>high</v>
      </c>
      <c r="T410">
        <v>10310</v>
      </c>
      <c r="U410">
        <v>2</v>
      </c>
      <c r="V410" s="17" t="s">
        <v>43</v>
      </c>
      <c r="W410">
        <v>13</v>
      </c>
      <c r="X410">
        <v>3</v>
      </c>
      <c r="Y410">
        <v>4</v>
      </c>
      <c r="Z410">
        <v>0</v>
      </c>
      <c r="AA410">
        <v>31</v>
      </c>
      <c r="AB410">
        <v>2</v>
      </c>
      <c r="AC410">
        <v>1</v>
      </c>
      <c r="AD410" s="14">
        <v>5</v>
      </c>
      <c r="AE410" t="str">
        <f t="shared" si="13"/>
        <v>3-5 years</v>
      </c>
      <c r="AF410" s="14">
        <v>2</v>
      </c>
      <c r="AG410" s="14">
        <v>1</v>
      </c>
      <c r="AH410" s="14">
        <v>4</v>
      </c>
    </row>
    <row r="411" spans="1:34" x14ac:dyDescent="0.3">
      <c r="A411" s="14">
        <v>42</v>
      </c>
      <c r="B411" s="17" t="s">
        <v>43</v>
      </c>
      <c r="C411" t="s">
        <v>44</v>
      </c>
      <c r="D411">
        <v>532</v>
      </c>
      <c r="E411" s="17" t="s">
        <v>45</v>
      </c>
      <c r="F411">
        <v>29</v>
      </c>
      <c r="G411">
        <v>2</v>
      </c>
      <c r="H411" t="s">
        <v>38</v>
      </c>
      <c r="I411">
        <v>547</v>
      </c>
      <c r="J411">
        <v>1</v>
      </c>
      <c r="K411" s="17" t="s">
        <v>39</v>
      </c>
      <c r="L411">
        <v>92</v>
      </c>
      <c r="M411">
        <v>3</v>
      </c>
      <c r="N411">
        <v>2</v>
      </c>
      <c r="O411" s="17" t="s">
        <v>47</v>
      </c>
      <c r="P411" s="14">
        <v>3</v>
      </c>
      <c r="Q411" t="s">
        <v>52</v>
      </c>
      <c r="R411" s="14">
        <v>4556</v>
      </c>
      <c r="S411" s="17" t="str">
        <f t="shared" si="12"/>
        <v>medium</v>
      </c>
      <c r="T411">
        <v>12932</v>
      </c>
      <c r="U411">
        <v>2</v>
      </c>
      <c r="V411" s="17" t="s">
        <v>43</v>
      </c>
      <c r="W411">
        <v>11</v>
      </c>
      <c r="X411">
        <v>3</v>
      </c>
      <c r="Y411">
        <v>2</v>
      </c>
      <c r="Z411">
        <v>1</v>
      </c>
      <c r="AA411">
        <v>19</v>
      </c>
      <c r="AB411">
        <v>3</v>
      </c>
      <c r="AC411">
        <v>3</v>
      </c>
      <c r="AD411" s="14">
        <v>5</v>
      </c>
      <c r="AE411" t="str">
        <f t="shared" si="13"/>
        <v>3-5 years</v>
      </c>
      <c r="AF411" s="14">
        <v>4</v>
      </c>
      <c r="AG411" s="14">
        <v>0</v>
      </c>
      <c r="AH411" s="14">
        <v>2</v>
      </c>
    </row>
    <row r="412" spans="1:34" x14ac:dyDescent="0.3">
      <c r="A412" s="14">
        <v>30</v>
      </c>
      <c r="B412" s="17" t="s">
        <v>43</v>
      </c>
      <c r="C412" t="s">
        <v>36</v>
      </c>
      <c r="D412">
        <v>317</v>
      </c>
      <c r="E412" s="17" t="s">
        <v>45</v>
      </c>
      <c r="F412">
        <v>2</v>
      </c>
      <c r="G412">
        <v>3</v>
      </c>
      <c r="H412" t="s">
        <v>38</v>
      </c>
      <c r="I412">
        <v>548</v>
      </c>
      <c r="J412">
        <v>3</v>
      </c>
      <c r="K412" s="17" t="s">
        <v>39</v>
      </c>
      <c r="L412">
        <v>43</v>
      </c>
      <c r="M412">
        <v>1</v>
      </c>
      <c r="N412">
        <v>2</v>
      </c>
      <c r="O412" s="17" t="s">
        <v>53</v>
      </c>
      <c r="P412" s="14">
        <v>4</v>
      </c>
      <c r="Q412" t="s">
        <v>41</v>
      </c>
      <c r="R412" s="14">
        <v>6091</v>
      </c>
      <c r="S412" s="17" t="str">
        <f t="shared" si="12"/>
        <v>medium</v>
      </c>
      <c r="T412">
        <v>24793</v>
      </c>
      <c r="U412">
        <v>2</v>
      </c>
      <c r="V412" s="17" t="s">
        <v>43</v>
      </c>
      <c r="W412">
        <v>20</v>
      </c>
      <c r="X412">
        <v>4</v>
      </c>
      <c r="Y412">
        <v>3</v>
      </c>
      <c r="Z412">
        <v>0</v>
      </c>
      <c r="AA412">
        <v>11</v>
      </c>
      <c r="AB412">
        <v>2</v>
      </c>
      <c r="AC412">
        <v>3</v>
      </c>
      <c r="AD412" s="14">
        <v>5</v>
      </c>
      <c r="AE412" t="str">
        <f t="shared" si="13"/>
        <v>3-5 years</v>
      </c>
      <c r="AF412" s="14">
        <v>4</v>
      </c>
      <c r="AG412" s="14">
        <v>0</v>
      </c>
      <c r="AH412" s="14">
        <v>2</v>
      </c>
    </row>
    <row r="413" spans="1:34" x14ac:dyDescent="0.3">
      <c r="A413" s="14">
        <v>60</v>
      </c>
      <c r="B413" s="17" t="s">
        <v>43</v>
      </c>
      <c r="C413" t="s">
        <v>36</v>
      </c>
      <c r="D413">
        <v>422</v>
      </c>
      <c r="E413" s="17" t="s">
        <v>45</v>
      </c>
      <c r="F413">
        <v>7</v>
      </c>
      <c r="G413">
        <v>3</v>
      </c>
      <c r="H413" t="s">
        <v>38</v>
      </c>
      <c r="I413">
        <v>549</v>
      </c>
      <c r="J413">
        <v>1</v>
      </c>
      <c r="K413" s="17" t="s">
        <v>39</v>
      </c>
      <c r="L413">
        <v>41</v>
      </c>
      <c r="M413">
        <v>3</v>
      </c>
      <c r="N413">
        <v>5</v>
      </c>
      <c r="O413" s="17" t="s">
        <v>56</v>
      </c>
      <c r="P413" s="14">
        <v>1</v>
      </c>
      <c r="Q413" t="s">
        <v>48</v>
      </c>
      <c r="R413" s="14">
        <v>19566</v>
      </c>
      <c r="S413" s="17" t="str">
        <f t="shared" si="12"/>
        <v>high</v>
      </c>
      <c r="T413">
        <v>3854</v>
      </c>
      <c r="U413">
        <v>5</v>
      </c>
      <c r="V413" s="17" t="s">
        <v>43</v>
      </c>
      <c r="W413">
        <v>11</v>
      </c>
      <c r="X413">
        <v>3</v>
      </c>
      <c r="Y413">
        <v>4</v>
      </c>
      <c r="Z413">
        <v>0</v>
      </c>
      <c r="AA413">
        <v>33</v>
      </c>
      <c r="AB413">
        <v>5</v>
      </c>
      <c r="AC413">
        <v>1</v>
      </c>
      <c r="AD413" s="14">
        <v>29</v>
      </c>
      <c r="AE413" t="str">
        <f t="shared" si="13"/>
        <v>10+ years</v>
      </c>
      <c r="AF413" s="14">
        <v>8</v>
      </c>
      <c r="AG413" s="14">
        <v>11</v>
      </c>
      <c r="AH413" s="14">
        <v>10</v>
      </c>
    </row>
    <row r="414" spans="1:34" x14ac:dyDescent="0.3">
      <c r="A414" s="14">
        <v>46</v>
      </c>
      <c r="B414" s="17" t="s">
        <v>43</v>
      </c>
      <c r="C414" t="s">
        <v>36</v>
      </c>
      <c r="D414">
        <v>1485</v>
      </c>
      <c r="E414" s="17" t="s">
        <v>45</v>
      </c>
      <c r="F414">
        <v>18</v>
      </c>
      <c r="G414">
        <v>3</v>
      </c>
      <c r="H414" t="s">
        <v>51</v>
      </c>
      <c r="I414">
        <v>550</v>
      </c>
      <c r="J414">
        <v>3</v>
      </c>
      <c r="K414" s="17" t="s">
        <v>39</v>
      </c>
      <c r="L414">
        <v>87</v>
      </c>
      <c r="M414">
        <v>3</v>
      </c>
      <c r="N414">
        <v>2</v>
      </c>
      <c r="O414" s="17" t="s">
        <v>53</v>
      </c>
      <c r="P414" s="14">
        <v>3</v>
      </c>
      <c r="Q414" t="s">
        <v>52</v>
      </c>
      <c r="R414" s="14">
        <v>4810</v>
      </c>
      <c r="S414" s="17" t="str">
        <f t="shared" si="12"/>
        <v>medium</v>
      </c>
      <c r="T414">
        <v>26314</v>
      </c>
      <c r="U414">
        <v>2</v>
      </c>
      <c r="V414" s="17" t="s">
        <v>43</v>
      </c>
      <c r="W414">
        <v>14</v>
      </c>
      <c r="X414">
        <v>3</v>
      </c>
      <c r="Y414">
        <v>3</v>
      </c>
      <c r="Z414">
        <v>1</v>
      </c>
      <c r="AA414">
        <v>19</v>
      </c>
      <c r="AB414">
        <v>5</v>
      </c>
      <c r="AC414">
        <v>2</v>
      </c>
      <c r="AD414" s="14">
        <v>10</v>
      </c>
      <c r="AE414" t="str">
        <f t="shared" si="13"/>
        <v>6-10 years</v>
      </c>
      <c r="AF414" s="14">
        <v>7</v>
      </c>
      <c r="AG414" s="14">
        <v>0</v>
      </c>
      <c r="AH414" s="14">
        <v>8</v>
      </c>
    </row>
    <row r="415" spans="1:34" x14ac:dyDescent="0.3">
      <c r="A415" s="14">
        <v>42</v>
      </c>
      <c r="B415" s="17" t="s">
        <v>43</v>
      </c>
      <c r="C415" t="s">
        <v>44</v>
      </c>
      <c r="D415">
        <v>1368</v>
      </c>
      <c r="E415" s="17" t="s">
        <v>45</v>
      </c>
      <c r="F415">
        <v>28</v>
      </c>
      <c r="G415">
        <v>4</v>
      </c>
      <c r="H415" t="s">
        <v>60</v>
      </c>
      <c r="I415">
        <v>551</v>
      </c>
      <c r="J415">
        <v>4</v>
      </c>
      <c r="K415" s="17" t="s">
        <v>39</v>
      </c>
      <c r="L415">
        <v>88</v>
      </c>
      <c r="M415">
        <v>2</v>
      </c>
      <c r="N415">
        <v>2</v>
      </c>
      <c r="O415" s="17" t="s">
        <v>54</v>
      </c>
      <c r="P415" s="14">
        <v>4</v>
      </c>
      <c r="Q415" t="s">
        <v>48</v>
      </c>
      <c r="R415" s="14">
        <v>4523</v>
      </c>
      <c r="S415" s="17" t="str">
        <f t="shared" si="12"/>
        <v>medium</v>
      </c>
      <c r="T415">
        <v>4386</v>
      </c>
      <c r="U415">
        <v>0</v>
      </c>
      <c r="V415" s="17" t="s">
        <v>43</v>
      </c>
      <c r="W415">
        <v>11</v>
      </c>
      <c r="X415">
        <v>3</v>
      </c>
      <c r="Y415">
        <v>4</v>
      </c>
      <c r="Z415">
        <v>3</v>
      </c>
      <c r="AA415">
        <v>7</v>
      </c>
      <c r="AB415">
        <v>4</v>
      </c>
      <c r="AC415">
        <v>4</v>
      </c>
      <c r="AD415" s="14">
        <v>6</v>
      </c>
      <c r="AE415" t="str">
        <f t="shared" si="13"/>
        <v>6-10 years</v>
      </c>
      <c r="AF415" s="14">
        <v>5</v>
      </c>
      <c r="AG415" s="14">
        <v>0</v>
      </c>
      <c r="AH415" s="14">
        <v>4</v>
      </c>
    </row>
    <row r="416" spans="1:34" x14ac:dyDescent="0.3">
      <c r="A416" s="14">
        <v>24</v>
      </c>
      <c r="B416" s="17" t="s">
        <v>35</v>
      </c>
      <c r="C416" t="s">
        <v>36</v>
      </c>
      <c r="D416">
        <v>1448</v>
      </c>
      <c r="E416" s="17" t="s">
        <v>37</v>
      </c>
      <c r="F416">
        <v>1</v>
      </c>
      <c r="G416">
        <v>1</v>
      </c>
      <c r="H416" t="s">
        <v>60</v>
      </c>
      <c r="I416">
        <v>554</v>
      </c>
      <c r="J416">
        <v>1</v>
      </c>
      <c r="K416" s="17" t="s">
        <v>39</v>
      </c>
      <c r="L416">
        <v>62</v>
      </c>
      <c r="M416">
        <v>3</v>
      </c>
      <c r="N416">
        <v>1</v>
      </c>
      <c r="O416" s="17" t="s">
        <v>57</v>
      </c>
      <c r="P416" s="14">
        <v>2</v>
      </c>
      <c r="Q416" t="s">
        <v>41</v>
      </c>
      <c r="R416" s="14">
        <v>3202</v>
      </c>
      <c r="S416" s="17" t="str">
        <f t="shared" si="12"/>
        <v>medium</v>
      </c>
      <c r="T416">
        <v>21972</v>
      </c>
      <c r="U416">
        <v>1</v>
      </c>
      <c r="V416" s="17" t="s">
        <v>35</v>
      </c>
      <c r="W416">
        <v>16</v>
      </c>
      <c r="X416">
        <v>3</v>
      </c>
      <c r="Y416">
        <v>2</v>
      </c>
      <c r="Z416">
        <v>0</v>
      </c>
      <c r="AA416">
        <v>6</v>
      </c>
      <c r="AB416">
        <v>4</v>
      </c>
      <c r="AC416">
        <v>3</v>
      </c>
      <c r="AD416" s="14">
        <v>5</v>
      </c>
      <c r="AE416" t="str">
        <f t="shared" si="13"/>
        <v>3-5 years</v>
      </c>
      <c r="AF416" s="14">
        <v>3</v>
      </c>
      <c r="AG416" s="14">
        <v>1</v>
      </c>
      <c r="AH416" s="14">
        <v>4</v>
      </c>
    </row>
    <row r="417" spans="1:34" x14ac:dyDescent="0.3">
      <c r="A417" s="14">
        <v>34</v>
      </c>
      <c r="B417" s="17" t="s">
        <v>35</v>
      </c>
      <c r="C417" t="s">
        <v>44</v>
      </c>
      <c r="D417">
        <v>296</v>
      </c>
      <c r="E417" s="17" t="s">
        <v>37</v>
      </c>
      <c r="F417">
        <v>6</v>
      </c>
      <c r="G417">
        <v>2</v>
      </c>
      <c r="H417" t="s">
        <v>59</v>
      </c>
      <c r="I417">
        <v>555</v>
      </c>
      <c r="J417">
        <v>4</v>
      </c>
      <c r="K417" s="17" t="s">
        <v>39</v>
      </c>
      <c r="L417">
        <v>33</v>
      </c>
      <c r="M417">
        <v>1</v>
      </c>
      <c r="N417">
        <v>1</v>
      </c>
      <c r="O417" s="17" t="s">
        <v>57</v>
      </c>
      <c r="P417" s="14">
        <v>3</v>
      </c>
      <c r="Q417" t="s">
        <v>52</v>
      </c>
      <c r="R417" s="14">
        <v>2351</v>
      </c>
      <c r="S417" s="17" t="str">
        <f t="shared" si="12"/>
        <v>low</v>
      </c>
      <c r="T417">
        <v>12253</v>
      </c>
      <c r="U417">
        <v>0</v>
      </c>
      <c r="V417" s="17" t="s">
        <v>43</v>
      </c>
      <c r="W417">
        <v>16</v>
      </c>
      <c r="X417">
        <v>3</v>
      </c>
      <c r="Y417">
        <v>4</v>
      </c>
      <c r="Z417">
        <v>1</v>
      </c>
      <c r="AA417">
        <v>3</v>
      </c>
      <c r="AB417">
        <v>3</v>
      </c>
      <c r="AC417">
        <v>2</v>
      </c>
      <c r="AD417" s="14">
        <v>2</v>
      </c>
      <c r="AE417" t="str">
        <f t="shared" si="13"/>
        <v>0-2 years</v>
      </c>
      <c r="AF417" s="14">
        <v>2</v>
      </c>
      <c r="AG417" s="14">
        <v>1</v>
      </c>
      <c r="AH417" s="14">
        <v>0</v>
      </c>
    </row>
    <row r="418" spans="1:34" x14ac:dyDescent="0.3">
      <c r="A418" s="14">
        <v>38</v>
      </c>
      <c r="B418" s="17" t="s">
        <v>43</v>
      </c>
      <c r="C418" t="s">
        <v>44</v>
      </c>
      <c r="D418">
        <v>1490</v>
      </c>
      <c r="E418" s="17" t="s">
        <v>45</v>
      </c>
      <c r="F418">
        <v>2</v>
      </c>
      <c r="G418">
        <v>2</v>
      </c>
      <c r="H418" t="s">
        <v>38</v>
      </c>
      <c r="I418">
        <v>556</v>
      </c>
      <c r="J418">
        <v>4</v>
      </c>
      <c r="K418" s="17" t="s">
        <v>46</v>
      </c>
      <c r="L418">
        <v>42</v>
      </c>
      <c r="M418">
        <v>3</v>
      </c>
      <c r="N418">
        <v>1</v>
      </c>
      <c r="O418" s="17" t="s">
        <v>50</v>
      </c>
      <c r="P418" s="14">
        <v>4</v>
      </c>
      <c r="Q418" t="s">
        <v>48</v>
      </c>
      <c r="R418" s="14">
        <v>1702</v>
      </c>
      <c r="S418" s="17" t="str">
        <f t="shared" si="12"/>
        <v>low</v>
      </c>
      <c r="T418">
        <v>12106</v>
      </c>
      <c r="U418">
        <v>1</v>
      </c>
      <c r="V418" s="17" t="s">
        <v>35</v>
      </c>
      <c r="W418">
        <v>23</v>
      </c>
      <c r="X418">
        <v>4</v>
      </c>
      <c r="Y418">
        <v>3</v>
      </c>
      <c r="Z418">
        <v>1</v>
      </c>
      <c r="AA418">
        <v>1</v>
      </c>
      <c r="AB418">
        <v>3</v>
      </c>
      <c r="AC418">
        <v>3</v>
      </c>
      <c r="AD418" s="14">
        <v>1</v>
      </c>
      <c r="AE418" t="str">
        <f t="shared" si="13"/>
        <v>0-2 years</v>
      </c>
      <c r="AF418" s="14">
        <v>0</v>
      </c>
      <c r="AG418" s="14">
        <v>0</v>
      </c>
      <c r="AH418" s="14">
        <v>0</v>
      </c>
    </row>
    <row r="419" spans="1:34" x14ac:dyDescent="0.3">
      <c r="A419" s="14">
        <v>40</v>
      </c>
      <c r="B419" s="17" t="s">
        <v>43</v>
      </c>
      <c r="C419" t="s">
        <v>36</v>
      </c>
      <c r="D419">
        <v>1398</v>
      </c>
      <c r="E419" s="17" t="s">
        <v>37</v>
      </c>
      <c r="F419">
        <v>2</v>
      </c>
      <c r="G419">
        <v>4</v>
      </c>
      <c r="H419" t="s">
        <v>38</v>
      </c>
      <c r="I419">
        <v>558</v>
      </c>
      <c r="J419">
        <v>3</v>
      </c>
      <c r="K419" s="17" t="s">
        <v>39</v>
      </c>
      <c r="L419">
        <v>79</v>
      </c>
      <c r="M419">
        <v>3</v>
      </c>
      <c r="N419">
        <v>5</v>
      </c>
      <c r="O419" s="17" t="s">
        <v>56</v>
      </c>
      <c r="P419" s="14">
        <v>3</v>
      </c>
      <c r="Q419" t="s">
        <v>48</v>
      </c>
      <c r="R419" s="14">
        <v>18041</v>
      </c>
      <c r="S419" s="17" t="str">
        <f t="shared" si="12"/>
        <v>high</v>
      </c>
      <c r="T419">
        <v>13022</v>
      </c>
      <c r="U419">
        <v>0</v>
      </c>
      <c r="V419" s="17" t="s">
        <v>43</v>
      </c>
      <c r="W419">
        <v>14</v>
      </c>
      <c r="X419">
        <v>3</v>
      </c>
      <c r="Y419">
        <v>4</v>
      </c>
      <c r="Z419">
        <v>0</v>
      </c>
      <c r="AA419">
        <v>21</v>
      </c>
      <c r="AB419">
        <v>2</v>
      </c>
      <c r="AC419">
        <v>3</v>
      </c>
      <c r="AD419" s="14">
        <v>20</v>
      </c>
      <c r="AE419" t="str">
        <f t="shared" si="13"/>
        <v>10+ years</v>
      </c>
      <c r="AF419" s="14">
        <v>15</v>
      </c>
      <c r="AG419" s="14">
        <v>1</v>
      </c>
      <c r="AH419" s="14">
        <v>12</v>
      </c>
    </row>
    <row r="420" spans="1:34" x14ac:dyDescent="0.3">
      <c r="A420" s="14">
        <v>26</v>
      </c>
      <c r="B420" s="17" t="s">
        <v>43</v>
      </c>
      <c r="C420" t="s">
        <v>36</v>
      </c>
      <c r="D420">
        <v>1349</v>
      </c>
      <c r="E420" s="17" t="s">
        <v>45</v>
      </c>
      <c r="F420">
        <v>23</v>
      </c>
      <c r="G420">
        <v>3</v>
      </c>
      <c r="H420" t="s">
        <v>38</v>
      </c>
      <c r="I420">
        <v>560</v>
      </c>
      <c r="J420">
        <v>1</v>
      </c>
      <c r="K420" s="17" t="s">
        <v>39</v>
      </c>
      <c r="L420">
        <v>90</v>
      </c>
      <c r="M420">
        <v>3</v>
      </c>
      <c r="N420">
        <v>1</v>
      </c>
      <c r="O420" s="17" t="s">
        <v>47</v>
      </c>
      <c r="P420" s="14">
        <v>4</v>
      </c>
      <c r="Q420" t="s">
        <v>52</v>
      </c>
      <c r="R420" s="14">
        <v>2886</v>
      </c>
      <c r="S420" s="17" t="str">
        <f t="shared" si="12"/>
        <v>low</v>
      </c>
      <c r="T420">
        <v>3032</v>
      </c>
      <c r="U420">
        <v>1</v>
      </c>
      <c r="V420" s="17" t="s">
        <v>43</v>
      </c>
      <c r="W420">
        <v>22</v>
      </c>
      <c r="X420">
        <v>4</v>
      </c>
      <c r="Y420">
        <v>2</v>
      </c>
      <c r="Z420">
        <v>2</v>
      </c>
      <c r="AA420">
        <v>3</v>
      </c>
      <c r="AB420">
        <v>3</v>
      </c>
      <c r="AC420">
        <v>1</v>
      </c>
      <c r="AD420" s="14">
        <v>3</v>
      </c>
      <c r="AE420" t="str">
        <f t="shared" si="13"/>
        <v>3-5 years</v>
      </c>
      <c r="AF420" s="14">
        <v>2</v>
      </c>
      <c r="AG420" s="14">
        <v>0</v>
      </c>
      <c r="AH420" s="14">
        <v>2</v>
      </c>
    </row>
    <row r="421" spans="1:34" x14ac:dyDescent="0.3">
      <c r="A421" s="14">
        <v>30</v>
      </c>
      <c r="B421" s="17" t="s">
        <v>43</v>
      </c>
      <c r="C421" t="s">
        <v>55</v>
      </c>
      <c r="D421">
        <v>1400</v>
      </c>
      <c r="E421" s="17" t="s">
        <v>45</v>
      </c>
      <c r="F421">
        <v>3</v>
      </c>
      <c r="G421">
        <v>3</v>
      </c>
      <c r="H421" t="s">
        <v>38</v>
      </c>
      <c r="I421">
        <v>562</v>
      </c>
      <c r="J421">
        <v>3</v>
      </c>
      <c r="K421" s="17" t="s">
        <v>46</v>
      </c>
      <c r="L421">
        <v>53</v>
      </c>
      <c r="M421">
        <v>3</v>
      </c>
      <c r="N421">
        <v>1</v>
      </c>
      <c r="O421" s="17" t="s">
        <v>50</v>
      </c>
      <c r="P421" s="14">
        <v>4</v>
      </c>
      <c r="Q421" t="s">
        <v>48</v>
      </c>
      <c r="R421" s="14">
        <v>2097</v>
      </c>
      <c r="S421" s="17" t="str">
        <f t="shared" si="12"/>
        <v>low</v>
      </c>
      <c r="T421">
        <v>16734</v>
      </c>
      <c r="U421">
        <v>4</v>
      </c>
      <c r="V421" s="17" t="s">
        <v>43</v>
      </c>
      <c r="W421">
        <v>15</v>
      </c>
      <c r="X421">
        <v>3</v>
      </c>
      <c r="Y421">
        <v>3</v>
      </c>
      <c r="Z421">
        <v>1</v>
      </c>
      <c r="AA421">
        <v>9</v>
      </c>
      <c r="AB421">
        <v>3</v>
      </c>
      <c r="AC421">
        <v>1</v>
      </c>
      <c r="AD421" s="14">
        <v>5</v>
      </c>
      <c r="AE421" t="str">
        <f t="shared" si="13"/>
        <v>3-5 years</v>
      </c>
      <c r="AF421" s="14">
        <v>3</v>
      </c>
      <c r="AG421" s="14">
        <v>1</v>
      </c>
      <c r="AH421" s="14">
        <v>4</v>
      </c>
    </row>
    <row r="422" spans="1:34" x14ac:dyDescent="0.3">
      <c r="A422" s="14">
        <v>29</v>
      </c>
      <c r="B422" s="17" t="s">
        <v>43</v>
      </c>
      <c r="C422" t="s">
        <v>36</v>
      </c>
      <c r="D422">
        <v>986</v>
      </c>
      <c r="E422" s="17" t="s">
        <v>45</v>
      </c>
      <c r="F422">
        <v>3</v>
      </c>
      <c r="G422">
        <v>4</v>
      </c>
      <c r="H422" t="s">
        <v>51</v>
      </c>
      <c r="I422">
        <v>564</v>
      </c>
      <c r="J422">
        <v>2</v>
      </c>
      <c r="K422" s="17" t="s">
        <v>46</v>
      </c>
      <c r="L422">
        <v>93</v>
      </c>
      <c r="M422">
        <v>2</v>
      </c>
      <c r="N422">
        <v>3</v>
      </c>
      <c r="O422" s="17" t="s">
        <v>58</v>
      </c>
      <c r="P422" s="14">
        <v>3</v>
      </c>
      <c r="Q422" t="s">
        <v>48</v>
      </c>
      <c r="R422" s="14">
        <v>11935</v>
      </c>
      <c r="S422" s="17" t="str">
        <f t="shared" si="12"/>
        <v>high</v>
      </c>
      <c r="T422">
        <v>21526</v>
      </c>
      <c r="U422">
        <v>1</v>
      </c>
      <c r="V422" s="17" t="s">
        <v>43</v>
      </c>
      <c r="W422">
        <v>18</v>
      </c>
      <c r="X422">
        <v>3</v>
      </c>
      <c r="Y422">
        <v>3</v>
      </c>
      <c r="Z422">
        <v>0</v>
      </c>
      <c r="AA422">
        <v>10</v>
      </c>
      <c r="AB422">
        <v>2</v>
      </c>
      <c r="AC422">
        <v>3</v>
      </c>
      <c r="AD422" s="14">
        <v>10</v>
      </c>
      <c r="AE422" t="str">
        <f t="shared" si="13"/>
        <v>6-10 years</v>
      </c>
      <c r="AF422" s="14">
        <v>2</v>
      </c>
      <c r="AG422" s="14">
        <v>0</v>
      </c>
      <c r="AH422" s="14">
        <v>7</v>
      </c>
    </row>
    <row r="423" spans="1:34" x14ac:dyDescent="0.3">
      <c r="A423" s="14">
        <v>29</v>
      </c>
      <c r="B423" s="17" t="s">
        <v>35</v>
      </c>
      <c r="C423" t="s">
        <v>36</v>
      </c>
      <c r="D423">
        <v>408</v>
      </c>
      <c r="E423" s="17" t="s">
        <v>45</v>
      </c>
      <c r="F423">
        <v>25</v>
      </c>
      <c r="G423">
        <v>5</v>
      </c>
      <c r="H423" t="s">
        <v>60</v>
      </c>
      <c r="I423">
        <v>565</v>
      </c>
      <c r="J423">
        <v>3</v>
      </c>
      <c r="K423" s="17" t="s">
        <v>39</v>
      </c>
      <c r="L423">
        <v>71</v>
      </c>
      <c r="M423">
        <v>2</v>
      </c>
      <c r="N423">
        <v>1</v>
      </c>
      <c r="O423" s="17" t="s">
        <v>47</v>
      </c>
      <c r="P423" s="14">
        <v>2</v>
      </c>
      <c r="Q423" t="s">
        <v>48</v>
      </c>
      <c r="R423" s="14">
        <v>2546</v>
      </c>
      <c r="S423" s="17" t="str">
        <f t="shared" si="12"/>
        <v>low</v>
      </c>
      <c r="T423">
        <v>18300</v>
      </c>
      <c r="U423">
        <v>5</v>
      </c>
      <c r="V423" s="17" t="s">
        <v>43</v>
      </c>
      <c r="W423">
        <v>16</v>
      </c>
      <c r="X423">
        <v>3</v>
      </c>
      <c r="Y423">
        <v>2</v>
      </c>
      <c r="Z423">
        <v>0</v>
      </c>
      <c r="AA423">
        <v>6</v>
      </c>
      <c r="AB423">
        <v>2</v>
      </c>
      <c r="AC423">
        <v>4</v>
      </c>
      <c r="AD423" s="14">
        <v>2</v>
      </c>
      <c r="AE423" t="str">
        <f t="shared" si="13"/>
        <v>0-2 years</v>
      </c>
      <c r="AF423" s="14">
        <v>2</v>
      </c>
      <c r="AG423" s="14">
        <v>1</v>
      </c>
      <c r="AH423" s="14">
        <v>1</v>
      </c>
    </row>
    <row r="424" spans="1:34" x14ac:dyDescent="0.3">
      <c r="A424" s="14">
        <v>19</v>
      </c>
      <c r="B424" s="17" t="s">
        <v>35</v>
      </c>
      <c r="C424" t="s">
        <v>36</v>
      </c>
      <c r="D424">
        <v>489</v>
      </c>
      <c r="E424" s="17" t="s">
        <v>61</v>
      </c>
      <c r="F424">
        <v>2</v>
      </c>
      <c r="G424">
        <v>2</v>
      </c>
      <c r="H424" t="s">
        <v>60</v>
      </c>
      <c r="I424">
        <v>566</v>
      </c>
      <c r="J424">
        <v>1</v>
      </c>
      <c r="K424" s="17" t="s">
        <v>46</v>
      </c>
      <c r="L424">
        <v>52</v>
      </c>
      <c r="M424">
        <v>2</v>
      </c>
      <c r="N424">
        <v>1</v>
      </c>
      <c r="O424" s="17" t="s">
        <v>61</v>
      </c>
      <c r="P424" s="14">
        <v>4</v>
      </c>
      <c r="Q424" t="s">
        <v>41</v>
      </c>
      <c r="R424" s="14">
        <v>2564</v>
      </c>
      <c r="S424" s="17" t="str">
        <f t="shared" si="12"/>
        <v>low</v>
      </c>
      <c r="T424">
        <v>18437</v>
      </c>
      <c r="U424">
        <v>1</v>
      </c>
      <c r="V424" s="17" t="s">
        <v>43</v>
      </c>
      <c r="W424">
        <v>12</v>
      </c>
      <c r="X424">
        <v>3</v>
      </c>
      <c r="Y424">
        <v>3</v>
      </c>
      <c r="Z424">
        <v>0</v>
      </c>
      <c r="AA424">
        <v>1</v>
      </c>
      <c r="AB424">
        <v>3</v>
      </c>
      <c r="AC424">
        <v>4</v>
      </c>
      <c r="AD424" s="14">
        <v>1</v>
      </c>
      <c r="AE424" t="str">
        <f t="shared" si="13"/>
        <v>0-2 years</v>
      </c>
      <c r="AF424" s="14">
        <v>0</v>
      </c>
      <c r="AG424" s="14">
        <v>0</v>
      </c>
      <c r="AH424" s="14">
        <v>0</v>
      </c>
    </row>
    <row r="425" spans="1:34" x14ac:dyDescent="0.3">
      <c r="A425" s="14">
        <v>30</v>
      </c>
      <c r="B425" s="17" t="s">
        <v>43</v>
      </c>
      <c r="C425" t="s">
        <v>55</v>
      </c>
      <c r="D425">
        <v>1398</v>
      </c>
      <c r="E425" s="17" t="s">
        <v>37</v>
      </c>
      <c r="F425">
        <v>22</v>
      </c>
      <c r="G425">
        <v>4</v>
      </c>
      <c r="H425" t="s">
        <v>49</v>
      </c>
      <c r="I425">
        <v>567</v>
      </c>
      <c r="J425">
        <v>3</v>
      </c>
      <c r="K425" s="17" t="s">
        <v>39</v>
      </c>
      <c r="L425">
        <v>69</v>
      </c>
      <c r="M425">
        <v>3</v>
      </c>
      <c r="N425">
        <v>3</v>
      </c>
      <c r="O425" s="17" t="s">
        <v>40</v>
      </c>
      <c r="P425" s="14">
        <v>1</v>
      </c>
      <c r="Q425" t="s">
        <v>48</v>
      </c>
      <c r="R425" s="14">
        <v>8412</v>
      </c>
      <c r="S425" s="17" t="str">
        <f t="shared" si="12"/>
        <v>high</v>
      </c>
      <c r="T425">
        <v>2890</v>
      </c>
      <c r="U425">
        <v>0</v>
      </c>
      <c r="V425" s="17" t="s">
        <v>43</v>
      </c>
      <c r="W425">
        <v>11</v>
      </c>
      <c r="X425">
        <v>3</v>
      </c>
      <c r="Y425">
        <v>3</v>
      </c>
      <c r="Z425">
        <v>0</v>
      </c>
      <c r="AA425">
        <v>10</v>
      </c>
      <c r="AB425">
        <v>3</v>
      </c>
      <c r="AC425">
        <v>3</v>
      </c>
      <c r="AD425" s="14">
        <v>9</v>
      </c>
      <c r="AE425" t="str">
        <f t="shared" si="13"/>
        <v>6-10 years</v>
      </c>
      <c r="AF425" s="14">
        <v>8</v>
      </c>
      <c r="AG425" s="14">
        <v>7</v>
      </c>
      <c r="AH425" s="14">
        <v>8</v>
      </c>
    </row>
    <row r="426" spans="1:34" x14ac:dyDescent="0.3">
      <c r="A426" s="14">
        <v>57</v>
      </c>
      <c r="B426" s="17" t="s">
        <v>43</v>
      </c>
      <c r="C426" t="s">
        <v>36</v>
      </c>
      <c r="D426">
        <v>210</v>
      </c>
      <c r="E426" s="17" t="s">
        <v>37</v>
      </c>
      <c r="F426">
        <v>29</v>
      </c>
      <c r="G426">
        <v>3</v>
      </c>
      <c r="H426" t="s">
        <v>59</v>
      </c>
      <c r="I426">
        <v>568</v>
      </c>
      <c r="J426">
        <v>1</v>
      </c>
      <c r="K426" s="17" t="s">
        <v>46</v>
      </c>
      <c r="L426">
        <v>56</v>
      </c>
      <c r="M426">
        <v>2</v>
      </c>
      <c r="N426">
        <v>4</v>
      </c>
      <c r="O426" s="17" t="s">
        <v>56</v>
      </c>
      <c r="P426" s="14">
        <v>4</v>
      </c>
      <c r="Q426" t="s">
        <v>52</v>
      </c>
      <c r="R426" s="14">
        <v>14118</v>
      </c>
      <c r="S426" s="17" t="str">
        <f t="shared" si="12"/>
        <v>high</v>
      </c>
      <c r="T426">
        <v>22102</v>
      </c>
      <c r="U426">
        <v>3</v>
      </c>
      <c r="V426" s="17" t="s">
        <v>43</v>
      </c>
      <c r="W426">
        <v>12</v>
      </c>
      <c r="X426">
        <v>3</v>
      </c>
      <c r="Y426">
        <v>3</v>
      </c>
      <c r="Z426">
        <v>1</v>
      </c>
      <c r="AA426">
        <v>32</v>
      </c>
      <c r="AB426">
        <v>3</v>
      </c>
      <c r="AC426">
        <v>2</v>
      </c>
      <c r="AD426" s="14">
        <v>1</v>
      </c>
      <c r="AE426" t="str">
        <f t="shared" si="13"/>
        <v>0-2 years</v>
      </c>
      <c r="AF426" s="14">
        <v>0</v>
      </c>
      <c r="AG426" s="14">
        <v>0</v>
      </c>
      <c r="AH426" s="14">
        <v>0</v>
      </c>
    </row>
    <row r="427" spans="1:34" x14ac:dyDescent="0.3">
      <c r="A427" s="14">
        <v>50</v>
      </c>
      <c r="B427" s="17" t="s">
        <v>43</v>
      </c>
      <c r="C427" t="s">
        <v>36</v>
      </c>
      <c r="D427">
        <v>1099</v>
      </c>
      <c r="E427" s="17" t="s">
        <v>45</v>
      </c>
      <c r="F427">
        <v>29</v>
      </c>
      <c r="G427">
        <v>4</v>
      </c>
      <c r="H427" t="s">
        <v>38</v>
      </c>
      <c r="I427">
        <v>569</v>
      </c>
      <c r="J427">
        <v>2</v>
      </c>
      <c r="K427" s="17" t="s">
        <v>46</v>
      </c>
      <c r="L427">
        <v>88</v>
      </c>
      <c r="M427">
        <v>2</v>
      </c>
      <c r="N427">
        <v>4</v>
      </c>
      <c r="O427" s="17" t="s">
        <v>56</v>
      </c>
      <c r="P427" s="14">
        <v>3</v>
      </c>
      <c r="Q427" t="s">
        <v>48</v>
      </c>
      <c r="R427" s="14">
        <v>17046</v>
      </c>
      <c r="S427" s="17" t="str">
        <f t="shared" si="12"/>
        <v>high</v>
      </c>
      <c r="T427">
        <v>9314</v>
      </c>
      <c r="U427">
        <v>0</v>
      </c>
      <c r="V427" s="17" t="s">
        <v>43</v>
      </c>
      <c r="W427">
        <v>15</v>
      </c>
      <c r="X427">
        <v>3</v>
      </c>
      <c r="Y427">
        <v>2</v>
      </c>
      <c r="Z427">
        <v>1</v>
      </c>
      <c r="AA427">
        <v>28</v>
      </c>
      <c r="AB427">
        <v>2</v>
      </c>
      <c r="AC427">
        <v>3</v>
      </c>
      <c r="AD427" s="14">
        <v>27</v>
      </c>
      <c r="AE427" t="str">
        <f t="shared" si="13"/>
        <v>10+ years</v>
      </c>
      <c r="AF427" s="14">
        <v>10</v>
      </c>
      <c r="AG427" s="14">
        <v>15</v>
      </c>
      <c r="AH427" s="14">
        <v>7</v>
      </c>
    </row>
    <row r="428" spans="1:34" x14ac:dyDescent="0.3">
      <c r="A428" s="14">
        <v>30</v>
      </c>
      <c r="B428" s="17" t="s">
        <v>43</v>
      </c>
      <c r="C428" t="s">
        <v>55</v>
      </c>
      <c r="D428">
        <v>1116</v>
      </c>
      <c r="E428" s="17" t="s">
        <v>45</v>
      </c>
      <c r="F428">
        <v>2</v>
      </c>
      <c r="G428">
        <v>3</v>
      </c>
      <c r="H428" t="s">
        <v>51</v>
      </c>
      <c r="I428">
        <v>571</v>
      </c>
      <c r="J428">
        <v>3</v>
      </c>
      <c r="K428" s="17" t="s">
        <v>39</v>
      </c>
      <c r="L428">
        <v>49</v>
      </c>
      <c r="M428">
        <v>3</v>
      </c>
      <c r="N428">
        <v>1</v>
      </c>
      <c r="O428" s="17" t="s">
        <v>50</v>
      </c>
      <c r="P428" s="14">
        <v>4</v>
      </c>
      <c r="Q428" t="s">
        <v>41</v>
      </c>
      <c r="R428" s="14">
        <v>2564</v>
      </c>
      <c r="S428" s="17" t="str">
        <f t="shared" si="12"/>
        <v>low</v>
      </c>
      <c r="T428">
        <v>7181</v>
      </c>
      <c r="U428">
        <v>0</v>
      </c>
      <c r="V428" s="17" t="s">
        <v>43</v>
      </c>
      <c r="W428">
        <v>14</v>
      </c>
      <c r="X428">
        <v>3</v>
      </c>
      <c r="Y428">
        <v>3</v>
      </c>
      <c r="Z428">
        <v>0</v>
      </c>
      <c r="AA428">
        <v>12</v>
      </c>
      <c r="AB428">
        <v>2</v>
      </c>
      <c r="AC428">
        <v>2</v>
      </c>
      <c r="AD428" s="14">
        <v>11</v>
      </c>
      <c r="AE428" t="str">
        <f t="shared" si="13"/>
        <v>10+ years</v>
      </c>
      <c r="AF428" s="14">
        <v>7</v>
      </c>
      <c r="AG428" s="14">
        <v>6</v>
      </c>
      <c r="AH428" s="14">
        <v>7</v>
      </c>
    </row>
    <row r="429" spans="1:34" x14ac:dyDescent="0.3">
      <c r="A429" s="14">
        <v>60</v>
      </c>
      <c r="B429" s="17" t="s">
        <v>43</v>
      </c>
      <c r="C429" t="s">
        <v>44</v>
      </c>
      <c r="D429">
        <v>1499</v>
      </c>
      <c r="E429" s="17" t="s">
        <v>37</v>
      </c>
      <c r="F429">
        <v>28</v>
      </c>
      <c r="G429">
        <v>3</v>
      </c>
      <c r="H429" t="s">
        <v>59</v>
      </c>
      <c r="I429">
        <v>573</v>
      </c>
      <c r="J429">
        <v>3</v>
      </c>
      <c r="K429" s="17" t="s">
        <v>39</v>
      </c>
      <c r="L429">
        <v>80</v>
      </c>
      <c r="M429">
        <v>2</v>
      </c>
      <c r="N429">
        <v>3</v>
      </c>
      <c r="O429" s="17" t="s">
        <v>40</v>
      </c>
      <c r="P429" s="14">
        <v>1</v>
      </c>
      <c r="Q429" t="s">
        <v>48</v>
      </c>
      <c r="R429" s="14">
        <v>10266</v>
      </c>
      <c r="S429" s="17" t="str">
        <f t="shared" si="12"/>
        <v>high</v>
      </c>
      <c r="T429">
        <v>2845</v>
      </c>
      <c r="U429">
        <v>4</v>
      </c>
      <c r="V429" s="17" t="s">
        <v>43</v>
      </c>
      <c r="W429">
        <v>19</v>
      </c>
      <c r="X429">
        <v>3</v>
      </c>
      <c r="Y429">
        <v>4</v>
      </c>
      <c r="Z429">
        <v>0</v>
      </c>
      <c r="AA429">
        <v>22</v>
      </c>
      <c r="AB429">
        <v>5</v>
      </c>
      <c r="AC429">
        <v>4</v>
      </c>
      <c r="AD429" s="14">
        <v>18</v>
      </c>
      <c r="AE429" t="str">
        <f t="shared" si="13"/>
        <v>10+ years</v>
      </c>
      <c r="AF429" s="14">
        <v>13</v>
      </c>
      <c r="AG429" s="14">
        <v>13</v>
      </c>
      <c r="AH429" s="14">
        <v>11</v>
      </c>
    </row>
    <row r="430" spans="1:34" x14ac:dyDescent="0.3">
      <c r="A430" s="14">
        <v>47</v>
      </c>
      <c r="B430" s="17" t="s">
        <v>43</v>
      </c>
      <c r="C430" t="s">
        <v>36</v>
      </c>
      <c r="D430">
        <v>983</v>
      </c>
      <c r="E430" s="17" t="s">
        <v>45</v>
      </c>
      <c r="F430">
        <v>2</v>
      </c>
      <c r="G430">
        <v>2</v>
      </c>
      <c r="H430" t="s">
        <v>51</v>
      </c>
      <c r="I430">
        <v>574</v>
      </c>
      <c r="J430">
        <v>1</v>
      </c>
      <c r="K430" s="17" t="s">
        <v>39</v>
      </c>
      <c r="L430">
        <v>65</v>
      </c>
      <c r="M430">
        <v>3</v>
      </c>
      <c r="N430">
        <v>2</v>
      </c>
      <c r="O430" s="17" t="s">
        <v>53</v>
      </c>
      <c r="P430" s="14">
        <v>4</v>
      </c>
      <c r="Q430" t="s">
        <v>52</v>
      </c>
      <c r="R430" s="14">
        <v>5070</v>
      </c>
      <c r="S430" s="17" t="str">
        <f t="shared" si="12"/>
        <v>medium</v>
      </c>
      <c r="T430">
        <v>7389</v>
      </c>
      <c r="U430">
        <v>5</v>
      </c>
      <c r="V430" s="17" t="s">
        <v>43</v>
      </c>
      <c r="W430">
        <v>13</v>
      </c>
      <c r="X430">
        <v>3</v>
      </c>
      <c r="Y430">
        <v>3</v>
      </c>
      <c r="Z430">
        <v>3</v>
      </c>
      <c r="AA430">
        <v>20</v>
      </c>
      <c r="AB430">
        <v>2</v>
      </c>
      <c r="AC430">
        <v>3</v>
      </c>
      <c r="AD430" s="14">
        <v>5</v>
      </c>
      <c r="AE430" t="str">
        <f t="shared" si="13"/>
        <v>3-5 years</v>
      </c>
      <c r="AF430" s="14">
        <v>0</v>
      </c>
      <c r="AG430" s="14">
        <v>0</v>
      </c>
      <c r="AH430" s="14">
        <v>4</v>
      </c>
    </row>
    <row r="431" spans="1:34" x14ac:dyDescent="0.3">
      <c r="A431" s="14">
        <v>46</v>
      </c>
      <c r="B431" s="17" t="s">
        <v>43</v>
      </c>
      <c r="C431" t="s">
        <v>36</v>
      </c>
      <c r="D431">
        <v>1009</v>
      </c>
      <c r="E431" s="17" t="s">
        <v>45</v>
      </c>
      <c r="F431">
        <v>2</v>
      </c>
      <c r="G431">
        <v>3</v>
      </c>
      <c r="H431" t="s">
        <v>38</v>
      </c>
      <c r="I431">
        <v>575</v>
      </c>
      <c r="J431">
        <v>1</v>
      </c>
      <c r="K431" s="17" t="s">
        <v>46</v>
      </c>
      <c r="L431">
        <v>51</v>
      </c>
      <c r="M431">
        <v>3</v>
      </c>
      <c r="N431">
        <v>4</v>
      </c>
      <c r="O431" s="17" t="s">
        <v>58</v>
      </c>
      <c r="P431" s="14">
        <v>3</v>
      </c>
      <c r="Q431" t="s">
        <v>48</v>
      </c>
      <c r="R431" s="14">
        <v>17861</v>
      </c>
      <c r="S431" s="17" t="str">
        <f t="shared" si="12"/>
        <v>high</v>
      </c>
      <c r="T431">
        <v>2288</v>
      </c>
      <c r="U431">
        <v>6</v>
      </c>
      <c r="V431" s="17" t="s">
        <v>43</v>
      </c>
      <c r="W431">
        <v>13</v>
      </c>
      <c r="X431">
        <v>3</v>
      </c>
      <c r="Y431">
        <v>3</v>
      </c>
      <c r="Z431">
        <v>0</v>
      </c>
      <c r="AA431">
        <v>26</v>
      </c>
      <c r="AB431">
        <v>2</v>
      </c>
      <c r="AC431">
        <v>1</v>
      </c>
      <c r="AD431" s="14">
        <v>3</v>
      </c>
      <c r="AE431" t="str">
        <f t="shared" si="13"/>
        <v>3-5 years</v>
      </c>
      <c r="AF431" s="14">
        <v>2</v>
      </c>
      <c r="AG431" s="14">
        <v>0</v>
      </c>
      <c r="AH431" s="14">
        <v>1</v>
      </c>
    </row>
    <row r="432" spans="1:34" x14ac:dyDescent="0.3">
      <c r="A432" s="14">
        <v>35</v>
      </c>
      <c r="B432" s="17" t="s">
        <v>43</v>
      </c>
      <c r="C432" t="s">
        <v>36</v>
      </c>
      <c r="D432">
        <v>144</v>
      </c>
      <c r="E432" s="17" t="s">
        <v>45</v>
      </c>
      <c r="F432">
        <v>22</v>
      </c>
      <c r="G432">
        <v>3</v>
      </c>
      <c r="H432" t="s">
        <v>38</v>
      </c>
      <c r="I432">
        <v>577</v>
      </c>
      <c r="J432">
        <v>4</v>
      </c>
      <c r="K432" s="17" t="s">
        <v>46</v>
      </c>
      <c r="L432">
        <v>46</v>
      </c>
      <c r="M432">
        <v>1</v>
      </c>
      <c r="N432">
        <v>1</v>
      </c>
      <c r="O432" s="17" t="s">
        <v>50</v>
      </c>
      <c r="P432" s="14">
        <v>3</v>
      </c>
      <c r="Q432" t="s">
        <v>41</v>
      </c>
      <c r="R432" s="14">
        <v>4230</v>
      </c>
      <c r="S432" s="17" t="str">
        <f t="shared" si="12"/>
        <v>medium</v>
      </c>
      <c r="T432">
        <v>19225</v>
      </c>
      <c r="U432">
        <v>0</v>
      </c>
      <c r="V432" s="17" t="s">
        <v>43</v>
      </c>
      <c r="W432">
        <v>15</v>
      </c>
      <c r="X432">
        <v>3</v>
      </c>
      <c r="Y432">
        <v>3</v>
      </c>
      <c r="Z432">
        <v>0</v>
      </c>
      <c r="AA432">
        <v>6</v>
      </c>
      <c r="AB432">
        <v>2</v>
      </c>
      <c r="AC432">
        <v>3</v>
      </c>
      <c r="AD432" s="14">
        <v>5</v>
      </c>
      <c r="AE432" t="str">
        <f t="shared" si="13"/>
        <v>3-5 years</v>
      </c>
      <c r="AF432" s="14">
        <v>4</v>
      </c>
      <c r="AG432" s="14">
        <v>4</v>
      </c>
      <c r="AH432" s="14">
        <v>3</v>
      </c>
    </row>
    <row r="433" spans="1:34" x14ac:dyDescent="0.3">
      <c r="A433" s="14">
        <v>54</v>
      </c>
      <c r="B433" s="17" t="s">
        <v>43</v>
      </c>
      <c r="C433" t="s">
        <v>36</v>
      </c>
      <c r="D433">
        <v>548</v>
      </c>
      <c r="E433" s="17" t="s">
        <v>45</v>
      </c>
      <c r="F433">
        <v>8</v>
      </c>
      <c r="G433">
        <v>4</v>
      </c>
      <c r="H433" t="s">
        <v>38</v>
      </c>
      <c r="I433">
        <v>578</v>
      </c>
      <c r="J433">
        <v>3</v>
      </c>
      <c r="K433" s="17" t="s">
        <v>39</v>
      </c>
      <c r="L433">
        <v>42</v>
      </c>
      <c r="M433">
        <v>3</v>
      </c>
      <c r="N433">
        <v>2</v>
      </c>
      <c r="O433" s="17" t="s">
        <v>50</v>
      </c>
      <c r="P433" s="14">
        <v>3</v>
      </c>
      <c r="Q433" t="s">
        <v>41</v>
      </c>
      <c r="R433" s="14">
        <v>3780</v>
      </c>
      <c r="S433" s="17" t="str">
        <f t="shared" si="12"/>
        <v>medium</v>
      </c>
      <c r="T433">
        <v>23428</v>
      </c>
      <c r="U433">
        <v>7</v>
      </c>
      <c r="V433" s="17" t="s">
        <v>43</v>
      </c>
      <c r="W433">
        <v>11</v>
      </c>
      <c r="X433">
        <v>3</v>
      </c>
      <c r="Y433">
        <v>3</v>
      </c>
      <c r="Z433">
        <v>0</v>
      </c>
      <c r="AA433">
        <v>19</v>
      </c>
      <c r="AB433">
        <v>3</v>
      </c>
      <c r="AC433">
        <v>3</v>
      </c>
      <c r="AD433" s="14">
        <v>1</v>
      </c>
      <c r="AE433" t="str">
        <f t="shared" si="13"/>
        <v>0-2 years</v>
      </c>
      <c r="AF433" s="14">
        <v>0</v>
      </c>
      <c r="AG433" s="14">
        <v>0</v>
      </c>
      <c r="AH433" s="14">
        <v>0</v>
      </c>
    </row>
    <row r="434" spans="1:34" x14ac:dyDescent="0.3">
      <c r="A434" s="14">
        <v>34</v>
      </c>
      <c r="B434" s="17" t="s">
        <v>43</v>
      </c>
      <c r="C434" t="s">
        <v>36</v>
      </c>
      <c r="D434">
        <v>1303</v>
      </c>
      <c r="E434" s="17" t="s">
        <v>45</v>
      </c>
      <c r="F434">
        <v>2</v>
      </c>
      <c r="G434">
        <v>4</v>
      </c>
      <c r="H434" t="s">
        <v>38</v>
      </c>
      <c r="I434">
        <v>579</v>
      </c>
      <c r="J434">
        <v>4</v>
      </c>
      <c r="K434" s="17" t="s">
        <v>46</v>
      </c>
      <c r="L434">
        <v>62</v>
      </c>
      <c r="M434">
        <v>2</v>
      </c>
      <c r="N434">
        <v>1</v>
      </c>
      <c r="O434" s="17" t="s">
        <v>47</v>
      </c>
      <c r="P434" s="14">
        <v>3</v>
      </c>
      <c r="Q434" t="s">
        <v>52</v>
      </c>
      <c r="R434" s="14">
        <v>2768</v>
      </c>
      <c r="S434" s="17" t="str">
        <f t="shared" si="12"/>
        <v>low</v>
      </c>
      <c r="T434">
        <v>8416</v>
      </c>
      <c r="U434">
        <v>3</v>
      </c>
      <c r="V434" s="17" t="s">
        <v>43</v>
      </c>
      <c r="W434">
        <v>12</v>
      </c>
      <c r="X434">
        <v>3</v>
      </c>
      <c r="Y434">
        <v>3</v>
      </c>
      <c r="Z434">
        <v>1</v>
      </c>
      <c r="AA434">
        <v>14</v>
      </c>
      <c r="AB434">
        <v>3</v>
      </c>
      <c r="AC434">
        <v>3</v>
      </c>
      <c r="AD434" s="14">
        <v>7</v>
      </c>
      <c r="AE434" t="str">
        <f t="shared" si="13"/>
        <v>6-10 years</v>
      </c>
      <c r="AF434" s="14">
        <v>3</v>
      </c>
      <c r="AG434" s="14">
        <v>5</v>
      </c>
      <c r="AH434" s="14">
        <v>7</v>
      </c>
    </row>
    <row r="435" spans="1:34" x14ac:dyDescent="0.3">
      <c r="A435" s="14">
        <v>46</v>
      </c>
      <c r="B435" s="17" t="s">
        <v>43</v>
      </c>
      <c r="C435" t="s">
        <v>36</v>
      </c>
      <c r="D435">
        <v>1125</v>
      </c>
      <c r="E435" s="17" t="s">
        <v>37</v>
      </c>
      <c r="F435">
        <v>10</v>
      </c>
      <c r="G435">
        <v>3</v>
      </c>
      <c r="H435" t="s">
        <v>59</v>
      </c>
      <c r="I435">
        <v>580</v>
      </c>
      <c r="J435">
        <v>3</v>
      </c>
      <c r="K435" s="17" t="s">
        <v>39</v>
      </c>
      <c r="L435">
        <v>94</v>
      </c>
      <c r="M435">
        <v>2</v>
      </c>
      <c r="N435">
        <v>3</v>
      </c>
      <c r="O435" s="17" t="s">
        <v>40</v>
      </c>
      <c r="P435" s="14">
        <v>4</v>
      </c>
      <c r="Q435" t="s">
        <v>48</v>
      </c>
      <c r="R435" s="14">
        <v>9071</v>
      </c>
      <c r="S435" s="17" t="str">
        <f t="shared" si="12"/>
        <v>high</v>
      </c>
      <c r="T435">
        <v>11563</v>
      </c>
      <c r="U435">
        <v>2</v>
      </c>
      <c r="V435" s="17" t="s">
        <v>35</v>
      </c>
      <c r="W435">
        <v>19</v>
      </c>
      <c r="X435">
        <v>3</v>
      </c>
      <c r="Y435">
        <v>3</v>
      </c>
      <c r="Z435">
        <v>1</v>
      </c>
      <c r="AA435">
        <v>15</v>
      </c>
      <c r="AB435">
        <v>3</v>
      </c>
      <c r="AC435">
        <v>3</v>
      </c>
      <c r="AD435" s="14">
        <v>3</v>
      </c>
      <c r="AE435" t="str">
        <f t="shared" si="13"/>
        <v>3-5 years</v>
      </c>
      <c r="AF435" s="14">
        <v>2</v>
      </c>
      <c r="AG435" s="14">
        <v>1</v>
      </c>
      <c r="AH435" s="14">
        <v>2</v>
      </c>
    </row>
    <row r="436" spans="1:34" x14ac:dyDescent="0.3">
      <c r="A436" s="14">
        <v>31</v>
      </c>
      <c r="B436" s="17" t="s">
        <v>43</v>
      </c>
      <c r="C436" t="s">
        <v>36</v>
      </c>
      <c r="D436">
        <v>1274</v>
      </c>
      <c r="E436" s="17" t="s">
        <v>45</v>
      </c>
      <c r="F436">
        <v>9</v>
      </c>
      <c r="G436">
        <v>1</v>
      </c>
      <c r="H436" t="s">
        <v>38</v>
      </c>
      <c r="I436">
        <v>581</v>
      </c>
      <c r="J436">
        <v>3</v>
      </c>
      <c r="K436" s="17" t="s">
        <v>46</v>
      </c>
      <c r="L436">
        <v>33</v>
      </c>
      <c r="M436">
        <v>3</v>
      </c>
      <c r="N436">
        <v>3</v>
      </c>
      <c r="O436" s="17" t="s">
        <v>53</v>
      </c>
      <c r="P436" s="14">
        <v>2</v>
      </c>
      <c r="Q436" t="s">
        <v>52</v>
      </c>
      <c r="R436" s="14">
        <v>10648</v>
      </c>
      <c r="S436" s="17" t="str">
        <f t="shared" si="12"/>
        <v>high</v>
      </c>
      <c r="T436">
        <v>14394</v>
      </c>
      <c r="U436">
        <v>1</v>
      </c>
      <c r="V436" s="17" t="s">
        <v>43</v>
      </c>
      <c r="W436">
        <v>25</v>
      </c>
      <c r="X436">
        <v>4</v>
      </c>
      <c r="Y436">
        <v>4</v>
      </c>
      <c r="Z436">
        <v>1</v>
      </c>
      <c r="AA436">
        <v>13</v>
      </c>
      <c r="AB436">
        <v>6</v>
      </c>
      <c r="AC436">
        <v>4</v>
      </c>
      <c r="AD436" s="14">
        <v>13</v>
      </c>
      <c r="AE436" t="str">
        <f t="shared" si="13"/>
        <v>10+ years</v>
      </c>
      <c r="AF436" s="14">
        <v>8</v>
      </c>
      <c r="AG436" s="14">
        <v>0</v>
      </c>
      <c r="AH436" s="14">
        <v>8</v>
      </c>
    </row>
    <row r="437" spans="1:34" x14ac:dyDescent="0.3">
      <c r="A437" s="14">
        <v>33</v>
      </c>
      <c r="B437" s="17" t="s">
        <v>35</v>
      </c>
      <c r="C437" t="s">
        <v>36</v>
      </c>
      <c r="D437">
        <v>1277</v>
      </c>
      <c r="E437" s="17" t="s">
        <v>45</v>
      </c>
      <c r="F437">
        <v>15</v>
      </c>
      <c r="G437">
        <v>1</v>
      </c>
      <c r="H437" t="s">
        <v>51</v>
      </c>
      <c r="I437">
        <v>582</v>
      </c>
      <c r="J437">
        <v>2</v>
      </c>
      <c r="K437" s="17" t="s">
        <v>46</v>
      </c>
      <c r="L437">
        <v>56</v>
      </c>
      <c r="M437">
        <v>3</v>
      </c>
      <c r="N437">
        <v>3</v>
      </c>
      <c r="O437" s="17" t="s">
        <v>56</v>
      </c>
      <c r="P437" s="14">
        <v>3</v>
      </c>
      <c r="Q437" t="s">
        <v>48</v>
      </c>
      <c r="R437" s="14">
        <v>13610</v>
      </c>
      <c r="S437" s="17" t="str">
        <f t="shared" si="12"/>
        <v>high</v>
      </c>
      <c r="T437">
        <v>24619</v>
      </c>
      <c r="U437">
        <v>7</v>
      </c>
      <c r="V437" s="17" t="s">
        <v>35</v>
      </c>
      <c r="W437">
        <v>12</v>
      </c>
      <c r="X437">
        <v>3</v>
      </c>
      <c r="Y437">
        <v>4</v>
      </c>
      <c r="Z437">
        <v>0</v>
      </c>
      <c r="AA437">
        <v>15</v>
      </c>
      <c r="AB437">
        <v>2</v>
      </c>
      <c r="AC437">
        <v>4</v>
      </c>
      <c r="AD437" s="14">
        <v>7</v>
      </c>
      <c r="AE437" t="str">
        <f t="shared" si="13"/>
        <v>6-10 years</v>
      </c>
      <c r="AF437" s="14">
        <v>6</v>
      </c>
      <c r="AG437" s="14">
        <v>7</v>
      </c>
      <c r="AH437" s="14">
        <v>7</v>
      </c>
    </row>
    <row r="438" spans="1:34" x14ac:dyDescent="0.3">
      <c r="A438" s="14">
        <v>33</v>
      </c>
      <c r="B438" s="17" t="s">
        <v>35</v>
      </c>
      <c r="C438" t="s">
        <v>36</v>
      </c>
      <c r="D438">
        <v>587</v>
      </c>
      <c r="E438" s="17" t="s">
        <v>45</v>
      </c>
      <c r="F438">
        <v>10</v>
      </c>
      <c r="G438">
        <v>1</v>
      </c>
      <c r="H438" t="s">
        <v>51</v>
      </c>
      <c r="I438">
        <v>584</v>
      </c>
      <c r="J438">
        <v>1</v>
      </c>
      <c r="K438" s="17" t="s">
        <v>46</v>
      </c>
      <c r="L438">
        <v>38</v>
      </c>
      <c r="M438">
        <v>1</v>
      </c>
      <c r="N438">
        <v>1</v>
      </c>
      <c r="O438" s="17" t="s">
        <v>50</v>
      </c>
      <c r="P438" s="14">
        <v>4</v>
      </c>
      <c r="Q438" t="s">
        <v>52</v>
      </c>
      <c r="R438" s="14">
        <v>3408</v>
      </c>
      <c r="S438" s="17" t="str">
        <f t="shared" si="12"/>
        <v>medium</v>
      </c>
      <c r="T438">
        <v>6705</v>
      </c>
      <c r="U438">
        <v>7</v>
      </c>
      <c r="V438" s="17" t="s">
        <v>43</v>
      </c>
      <c r="W438">
        <v>13</v>
      </c>
      <c r="X438">
        <v>3</v>
      </c>
      <c r="Y438">
        <v>1</v>
      </c>
      <c r="Z438">
        <v>3</v>
      </c>
      <c r="AA438">
        <v>8</v>
      </c>
      <c r="AB438">
        <v>2</v>
      </c>
      <c r="AC438">
        <v>3</v>
      </c>
      <c r="AD438" s="14">
        <v>4</v>
      </c>
      <c r="AE438" t="str">
        <f t="shared" si="13"/>
        <v>3-5 years</v>
      </c>
      <c r="AF438" s="14">
        <v>3</v>
      </c>
      <c r="AG438" s="14">
        <v>1</v>
      </c>
      <c r="AH438" s="14">
        <v>3</v>
      </c>
    </row>
    <row r="439" spans="1:34" x14ac:dyDescent="0.3">
      <c r="A439" s="14">
        <v>30</v>
      </c>
      <c r="B439" s="17" t="s">
        <v>43</v>
      </c>
      <c r="C439" t="s">
        <v>36</v>
      </c>
      <c r="D439">
        <v>413</v>
      </c>
      <c r="E439" s="17" t="s">
        <v>37</v>
      </c>
      <c r="F439">
        <v>7</v>
      </c>
      <c r="G439">
        <v>1</v>
      </c>
      <c r="H439" t="s">
        <v>59</v>
      </c>
      <c r="I439">
        <v>585</v>
      </c>
      <c r="J439">
        <v>4</v>
      </c>
      <c r="K439" s="17" t="s">
        <v>46</v>
      </c>
      <c r="L439">
        <v>57</v>
      </c>
      <c r="M439">
        <v>3</v>
      </c>
      <c r="N439">
        <v>1</v>
      </c>
      <c r="O439" s="17" t="s">
        <v>57</v>
      </c>
      <c r="P439" s="14">
        <v>2</v>
      </c>
      <c r="Q439" t="s">
        <v>41</v>
      </c>
      <c r="R439" s="14">
        <v>2983</v>
      </c>
      <c r="S439" s="17" t="str">
        <f t="shared" si="12"/>
        <v>low</v>
      </c>
      <c r="T439">
        <v>18398</v>
      </c>
      <c r="U439">
        <v>0</v>
      </c>
      <c r="V439" s="17" t="s">
        <v>43</v>
      </c>
      <c r="W439">
        <v>14</v>
      </c>
      <c r="X439">
        <v>3</v>
      </c>
      <c r="Y439">
        <v>1</v>
      </c>
      <c r="Z439">
        <v>0</v>
      </c>
      <c r="AA439">
        <v>4</v>
      </c>
      <c r="AB439">
        <v>3</v>
      </c>
      <c r="AC439">
        <v>3</v>
      </c>
      <c r="AD439" s="14">
        <v>3</v>
      </c>
      <c r="AE439" t="str">
        <f t="shared" si="13"/>
        <v>3-5 years</v>
      </c>
      <c r="AF439" s="14">
        <v>2</v>
      </c>
      <c r="AG439" s="14">
        <v>1</v>
      </c>
      <c r="AH439" s="14">
        <v>2</v>
      </c>
    </row>
    <row r="440" spans="1:34" x14ac:dyDescent="0.3">
      <c r="A440" s="14">
        <v>35</v>
      </c>
      <c r="B440" s="17" t="s">
        <v>43</v>
      </c>
      <c r="C440" t="s">
        <v>36</v>
      </c>
      <c r="D440">
        <v>1276</v>
      </c>
      <c r="E440" s="17" t="s">
        <v>45</v>
      </c>
      <c r="F440">
        <v>16</v>
      </c>
      <c r="G440">
        <v>3</v>
      </c>
      <c r="H440" t="s">
        <v>38</v>
      </c>
      <c r="I440">
        <v>586</v>
      </c>
      <c r="J440">
        <v>4</v>
      </c>
      <c r="K440" s="17" t="s">
        <v>46</v>
      </c>
      <c r="L440">
        <v>72</v>
      </c>
      <c r="M440">
        <v>3</v>
      </c>
      <c r="N440">
        <v>3</v>
      </c>
      <c r="O440" s="17" t="s">
        <v>54</v>
      </c>
      <c r="P440" s="14">
        <v>3</v>
      </c>
      <c r="Q440" t="s">
        <v>48</v>
      </c>
      <c r="R440" s="14">
        <v>7632</v>
      </c>
      <c r="S440" s="17" t="str">
        <f t="shared" si="12"/>
        <v>high</v>
      </c>
      <c r="T440">
        <v>14295</v>
      </c>
      <c r="U440">
        <v>4</v>
      </c>
      <c r="V440" s="17" t="s">
        <v>35</v>
      </c>
      <c r="W440">
        <v>12</v>
      </c>
      <c r="X440">
        <v>3</v>
      </c>
      <c r="Y440">
        <v>3</v>
      </c>
      <c r="Z440">
        <v>0</v>
      </c>
      <c r="AA440">
        <v>10</v>
      </c>
      <c r="AB440">
        <v>2</v>
      </c>
      <c r="AC440">
        <v>3</v>
      </c>
      <c r="AD440" s="14">
        <v>8</v>
      </c>
      <c r="AE440" t="str">
        <f t="shared" si="13"/>
        <v>6-10 years</v>
      </c>
      <c r="AF440" s="14">
        <v>7</v>
      </c>
      <c r="AG440" s="14">
        <v>0</v>
      </c>
      <c r="AH440" s="14">
        <v>0</v>
      </c>
    </row>
    <row r="441" spans="1:34" x14ac:dyDescent="0.3">
      <c r="A441" s="14">
        <v>31</v>
      </c>
      <c r="B441" s="17" t="s">
        <v>35</v>
      </c>
      <c r="C441" t="s">
        <v>44</v>
      </c>
      <c r="D441">
        <v>534</v>
      </c>
      <c r="E441" s="17" t="s">
        <v>45</v>
      </c>
      <c r="F441">
        <v>20</v>
      </c>
      <c r="G441">
        <v>3</v>
      </c>
      <c r="H441" t="s">
        <v>38</v>
      </c>
      <c r="I441">
        <v>587</v>
      </c>
      <c r="J441">
        <v>1</v>
      </c>
      <c r="K441" s="17" t="s">
        <v>46</v>
      </c>
      <c r="L441">
        <v>66</v>
      </c>
      <c r="M441">
        <v>3</v>
      </c>
      <c r="N441">
        <v>3</v>
      </c>
      <c r="O441" s="17" t="s">
        <v>54</v>
      </c>
      <c r="P441" s="14">
        <v>3</v>
      </c>
      <c r="Q441" t="s">
        <v>48</v>
      </c>
      <c r="R441" s="14">
        <v>9824</v>
      </c>
      <c r="S441" s="17" t="str">
        <f t="shared" si="12"/>
        <v>high</v>
      </c>
      <c r="T441">
        <v>22908</v>
      </c>
      <c r="U441">
        <v>3</v>
      </c>
      <c r="V441" s="17" t="s">
        <v>43</v>
      </c>
      <c r="W441">
        <v>12</v>
      </c>
      <c r="X441">
        <v>3</v>
      </c>
      <c r="Y441">
        <v>1</v>
      </c>
      <c r="Z441">
        <v>0</v>
      </c>
      <c r="AA441">
        <v>12</v>
      </c>
      <c r="AB441">
        <v>2</v>
      </c>
      <c r="AC441">
        <v>3</v>
      </c>
      <c r="AD441" s="14">
        <v>1</v>
      </c>
      <c r="AE441" t="str">
        <f t="shared" si="13"/>
        <v>0-2 years</v>
      </c>
      <c r="AF441" s="14">
        <v>0</v>
      </c>
      <c r="AG441" s="14">
        <v>0</v>
      </c>
      <c r="AH441" s="14">
        <v>0</v>
      </c>
    </row>
    <row r="442" spans="1:34" x14ac:dyDescent="0.3">
      <c r="A442" s="14">
        <v>34</v>
      </c>
      <c r="B442" s="17" t="s">
        <v>35</v>
      </c>
      <c r="C442" t="s">
        <v>44</v>
      </c>
      <c r="D442">
        <v>988</v>
      </c>
      <c r="E442" s="17" t="s">
        <v>61</v>
      </c>
      <c r="F442">
        <v>23</v>
      </c>
      <c r="G442">
        <v>3</v>
      </c>
      <c r="H442" t="s">
        <v>61</v>
      </c>
      <c r="I442">
        <v>590</v>
      </c>
      <c r="J442">
        <v>2</v>
      </c>
      <c r="K442" s="17" t="s">
        <v>39</v>
      </c>
      <c r="L442">
        <v>43</v>
      </c>
      <c r="M442">
        <v>3</v>
      </c>
      <c r="N442">
        <v>3</v>
      </c>
      <c r="O442" s="17" t="s">
        <v>61</v>
      </c>
      <c r="P442" s="14">
        <v>1</v>
      </c>
      <c r="Q442" t="s">
        <v>52</v>
      </c>
      <c r="R442" s="14">
        <v>9950</v>
      </c>
      <c r="S442" s="17" t="str">
        <f t="shared" si="12"/>
        <v>high</v>
      </c>
      <c r="T442">
        <v>11533</v>
      </c>
      <c r="U442">
        <v>9</v>
      </c>
      <c r="V442" s="17" t="s">
        <v>35</v>
      </c>
      <c r="W442">
        <v>15</v>
      </c>
      <c r="X442">
        <v>3</v>
      </c>
      <c r="Y442">
        <v>3</v>
      </c>
      <c r="Z442">
        <v>3</v>
      </c>
      <c r="AA442">
        <v>11</v>
      </c>
      <c r="AB442">
        <v>2</v>
      </c>
      <c r="AC442">
        <v>3</v>
      </c>
      <c r="AD442" s="14">
        <v>3</v>
      </c>
      <c r="AE442" t="str">
        <f t="shared" si="13"/>
        <v>3-5 years</v>
      </c>
      <c r="AF442" s="14">
        <v>2</v>
      </c>
      <c r="AG442" s="14">
        <v>0</v>
      </c>
      <c r="AH442" s="14">
        <v>2</v>
      </c>
    </row>
    <row r="443" spans="1:34" x14ac:dyDescent="0.3">
      <c r="A443" s="14">
        <v>42</v>
      </c>
      <c r="B443" s="17" t="s">
        <v>43</v>
      </c>
      <c r="C443" t="s">
        <v>44</v>
      </c>
      <c r="D443">
        <v>1474</v>
      </c>
      <c r="E443" s="17" t="s">
        <v>45</v>
      </c>
      <c r="F443">
        <v>5</v>
      </c>
      <c r="G443">
        <v>2</v>
      </c>
      <c r="H443" t="s">
        <v>49</v>
      </c>
      <c r="I443">
        <v>591</v>
      </c>
      <c r="J443">
        <v>2</v>
      </c>
      <c r="K443" s="17" t="s">
        <v>46</v>
      </c>
      <c r="L443">
        <v>97</v>
      </c>
      <c r="M443">
        <v>3</v>
      </c>
      <c r="N443">
        <v>1</v>
      </c>
      <c r="O443" s="17" t="s">
        <v>50</v>
      </c>
      <c r="P443" s="14">
        <v>3</v>
      </c>
      <c r="Q443" t="s">
        <v>48</v>
      </c>
      <c r="R443" s="14">
        <v>2093</v>
      </c>
      <c r="S443" s="17" t="str">
        <f t="shared" si="12"/>
        <v>low</v>
      </c>
      <c r="T443">
        <v>9260</v>
      </c>
      <c r="U443">
        <v>4</v>
      </c>
      <c r="V443" s="17" t="s">
        <v>43</v>
      </c>
      <c r="W443">
        <v>17</v>
      </c>
      <c r="X443">
        <v>3</v>
      </c>
      <c r="Y443">
        <v>4</v>
      </c>
      <c r="Z443">
        <v>1</v>
      </c>
      <c r="AA443">
        <v>8</v>
      </c>
      <c r="AB443">
        <v>4</v>
      </c>
      <c r="AC443">
        <v>3</v>
      </c>
      <c r="AD443" s="14">
        <v>2</v>
      </c>
      <c r="AE443" t="str">
        <f t="shared" si="13"/>
        <v>0-2 years</v>
      </c>
      <c r="AF443" s="14">
        <v>2</v>
      </c>
      <c r="AG443" s="14">
        <v>2</v>
      </c>
      <c r="AH443" s="14">
        <v>0</v>
      </c>
    </row>
    <row r="444" spans="1:34" x14ac:dyDescent="0.3">
      <c r="A444" s="14">
        <v>36</v>
      </c>
      <c r="B444" s="17" t="s">
        <v>43</v>
      </c>
      <c r="C444" t="s">
        <v>55</v>
      </c>
      <c r="D444">
        <v>635</v>
      </c>
      <c r="E444" s="17" t="s">
        <v>37</v>
      </c>
      <c r="F444">
        <v>10</v>
      </c>
      <c r="G444">
        <v>4</v>
      </c>
      <c r="H444" t="s">
        <v>51</v>
      </c>
      <c r="I444">
        <v>592</v>
      </c>
      <c r="J444">
        <v>2</v>
      </c>
      <c r="K444" s="17" t="s">
        <v>46</v>
      </c>
      <c r="L444">
        <v>32</v>
      </c>
      <c r="M444">
        <v>3</v>
      </c>
      <c r="N444">
        <v>3</v>
      </c>
      <c r="O444" s="17" t="s">
        <v>40</v>
      </c>
      <c r="P444" s="14">
        <v>4</v>
      </c>
      <c r="Q444" t="s">
        <v>41</v>
      </c>
      <c r="R444" s="14">
        <v>9980</v>
      </c>
      <c r="S444" s="17" t="str">
        <f t="shared" si="12"/>
        <v>high</v>
      </c>
      <c r="T444">
        <v>15318</v>
      </c>
      <c r="U444">
        <v>1</v>
      </c>
      <c r="V444" s="17" t="s">
        <v>43</v>
      </c>
      <c r="W444">
        <v>14</v>
      </c>
      <c r="X444">
        <v>3</v>
      </c>
      <c r="Y444">
        <v>4</v>
      </c>
      <c r="Z444">
        <v>0</v>
      </c>
      <c r="AA444">
        <v>10</v>
      </c>
      <c r="AB444">
        <v>3</v>
      </c>
      <c r="AC444">
        <v>2</v>
      </c>
      <c r="AD444" s="14">
        <v>10</v>
      </c>
      <c r="AE444" t="str">
        <f t="shared" si="13"/>
        <v>6-10 years</v>
      </c>
      <c r="AF444" s="14">
        <v>3</v>
      </c>
      <c r="AG444" s="14">
        <v>9</v>
      </c>
      <c r="AH444" s="14">
        <v>7</v>
      </c>
    </row>
    <row r="445" spans="1:34" x14ac:dyDescent="0.3">
      <c r="A445" s="14">
        <v>22</v>
      </c>
      <c r="B445" s="17" t="s">
        <v>35</v>
      </c>
      <c r="C445" t="s">
        <v>44</v>
      </c>
      <c r="D445">
        <v>1368</v>
      </c>
      <c r="E445" s="17" t="s">
        <v>45</v>
      </c>
      <c r="F445">
        <v>4</v>
      </c>
      <c r="G445">
        <v>1</v>
      </c>
      <c r="H445" t="s">
        <v>60</v>
      </c>
      <c r="I445">
        <v>593</v>
      </c>
      <c r="J445">
        <v>3</v>
      </c>
      <c r="K445" s="17" t="s">
        <v>46</v>
      </c>
      <c r="L445">
        <v>99</v>
      </c>
      <c r="M445">
        <v>2</v>
      </c>
      <c r="N445">
        <v>1</v>
      </c>
      <c r="O445" s="17" t="s">
        <v>50</v>
      </c>
      <c r="P445" s="14">
        <v>3</v>
      </c>
      <c r="Q445" t="s">
        <v>41</v>
      </c>
      <c r="R445" s="14">
        <v>3894</v>
      </c>
      <c r="S445" s="17" t="str">
        <f t="shared" si="12"/>
        <v>medium</v>
      </c>
      <c r="T445">
        <v>9129</v>
      </c>
      <c r="U445">
        <v>5</v>
      </c>
      <c r="V445" s="17" t="s">
        <v>43</v>
      </c>
      <c r="W445">
        <v>16</v>
      </c>
      <c r="X445">
        <v>3</v>
      </c>
      <c r="Y445">
        <v>3</v>
      </c>
      <c r="Z445">
        <v>0</v>
      </c>
      <c r="AA445">
        <v>4</v>
      </c>
      <c r="AB445">
        <v>3</v>
      </c>
      <c r="AC445">
        <v>3</v>
      </c>
      <c r="AD445" s="14">
        <v>2</v>
      </c>
      <c r="AE445" t="str">
        <f t="shared" si="13"/>
        <v>0-2 years</v>
      </c>
      <c r="AF445" s="14">
        <v>2</v>
      </c>
      <c r="AG445" s="14">
        <v>1</v>
      </c>
      <c r="AH445" s="14">
        <v>2</v>
      </c>
    </row>
    <row r="446" spans="1:34" x14ac:dyDescent="0.3">
      <c r="A446" s="14">
        <v>48</v>
      </c>
      <c r="B446" s="17" t="s">
        <v>43</v>
      </c>
      <c r="C446" t="s">
        <v>36</v>
      </c>
      <c r="D446">
        <v>163</v>
      </c>
      <c r="E446" s="17" t="s">
        <v>37</v>
      </c>
      <c r="F446">
        <v>2</v>
      </c>
      <c r="G446">
        <v>5</v>
      </c>
      <c r="H446" t="s">
        <v>59</v>
      </c>
      <c r="I446">
        <v>595</v>
      </c>
      <c r="J446">
        <v>2</v>
      </c>
      <c r="K446" s="17" t="s">
        <v>39</v>
      </c>
      <c r="L446">
        <v>37</v>
      </c>
      <c r="M446">
        <v>3</v>
      </c>
      <c r="N446">
        <v>2</v>
      </c>
      <c r="O446" s="17" t="s">
        <v>40</v>
      </c>
      <c r="P446" s="14">
        <v>4</v>
      </c>
      <c r="Q446" t="s">
        <v>48</v>
      </c>
      <c r="R446" s="14">
        <v>4051</v>
      </c>
      <c r="S446" s="17" t="str">
        <f t="shared" si="12"/>
        <v>medium</v>
      </c>
      <c r="T446">
        <v>19658</v>
      </c>
      <c r="U446">
        <v>2</v>
      </c>
      <c r="V446" s="17" t="s">
        <v>43</v>
      </c>
      <c r="W446">
        <v>14</v>
      </c>
      <c r="X446">
        <v>3</v>
      </c>
      <c r="Y446">
        <v>1</v>
      </c>
      <c r="Z446">
        <v>1</v>
      </c>
      <c r="AA446">
        <v>14</v>
      </c>
      <c r="AB446">
        <v>2</v>
      </c>
      <c r="AC446">
        <v>3</v>
      </c>
      <c r="AD446" s="14">
        <v>9</v>
      </c>
      <c r="AE446" t="str">
        <f t="shared" si="13"/>
        <v>6-10 years</v>
      </c>
      <c r="AF446" s="14">
        <v>7</v>
      </c>
      <c r="AG446" s="14">
        <v>6</v>
      </c>
      <c r="AH446" s="14">
        <v>7</v>
      </c>
    </row>
    <row r="447" spans="1:34" x14ac:dyDescent="0.3">
      <c r="A447" s="14">
        <v>55</v>
      </c>
      <c r="B447" s="17" t="s">
        <v>43</v>
      </c>
      <c r="C447" t="s">
        <v>36</v>
      </c>
      <c r="D447">
        <v>1117</v>
      </c>
      <c r="E447" s="17" t="s">
        <v>37</v>
      </c>
      <c r="F447">
        <v>18</v>
      </c>
      <c r="G447">
        <v>5</v>
      </c>
      <c r="H447" t="s">
        <v>38</v>
      </c>
      <c r="I447">
        <v>597</v>
      </c>
      <c r="J447">
        <v>1</v>
      </c>
      <c r="K447" s="17" t="s">
        <v>39</v>
      </c>
      <c r="L447">
        <v>83</v>
      </c>
      <c r="M447">
        <v>3</v>
      </c>
      <c r="N447">
        <v>4</v>
      </c>
      <c r="O447" s="17" t="s">
        <v>56</v>
      </c>
      <c r="P447" s="14">
        <v>2</v>
      </c>
      <c r="Q447" t="s">
        <v>41</v>
      </c>
      <c r="R447" s="14">
        <v>16835</v>
      </c>
      <c r="S447" s="17" t="str">
        <f t="shared" si="12"/>
        <v>high</v>
      </c>
      <c r="T447">
        <v>9873</v>
      </c>
      <c r="U447">
        <v>3</v>
      </c>
      <c r="V447" s="17" t="s">
        <v>43</v>
      </c>
      <c r="W447">
        <v>23</v>
      </c>
      <c r="X447">
        <v>4</v>
      </c>
      <c r="Y447">
        <v>4</v>
      </c>
      <c r="Z447">
        <v>0</v>
      </c>
      <c r="AA447">
        <v>37</v>
      </c>
      <c r="AB447">
        <v>2</v>
      </c>
      <c r="AC447">
        <v>3</v>
      </c>
      <c r="AD447" s="14">
        <v>10</v>
      </c>
      <c r="AE447" t="str">
        <f t="shared" si="13"/>
        <v>6-10 years</v>
      </c>
      <c r="AF447" s="14">
        <v>9</v>
      </c>
      <c r="AG447" s="14">
        <v>7</v>
      </c>
      <c r="AH447" s="14">
        <v>7</v>
      </c>
    </row>
    <row r="448" spans="1:34" x14ac:dyDescent="0.3">
      <c r="A448" s="14">
        <v>41</v>
      </c>
      <c r="B448" s="17" t="s">
        <v>43</v>
      </c>
      <c r="C448" t="s">
        <v>55</v>
      </c>
      <c r="D448">
        <v>267</v>
      </c>
      <c r="E448" s="17" t="s">
        <v>37</v>
      </c>
      <c r="F448">
        <v>10</v>
      </c>
      <c r="G448">
        <v>2</v>
      </c>
      <c r="H448" t="s">
        <v>38</v>
      </c>
      <c r="I448">
        <v>599</v>
      </c>
      <c r="J448">
        <v>4</v>
      </c>
      <c r="K448" s="17" t="s">
        <v>46</v>
      </c>
      <c r="L448">
        <v>56</v>
      </c>
      <c r="M448">
        <v>3</v>
      </c>
      <c r="N448">
        <v>2</v>
      </c>
      <c r="O448" s="17" t="s">
        <v>40</v>
      </c>
      <c r="P448" s="14">
        <v>4</v>
      </c>
      <c r="Q448" t="s">
        <v>41</v>
      </c>
      <c r="R448" s="14">
        <v>6230</v>
      </c>
      <c r="S448" s="17" t="str">
        <f t="shared" si="12"/>
        <v>medium</v>
      </c>
      <c r="T448">
        <v>13430</v>
      </c>
      <c r="U448">
        <v>7</v>
      </c>
      <c r="V448" s="17" t="s">
        <v>43</v>
      </c>
      <c r="W448">
        <v>14</v>
      </c>
      <c r="X448">
        <v>3</v>
      </c>
      <c r="Y448">
        <v>4</v>
      </c>
      <c r="Z448">
        <v>0</v>
      </c>
      <c r="AA448">
        <v>16</v>
      </c>
      <c r="AB448">
        <v>3</v>
      </c>
      <c r="AC448">
        <v>3</v>
      </c>
      <c r="AD448" s="14">
        <v>14</v>
      </c>
      <c r="AE448" t="str">
        <f t="shared" si="13"/>
        <v>10+ years</v>
      </c>
      <c r="AF448" s="14">
        <v>3</v>
      </c>
      <c r="AG448" s="14">
        <v>1</v>
      </c>
      <c r="AH448" s="14">
        <v>10</v>
      </c>
    </row>
    <row r="449" spans="1:34" x14ac:dyDescent="0.3">
      <c r="A449" s="14">
        <v>35</v>
      </c>
      <c r="B449" s="17" t="s">
        <v>43</v>
      </c>
      <c r="C449" t="s">
        <v>36</v>
      </c>
      <c r="D449">
        <v>619</v>
      </c>
      <c r="E449" s="17" t="s">
        <v>37</v>
      </c>
      <c r="F449">
        <v>1</v>
      </c>
      <c r="G449">
        <v>3</v>
      </c>
      <c r="H449" t="s">
        <v>59</v>
      </c>
      <c r="I449">
        <v>600</v>
      </c>
      <c r="J449">
        <v>2</v>
      </c>
      <c r="K449" s="17" t="s">
        <v>46</v>
      </c>
      <c r="L449">
        <v>85</v>
      </c>
      <c r="M449">
        <v>3</v>
      </c>
      <c r="N449">
        <v>2</v>
      </c>
      <c r="O449" s="17" t="s">
        <v>40</v>
      </c>
      <c r="P449" s="14">
        <v>3</v>
      </c>
      <c r="Q449" t="s">
        <v>48</v>
      </c>
      <c r="R449" s="14">
        <v>4717</v>
      </c>
      <c r="S449" s="17" t="str">
        <f t="shared" si="12"/>
        <v>medium</v>
      </c>
      <c r="T449">
        <v>18659</v>
      </c>
      <c r="U449">
        <v>9</v>
      </c>
      <c r="V449" s="17" t="s">
        <v>43</v>
      </c>
      <c r="W449">
        <v>11</v>
      </c>
      <c r="X449">
        <v>3</v>
      </c>
      <c r="Y449">
        <v>3</v>
      </c>
      <c r="Z449">
        <v>0</v>
      </c>
      <c r="AA449">
        <v>15</v>
      </c>
      <c r="AB449">
        <v>2</v>
      </c>
      <c r="AC449">
        <v>3</v>
      </c>
      <c r="AD449" s="14">
        <v>11</v>
      </c>
      <c r="AE449" t="str">
        <f t="shared" si="13"/>
        <v>10+ years</v>
      </c>
      <c r="AF449" s="14">
        <v>9</v>
      </c>
      <c r="AG449" s="14">
        <v>6</v>
      </c>
      <c r="AH449" s="14">
        <v>9</v>
      </c>
    </row>
    <row r="450" spans="1:34" x14ac:dyDescent="0.3">
      <c r="A450" s="14">
        <v>40</v>
      </c>
      <c r="B450" s="17" t="s">
        <v>43</v>
      </c>
      <c r="C450" t="s">
        <v>36</v>
      </c>
      <c r="D450">
        <v>302</v>
      </c>
      <c r="E450" s="17" t="s">
        <v>45</v>
      </c>
      <c r="F450">
        <v>6</v>
      </c>
      <c r="G450">
        <v>3</v>
      </c>
      <c r="H450" t="s">
        <v>38</v>
      </c>
      <c r="I450">
        <v>601</v>
      </c>
      <c r="J450">
        <v>2</v>
      </c>
      <c r="K450" s="17" t="s">
        <v>39</v>
      </c>
      <c r="L450">
        <v>75</v>
      </c>
      <c r="M450">
        <v>3</v>
      </c>
      <c r="N450">
        <v>4</v>
      </c>
      <c r="O450" s="17" t="s">
        <v>53</v>
      </c>
      <c r="P450" s="14">
        <v>3</v>
      </c>
      <c r="Q450" t="s">
        <v>41</v>
      </c>
      <c r="R450" s="14">
        <v>13237</v>
      </c>
      <c r="S450" s="17" t="str">
        <f t="shared" ref="S450:S513" si="14">IF(R450&lt;=3000, "low",IF(R450&lt;=7000,"medium","high"))</f>
        <v>high</v>
      </c>
      <c r="T450">
        <v>20364</v>
      </c>
      <c r="U450">
        <v>7</v>
      </c>
      <c r="V450" s="17" t="s">
        <v>43</v>
      </c>
      <c r="W450">
        <v>15</v>
      </c>
      <c r="X450">
        <v>3</v>
      </c>
      <c r="Y450">
        <v>3</v>
      </c>
      <c r="Z450">
        <v>0</v>
      </c>
      <c r="AA450">
        <v>22</v>
      </c>
      <c r="AB450">
        <v>3</v>
      </c>
      <c r="AC450">
        <v>3</v>
      </c>
      <c r="AD450" s="14">
        <v>20</v>
      </c>
      <c r="AE450" t="str">
        <f t="shared" ref="AE450:AE513" si="15">IF(AD450&lt;=2,"0-2 years", IF(AD450&lt;=5,"3-5 years", IF(AD450&lt;=10,"6-10 years","10+ years")))</f>
        <v>10+ years</v>
      </c>
      <c r="AF450" s="14">
        <v>6</v>
      </c>
      <c r="AG450" s="14">
        <v>5</v>
      </c>
      <c r="AH450" s="14">
        <v>13</v>
      </c>
    </row>
    <row r="451" spans="1:34" x14ac:dyDescent="0.3">
      <c r="A451" s="14">
        <v>39</v>
      </c>
      <c r="B451" s="17" t="s">
        <v>43</v>
      </c>
      <c r="C451" t="s">
        <v>44</v>
      </c>
      <c r="D451">
        <v>443</v>
      </c>
      <c r="E451" s="17" t="s">
        <v>45</v>
      </c>
      <c r="F451">
        <v>8</v>
      </c>
      <c r="G451">
        <v>1</v>
      </c>
      <c r="H451" t="s">
        <v>38</v>
      </c>
      <c r="I451">
        <v>602</v>
      </c>
      <c r="J451">
        <v>3</v>
      </c>
      <c r="K451" s="17" t="s">
        <v>39</v>
      </c>
      <c r="L451">
        <v>48</v>
      </c>
      <c r="M451">
        <v>3</v>
      </c>
      <c r="N451">
        <v>1</v>
      </c>
      <c r="O451" s="17" t="s">
        <v>50</v>
      </c>
      <c r="P451" s="14">
        <v>3</v>
      </c>
      <c r="Q451" t="s">
        <v>48</v>
      </c>
      <c r="R451" s="14">
        <v>3755</v>
      </c>
      <c r="S451" s="17" t="str">
        <f t="shared" si="14"/>
        <v>medium</v>
      </c>
      <c r="T451">
        <v>17872</v>
      </c>
      <c r="U451">
        <v>1</v>
      </c>
      <c r="V451" s="17" t="s">
        <v>43</v>
      </c>
      <c r="W451">
        <v>11</v>
      </c>
      <c r="X451">
        <v>3</v>
      </c>
      <c r="Y451">
        <v>1</v>
      </c>
      <c r="Z451">
        <v>1</v>
      </c>
      <c r="AA451">
        <v>8</v>
      </c>
      <c r="AB451">
        <v>3</v>
      </c>
      <c r="AC451">
        <v>3</v>
      </c>
      <c r="AD451" s="14">
        <v>8</v>
      </c>
      <c r="AE451" t="str">
        <f t="shared" si="15"/>
        <v>6-10 years</v>
      </c>
      <c r="AF451" s="14">
        <v>3</v>
      </c>
      <c r="AG451" s="14">
        <v>0</v>
      </c>
      <c r="AH451" s="14">
        <v>7</v>
      </c>
    </row>
    <row r="452" spans="1:34" x14ac:dyDescent="0.3">
      <c r="A452" s="14">
        <v>31</v>
      </c>
      <c r="B452" s="17" t="s">
        <v>43</v>
      </c>
      <c r="C452" t="s">
        <v>36</v>
      </c>
      <c r="D452">
        <v>828</v>
      </c>
      <c r="E452" s="17" t="s">
        <v>37</v>
      </c>
      <c r="F452">
        <v>2</v>
      </c>
      <c r="G452">
        <v>1</v>
      </c>
      <c r="H452" t="s">
        <v>38</v>
      </c>
      <c r="I452">
        <v>604</v>
      </c>
      <c r="J452">
        <v>2</v>
      </c>
      <c r="K452" s="17" t="s">
        <v>46</v>
      </c>
      <c r="L452">
        <v>77</v>
      </c>
      <c r="M452">
        <v>3</v>
      </c>
      <c r="N452">
        <v>2</v>
      </c>
      <c r="O452" s="17" t="s">
        <v>40</v>
      </c>
      <c r="P452" s="14">
        <v>4</v>
      </c>
      <c r="Q452" t="s">
        <v>41</v>
      </c>
      <c r="R452" s="14">
        <v>6582</v>
      </c>
      <c r="S452" s="17" t="str">
        <f t="shared" si="14"/>
        <v>medium</v>
      </c>
      <c r="T452">
        <v>8346</v>
      </c>
      <c r="U452">
        <v>4</v>
      </c>
      <c r="V452" s="17" t="s">
        <v>35</v>
      </c>
      <c r="W452">
        <v>13</v>
      </c>
      <c r="X452">
        <v>3</v>
      </c>
      <c r="Y452">
        <v>3</v>
      </c>
      <c r="Z452">
        <v>0</v>
      </c>
      <c r="AA452">
        <v>10</v>
      </c>
      <c r="AB452">
        <v>2</v>
      </c>
      <c r="AC452">
        <v>4</v>
      </c>
      <c r="AD452" s="14">
        <v>6</v>
      </c>
      <c r="AE452" t="str">
        <f t="shared" si="15"/>
        <v>6-10 years</v>
      </c>
      <c r="AF452" s="14">
        <v>5</v>
      </c>
      <c r="AG452" s="14">
        <v>0</v>
      </c>
      <c r="AH452" s="14">
        <v>5</v>
      </c>
    </row>
    <row r="453" spans="1:34" x14ac:dyDescent="0.3">
      <c r="A453" s="14">
        <v>42</v>
      </c>
      <c r="B453" s="17" t="s">
        <v>43</v>
      </c>
      <c r="C453" t="s">
        <v>36</v>
      </c>
      <c r="D453">
        <v>319</v>
      </c>
      <c r="E453" s="17" t="s">
        <v>45</v>
      </c>
      <c r="F453">
        <v>24</v>
      </c>
      <c r="G453">
        <v>3</v>
      </c>
      <c r="H453" t="s">
        <v>51</v>
      </c>
      <c r="I453">
        <v>605</v>
      </c>
      <c r="J453">
        <v>4</v>
      </c>
      <c r="K453" s="17" t="s">
        <v>46</v>
      </c>
      <c r="L453">
        <v>56</v>
      </c>
      <c r="M453">
        <v>3</v>
      </c>
      <c r="N453">
        <v>3</v>
      </c>
      <c r="O453" s="17" t="s">
        <v>53</v>
      </c>
      <c r="P453" s="14">
        <v>1</v>
      </c>
      <c r="Q453" t="s">
        <v>48</v>
      </c>
      <c r="R453" s="14">
        <v>7406</v>
      </c>
      <c r="S453" s="17" t="str">
        <f t="shared" si="14"/>
        <v>high</v>
      </c>
      <c r="T453">
        <v>6950</v>
      </c>
      <c r="U453">
        <v>1</v>
      </c>
      <c r="V453" s="17" t="s">
        <v>35</v>
      </c>
      <c r="W453">
        <v>21</v>
      </c>
      <c r="X453">
        <v>4</v>
      </c>
      <c r="Y453">
        <v>4</v>
      </c>
      <c r="Z453">
        <v>1</v>
      </c>
      <c r="AA453">
        <v>10</v>
      </c>
      <c r="AB453">
        <v>5</v>
      </c>
      <c r="AC453">
        <v>2</v>
      </c>
      <c r="AD453" s="14">
        <v>10</v>
      </c>
      <c r="AE453" t="str">
        <f t="shared" si="15"/>
        <v>6-10 years</v>
      </c>
      <c r="AF453" s="14">
        <v>9</v>
      </c>
      <c r="AG453" s="14">
        <v>5</v>
      </c>
      <c r="AH453" s="14">
        <v>8</v>
      </c>
    </row>
    <row r="454" spans="1:34" x14ac:dyDescent="0.3">
      <c r="A454" s="14">
        <v>45</v>
      </c>
      <c r="B454" s="17" t="s">
        <v>43</v>
      </c>
      <c r="C454" t="s">
        <v>36</v>
      </c>
      <c r="D454">
        <v>561</v>
      </c>
      <c r="E454" s="17" t="s">
        <v>37</v>
      </c>
      <c r="F454">
        <v>2</v>
      </c>
      <c r="G454">
        <v>3</v>
      </c>
      <c r="H454" t="s">
        <v>49</v>
      </c>
      <c r="I454">
        <v>606</v>
      </c>
      <c r="J454">
        <v>4</v>
      </c>
      <c r="K454" s="17" t="s">
        <v>46</v>
      </c>
      <c r="L454">
        <v>61</v>
      </c>
      <c r="M454">
        <v>3</v>
      </c>
      <c r="N454">
        <v>2</v>
      </c>
      <c r="O454" s="17" t="s">
        <v>40</v>
      </c>
      <c r="P454" s="14">
        <v>2</v>
      </c>
      <c r="Q454" t="s">
        <v>48</v>
      </c>
      <c r="R454" s="14">
        <v>4805</v>
      </c>
      <c r="S454" s="17" t="str">
        <f t="shared" si="14"/>
        <v>medium</v>
      </c>
      <c r="T454">
        <v>16177</v>
      </c>
      <c r="U454">
        <v>0</v>
      </c>
      <c r="V454" s="17" t="s">
        <v>43</v>
      </c>
      <c r="W454">
        <v>19</v>
      </c>
      <c r="X454">
        <v>3</v>
      </c>
      <c r="Y454">
        <v>2</v>
      </c>
      <c r="Z454">
        <v>1</v>
      </c>
      <c r="AA454">
        <v>9</v>
      </c>
      <c r="AB454">
        <v>3</v>
      </c>
      <c r="AC454">
        <v>4</v>
      </c>
      <c r="AD454" s="14">
        <v>8</v>
      </c>
      <c r="AE454" t="str">
        <f t="shared" si="15"/>
        <v>6-10 years</v>
      </c>
      <c r="AF454" s="14">
        <v>7</v>
      </c>
      <c r="AG454" s="14">
        <v>3</v>
      </c>
      <c r="AH454" s="14">
        <v>7</v>
      </c>
    </row>
    <row r="455" spans="1:34" x14ac:dyDescent="0.3">
      <c r="A455" s="14">
        <v>26</v>
      </c>
      <c r="B455" s="17" t="s">
        <v>35</v>
      </c>
      <c r="C455" t="s">
        <v>44</v>
      </c>
      <c r="D455">
        <v>426</v>
      </c>
      <c r="E455" s="17" t="s">
        <v>61</v>
      </c>
      <c r="F455">
        <v>17</v>
      </c>
      <c r="G455">
        <v>4</v>
      </c>
      <c r="H455" t="s">
        <v>38</v>
      </c>
      <c r="I455">
        <v>608</v>
      </c>
      <c r="J455">
        <v>2</v>
      </c>
      <c r="K455" s="17" t="s">
        <v>39</v>
      </c>
      <c r="L455">
        <v>58</v>
      </c>
      <c r="M455">
        <v>3</v>
      </c>
      <c r="N455">
        <v>1</v>
      </c>
      <c r="O455" s="17" t="s">
        <v>61</v>
      </c>
      <c r="P455" s="14">
        <v>3</v>
      </c>
      <c r="Q455" t="s">
        <v>52</v>
      </c>
      <c r="R455" s="14">
        <v>2741</v>
      </c>
      <c r="S455" s="17" t="str">
        <f t="shared" si="14"/>
        <v>low</v>
      </c>
      <c r="T455">
        <v>22808</v>
      </c>
      <c r="U455">
        <v>0</v>
      </c>
      <c r="V455" s="17" t="s">
        <v>35</v>
      </c>
      <c r="W455">
        <v>11</v>
      </c>
      <c r="X455">
        <v>3</v>
      </c>
      <c r="Y455">
        <v>2</v>
      </c>
      <c r="Z455">
        <v>1</v>
      </c>
      <c r="AA455">
        <v>8</v>
      </c>
      <c r="AB455">
        <v>2</v>
      </c>
      <c r="AC455">
        <v>2</v>
      </c>
      <c r="AD455" s="14">
        <v>7</v>
      </c>
      <c r="AE455" t="str">
        <f t="shared" si="15"/>
        <v>6-10 years</v>
      </c>
      <c r="AF455" s="14">
        <v>7</v>
      </c>
      <c r="AG455" s="14">
        <v>1</v>
      </c>
      <c r="AH455" s="14">
        <v>0</v>
      </c>
    </row>
    <row r="456" spans="1:34" x14ac:dyDescent="0.3">
      <c r="A456" s="14">
        <v>29</v>
      </c>
      <c r="B456" s="17" t="s">
        <v>43</v>
      </c>
      <c r="C456" t="s">
        <v>36</v>
      </c>
      <c r="D456">
        <v>232</v>
      </c>
      <c r="E456" s="17" t="s">
        <v>45</v>
      </c>
      <c r="F456">
        <v>19</v>
      </c>
      <c r="G456">
        <v>3</v>
      </c>
      <c r="H456" t="s">
        <v>60</v>
      </c>
      <c r="I456">
        <v>611</v>
      </c>
      <c r="J456">
        <v>4</v>
      </c>
      <c r="K456" s="17" t="s">
        <v>46</v>
      </c>
      <c r="L456">
        <v>34</v>
      </c>
      <c r="M456">
        <v>3</v>
      </c>
      <c r="N456">
        <v>2</v>
      </c>
      <c r="O456" s="17" t="s">
        <v>53</v>
      </c>
      <c r="P456" s="14">
        <v>4</v>
      </c>
      <c r="Q456" t="s">
        <v>52</v>
      </c>
      <c r="R456" s="14">
        <v>4262</v>
      </c>
      <c r="S456" s="17" t="str">
        <f t="shared" si="14"/>
        <v>medium</v>
      </c>
      <c r="T456">
        <v>22645</v>
      </c>
      <c r="U456">
        <v>4</v>
      </c>
      <c r="V456" s="17" t="s">
        <v>43</v>
      </c>
      <c r="W456">
        <v>12</v>
      </c>
      <c r="X456">
        <v>3</v>
      </c>
      <c r="Y456">
        <v>2</v>
      </c>
      <c r="Z456">
        <v>2</v>
      </c>
      <c r="AA456">
        <v>8</v>
      </c>
      <c r="AB456">
        <v>2</v>
      </c>
      <c r="AC456">
        <v>4</v>
      </c>
      <c r="AD456" s="14">
        <v>3</v>
      </c>
      <c r="AE456" t="str">
        <f t="shared" si="15"/>
        <v>3-5 years</v>
      </c>
      <c r="AF456" s="14">
        <v>2</v>
      </c>
      <c r="AG456" s="14">
        <v>1</v>
      </c>
      <c r="AH456" s="14">
        <v>2</v>
      </c>
    </row>
    <row r="457" spans="1:34" x14ac:dyDescent="0.3">
      <c r="A457" s="14">
        <v>33</v>
      </c>
      <c r="B457" s="17" t="s">
        <v>43</v>
      </c>
      <c r="C457" t="s">
        <v>36</v>
      </c>
      <c r="D457">
        <v>922</v>
      </c>
      <c r="E457" s="17" t="s">
        <v>45</v>
      </c>
      <c r="F457">
        <v>1</v>
      </c>
      <c r="G457">
        <v>5</v>
      </c>
      <c r="H457" t="s">
        <v>51</v>
      </c>
      <c r="I457">
        <v>612</v>
      </c>
      <c r="J457">
        <v>1</v>
      </c>
      <c r="K457" s="17" t="s">
        <v>39</v>
      </c>
      <c r="L457">
        <v>95</v>
      </c>
      <c r="M457">
        <v>4</v>
      </c>
      <c r="N457">
        <v>4</v>
      </c>
      <c r="O457" s="17" t="s">
        <v>58</v>
      </c>
      <c r="P457" s="14">
        <v>3</v>
      </c>
      <c r="Q457" t="s">
        <v>52</v>
      </c>
      <c r="R457" s="14">
        <v>16184</v>
      </c>
      <c r="S457" s="17" t="str">
        <f t="shared" si="14"/>
        <v>high</v>
      </c>
      <c r="T457">
        <v>22578</v>
      </c>
      <c r="U457">
        <v>4</v>
      </c>
      <c r="V457" s="17" t="s">
        <v>43</v>
      </c>
      <c r="W457">
        <v>19</v>
      </c>
      <c r="X457">
        <v>3</v>
      </c>
      <c r="Y457">
        <v>3</v>
      </c>
      <c r="Z457">
        <v>1</v>
      </c>
      <c r="AA457">
        <v>10</v>
      </c>
      <c r="AB457">
        <v>2</v>
      </c>
      <c r="AC457">
        <v>3</v>
      </c>
      <c r="AD457" s="14">
        <v>6</v>
      </c>
      <c r="AE457" t="str">
        <f t="shared" si="15"/>
        <v>6-10 years</v>
      </c>
      <c r="AF457" s="14">
        <v>1</v>
      </c>
      <c r="AG457" s="14">
        <v>0</v>
      </c>
      <c r="AH457" s="14">
        <v>5</v>
      </c>
    </row>
    <row r="458" spans="1:34" x14ac:dyDescent="0.3">
      <c r="A458" s="14">
        <v>31</v>
      </c>
      <c r="B458" s="17" t="s">
        <v>43</v>
      </c>
      <c r="C458" t="s">
        <v>36</v>
      </c>
      <c r="D458">
        <v>688</v>
      </c>
      <c r="E458" s="17" t="s">
        <v>37</v>
      </c>
      <c r="F458">
        <v>7</v>
      </c>
      <c r="G458">
        <v>3</v>
      </c>
      <c r="H458" t="s">
        <v>38</v>
      </c>
      <c r="I458">
        <v>613</v>
      </c>
      <c r="J458">
        <v>3</v>
      </c>
      <c r="K458" s="17" t="s">
        <v>46</v>
      </c>
      <c r="L458">
        <v>44</v>
      </c>
      <c r="M458">
        <v>2</v>
      </c>
      <c r="N458">
        <v>3</v>
      </c>
      <c r="O458" s="17" t="s">
        <v>56</v>
      </c>
      <c r="P458" s="14">
        <v>4</v>
      </c>
      <c r="Q458" t="s">
        <v>52</v>
      </c>
      <c r="R458" s="14">
        <v>11557</v>
      </c>
      <c r="S458" s="17" t="str">
        <f t="shared" si="14"/>
        <v>high</v>
      </c>
      <c r="T458">
        <v>25291</v>
      </c>
      <c r="U458">
        <v>9</v>
      </c>
      <c r="V458" s="17" t="s">
        <v>43</v>
      </c>
      <c r="W458">
        <v>21</v>
      </c>
      <c r="X458">
        <v>4</v>
      </c>
      <c r="Y458">
        <v>3</v>
      </c>
      <c r="Z458">
        <v>1</v>
      </c>
      <c r="AA458">
        <v>10</v>
      </c>
      <c r="AB458">
        <v>3</v>
      </c>
      <c r="AC458">
        <v>2</v>
      </c>
      <c r="AD458" s="14">
        <v>5</v>
      </c>
      <c r="AE458" t="str">
        <f t="shared" si="15"/>
        <v>3-5 years</v>
      </c>
      <c r="AF458" s="14">
        <v>4</v>
      </c>
      <c r="AG458" s="14">
        <v>0</v>
      </c>
      <c r="AH458" s="14">
        <v>1</v>
      </c>
    </row>
    <row r="459" spans="1:34" x14ac:dyDescent="0.3">
      <c r="A459" s="14">
        <v>18</v>
      </c>
      <c r="B459" s="17" t="s">
        <v>35</v>
      </c>
      <c r="C459" t="s">
        <v>44</v>
      </c>
      <c r="D459">
        <v>1306</v>
      </c>
      <c r="E459" s="17" t="s">
        <v>37</v>
      </c>
      <c r="F459">
        <v>5</v>
      </c>
      <c r="G459">
        <v>3</v>
      </c>
      <c r="H459" t="s">
        <v>59</v>
      </c>
      <c r="I459">
        <v>614</v>
      </c>
      <c r="J459">
        <v>2</v>
      </c>
      <c r="K459" s="17" t="s">
        <v>46</v>
      </c>
      <c r="L459">
        <v>69</v>
      </c>
      <c r="M459">
        <v>3</v>
      </c>
      <c r="N459">
        <v>1</v>
      </c>
      <c r="O459" s="17" t="s">
        <v>57</v>
      </c>
      <c r="P459" s="14">
        <v>2</v>
      </c>
      <c r="Q459" t="s">
        <v>41</v>
      </c>
      <c r="R459" s="14">
        <v>1878</v>
      </c>
      <c r="S459" s="17" t="str">
        <f t="shared" si="14"/>
        <v>low</v>
      </c>
      <c r="T459">
        <v>8059</v>
      </c>
      <c r="U459">
        <v>1</v>
      </c>
      <c r="V459" s="17" t="s">
        <v>35</v>
      </c>
      <c r="W459">
        <v>14</v>
      </c>
      <c r="X459">
        <v>3</v>
      </c>
      <c r="Y459">
        <v>4</v>
      </c>
      <c r="Z459">
        <v>0</v>
      </c>
      <c r="AA459">
        <v>0</v>
      </c>
      <c r="AB459">
        <v>3</v>
      </c>
      <c r="AC459">
        <v>3</v>
      </c>
      <c r="AD459" s="14">
        <v>0</v>
      </c>
      <c r="AE459" t="str">
        <f t="shared" si="15"/>
        <v>0-2 years</v>
      </c>
      <c r="AF459" s="14">
        <v>0</v>
      </c>
      <c r="AG459" s="14">
        <v>0</v>
      </c>
      <c r="AH459" s="14">
        <v>0</v>
      </c>
    </row>
    <row r="460" spans="1:34" x14ac:dyDescent="0.3">
      <c r="A460" s="14">
        <v>40</v>
      </c>
      <c r="B460" s="17" t="s">
        <v>43</v>
      </c>
      <c r="C460" t="s">
        <v>55</v>
      </c>
      <c r="D460">
        <v>1094</v>
      </c>
      <c r="E460" s="17" t="s">
        <v>37</v>
      </c>
      <c r="F460">
        <v>28</v>
      </c>
      <c r="G460">
        <v>3</v>
      </c>
      <c r="H460" t="s">
        <v>49</v>
      </c>
      <c r="I460">
        <v>615</v>
      </c>
      <c r="J460">
        <v>3</v>
      </c>
      <c r="K460" s="17" t="s">
        <v>46</v>
      </c>
      <c r="L460">
        <v>58</v>
      </c>
      <c r="M460">
        <v>1</v>
      </c>
      <c r="N460">
        <v>3</v>
      </c>
      <c r="O460" s="17" t="s">
        <v>40</v>
      </c>
      <c r="P460" s="14">
        <v>1</v>
      </c>
      <c r="Q460" t="s">
        <v>52</v>
      </c>
      <c r="R460" s="14">
        <v>10932</v>
      </c>
      <c r="S460" s="17" t="str">
        <f t="shared" si="14"/>
        <v>high</v>
      </c>
      <c r="T460">
        <v>11373</v>
      </c>
      <c r="U460">
        <v>3</v>
      </c>
      <c r="V460" s="17" t="s">
        <v>43</v>
      </c>
      <c r="W460">
        <v>15</v>
      </c>
      <c r="X460">
        <v>3</v>
      </c>
      <c r="Y460">
        <v>3</v>
      </c>
      <c r="Z460">
        <v>1</v>
      </c>
      <c r="AA460">
        <v>20</v>
      </c>
      <c r="AB460">
        <v>2</v>
      </c>
      <c r="AC460">
        <v>3</v>
      </c>
      <c r="AD460" s="14">
        <v>1</v>
      </c>
      <c r="AE460" t="str">
        <f t="shared" si="15"/>
        <v>0-2 years</v>
      </c>
      <c r="AF460" s="14">
        <v>0</v>
      </c>
      <c r="AG460" s="14">
        <v>0</v>
      </c>
      <c r="AH460" s="14">
        <v>1</v>
      </c>
    </row>
    <row r="461" spans="1:34" x14ac:dyDescent="0.3">
      <c r="A461" s="14">
        <v>41</v>
      </c>
      <c r="B461" s="17" t="s">
        <v>43</v>
      </c>
      <c r="C461" t="s">
        <v>55</v>
      </c>
      <c r="D461">
        <v>509</v>
      </c>
      <c r="E461" s="17" t="s">
        <v>45</v>
      </c>
      <c r="F461">
        <v>2</v>
      </c>
      <c r="G461">
        <v>4</v>
      </c>
      <c r="H461" t="s">
        <v>49</v>
      </c>
      <c r="I461">
        <v>616</v>
      </c>
      <c r="J461">
        <v>1</v>
      </c>
      <c r="K461" s="17" t="s">
        <v>39</v>
      </c>
      <c r="L461">
        <v>62</v>
      </c>
      <c r="M461">
        <v>2</v>
      </c>
      <c r="N461">
        <v>2</v>
      </c>
      <c r="O461" s="17" t="s">
        <v>54</v>
      </c>
      <c r="P461" s="14">
        <v>3</v>
      </c>
      <c r="Q461" t="s">
        <v>41</v>
      </c>
      <c r="R461" s="14">
        <v>6811</v>
      </c>
      <c r="S461" s="17" t="str">
        <f t="shared" si="14"/>
        <v>medium</v>
      </c>
      <c r="T461">
        <v>2112</v>
      </c>
      <c r="U461">
        <v>2</v>
      </c>
      <c r="V461" s="17" t="s">
        <v>35</v>
      </c>
      <c r="W461">
        <v>17</v>
      </c>
      <c r="X461">
        <v>3</v>
      </c>
      <c r="Y461">
        <v>1</v>
      </c>
      <c r="Z461">
        <v>0</v>
      </c>
      <c r="AA461">
        <v>10</v>
      </c>
      <c r="AB461">
        <v>3</v>
      </c>
      <c r="AC461">
        <v>3</v>
      </c>
      <c r="AD461" s="14">
        <v>8</v>
      </c>
      <c r="AE461" t="str">
        <f t="shared" si="15"/>
        <v>6-10 years</v>
      </c>
      <c r="AF461" s="14">
        <v>7</v>
      </c>
      <c r="AG461" s="14">
        <v>0</v>
      </c>
      <c r="AH461" s="14">
        <v>7</v>
      </c>
    </row>
    <row r="462" spans="1:34" x14ac:dyDescent="0.3">
      <c r="A462" s="14">
        <v>26</v>
      </c>
      <c r="B462" s="17" t="s">
        <v>43</v>
      </c>
      <c r="C462" t="s">
        <v>36</v>
      </c>
      <c r="D462">
        <v>775</v>
      </c>
      <c r="E462" s="17" t="s">
        <v>37</v>
      </c>
      <c r="F462">
        <v>29</v>
      </c>
      <c r="G462">
        <v>2</v>
      </c>
      <c r="H462" t="s">
        <v>51</v>
      </c>
      <c r="I462">
        <v>618</v>
      </c>
      <c r="J462">
        <v>1</v>
      </c>
      <c r="K462" s="17" t="s">
        <v>46</v>
      </c>
      <c r="L462">
        <v>45</v>
      </c>
      <c r="M462">
        <v>3</v>
      </c>
      <c r="N462">
        <v>2</v>
      </c>
      <c r="O462" s="17" t="s">
        <v>40</v>
      </c>
      <c r="P462" s="14">
        <v>3</v>
      </c>
      <c r="Q462" t="s">
        <v>52</v>
      </c>
      <c r="R462" s="14">
        <v>4306</v>
      </c>
      <c r="S462" s="17" t="str">
        <f t="shared" si="14"/>
        <v>medium</v>
      </c>
      <c r="T462">
        <v>4267</v>
      </c>
      <c r="U462">
        <v>5</v>
      </c>
      <c r="V462" s="17" t="s">
        <v>43</v>
      </c>
      <c r="W462">
        <v>12</v>
      </c>
      <c r="X462">
        <v>3</v>
      </c>
      <c r="Y462">
        <v>1</v>
      </c>
      <c r="Z462">
        <v>2</v>
      </c>
      <c r="AA462">
        <v>8</v>
      </c>
      <c r="AB462">
        <v>5</v>
      </c>
      <c r="AC462">
        <v>3</v>
      </c>
      <c r="AD462" s="14">
        <v>0</v>
      </c>
      <c r="AE462" t="str">
        <f t="shared" si="15"/>
        <v>0-2 years</v>
      </c>
      <c r="AF462" s="14">
        <v>0</v>
      </c>
      <c r="AG462" s="14">
        <v>0</v>
      </c>
      <c r="AH462" s="14">
        <v>0</v>
      </c>
    </row>
    <row r="463" spans="1:34" x14ac:dyDescent="0.3">
      <c r="A463" s="14">
        <v>35</v>
      </c>
      <c r="B463" s="17" t="s">
        <v>43</v>
      </c>
      <c r="C463" t="s">
        <v>36</v>
      </c>
      <c r="D463">
        <v>195</v>
      </c>
      <c r="E463" s="17" t="s">
        <v>37</v>
      </c>
      <c r="F463">
        <v>1</v>
      </c>
      <c r="G463">
        <v>3</v>
      </c>
      <c r="H463" t="s">
        <v>51</v>
      </c>
      <c r="I463">
        <v>620</v>
      </c>
      <c r="J463">
        <v>1</v>
      </c>
      <c r="K463" s="17" t="s">
        <v>39</v>
      </c>
      <c r="L463">
        <v>80</v>
      </c>
      <c r="M463">
        <v>3</v>
      </c>
      <c r="N463">
        <v>2</v>
      </c>
      <c r="O463" s="17" t="s">
        <v>40</v>
      </c>
      <c r="P463" s="14">
        <v>3</v>
      </c>
      <c r="Q463" t="s">
        <v>41</v>
      </c>
      <c r="R463" s="14">
        <v>4859</v>
      </c>
      <c r="S463" s="17" t="str">
        <f t="shared" si="14"/>
        <v>medium</v>
      </c>
      <c r="T463">
        <v>6698</v>
      </c>
      <c r="U463">
        <v>1</v>
      </c>
      <c r="V463" s="17" t="s">
        <v>43</v>
      </c>
      <c r="W463">
        <v>16</v>
      </c>
      <c r="X463">
        <v>3</v>
      </c>
      <c r="Y463">
        <v>4</v>
      </c>
      <c r="Z463">
        <v>0</v>
      </c>
      <c r="AA463">
        <v>5</v>
      </c>
      <c r="AB463">
        <v>3</v>
      </c>
      <c r="AC463">
        <v>3</v>
      </c>
      <c r="AD463" s="14">
        <v>5</v>
      </c>
      <c r="AE463" t="str">
        <f t="shared" si="15"/>
        <v>3-5 years</v>
      </c>
      <c r="AF463" s="14">
        <v>4</v>
      </c>
      <c r="AG463" s="14">
        <v>0</v>
      </c>
      <c r="AH463" s="14">
        <v>3</v>
      </c>
    </row>
    <row r="464" spans="1:34" x14ac:dyDescent="0.3">
      <c r="A464" s="14">
        <v>34</v>
      </c>
      <c r="B464" s="17" t="s">
        <v>43</v>
      </c>
      <c r="C464" t="s">
        <v>36</v>
      </c>
      <c r="D464">
        <v>258</v>
      </c>
      <c r="E464" s="17" t="s">
        <v>37</v>
      </c>
      <c r="F464">
        <v>21</v>
      </c>
      <c r="G464">
        <v>4</v>
      </c>
      <c r="H464" t="s">
        <v>38</v>
      </c>
      <c r="I464">
        <v>621</v>
      </c>
      <c r="J464">
        <v>4</v>
      </c>
      <c r="K464" s="17" t="s">
        <v>46</v>
      </c>
      <c r="L464">
        <v>74</v>
      </c>
      <c r="M464">
        <v>4</v>
      </c>
      <c r="N464">
        <v>2</v>
      </c>
      <c r="O464" s="17" t="s">
        <v>40</v>
      </c>
      <c r="P464" s="14">
        <v>4</v>
      </c>
      <c r="Q464" t="s">
        <v>41</v>
      </c>
      <c r="R464" s="14">
        <v>5337</v>
      </c>
      <c r="S464" s="17" t="str">
        <f t="shared" si="14"/>
        <v>medium</v>
      </c>
      <c r="T464">
        <v>19921</v>
      </c>
      <c r="U464">
        <v>1</v>
      </c>
      <c r="V464" s="17" t="s">
        <v>43</v>
      </c>
      <c r="W464">
        <v>12</v>
      </c>
      <c r="X464">
        <v>3</v>
      </c>
      <c r="Y464">
        <v>4</v>
      </c>
      <c r="Z464">
        <v>0</v>
      </c>
      <c r="AA464">
        <v>10</v>
      </c>
      <c r="AB464">
        <v>3</v>
      </c>
      <c r="AC464">
        <v>3</v>
      </c>
      <c r="AD464" s="14">
        <v>10</v>
      </c>
      <c r="AE464" t="str">
        <f t="shared" si="15"/>
        <v>6-10 years</v>
      </c>
      <c r="AF464" s="14">
        <v>7</v>
      </c>
      <c r="AG464" s="14">
        <v>5</v>
      </c>
      <c r="AH464" s="14">
        <v>7</v>
      </c>
    </row>
    <row r="465" spans="1:34" x14ac:dyDescent="0.3">
      <c r="A465" s="14">
        <v>26</v>
      </c>
      <c r="B465" s="17" t="s">
        <v>35</v>
      </c>
      <c r="C465" t="s">
        <v>36</v>
      </c>
      <c r="D465">
        <v>471</v>
      </c>
      <c r="E465" s="17" t="s">
        <v>45</v>
      </c>
      <c r="F465">
        <v>24</v>
      </c>
      <c r="G465">
        <v>3</v>
      </c>
      <c r="H465" t="s">
        <v>60</v>
      </c>
      <c r="I465">
        <v>622</v>
      </c>
      <c r="J465">
        <v>3</v>
      </c>
      <c r="K465" s="17" t="s">
        <v>46</v>
      </c>
      <c r="L465">
        <v>66</v>
      </c>
      <c r="M465">
        <v>1</v>
      </c>
      <c r="N465">
        <v>1</v>
      </c>
      <c r="O465" s="17" t="s">
        <v>50</v>
      </c>
      <c r="P465" s="14">
        <v>4</v>
      </c>
      <c r="Q465" t="s">
        <v>41</v>
      </c>
      <c r="R465" s="14">
        <v>2340</v>
      </c>
      <c r="S465" s="17" t="str">
        <f t="shared" si="14"/>
        <v>low</v>
      </c>
      <c r="T465">
        <v>23213</v>
      </c>
      <c r="U465">
        <v>1</v>
      </c>
      <c r="V465" s="17" t="s">
        <v>35</v>
      </c>
      <c r="W465">
        <v>18</v>
      </c>
      <c r="X465">
        <v>3</v>
      </c>
      <c r="Y465">
        <v>2</v>
      </c>
      <c r="Z465">
        <v>0</v>
      </c>
      <c r="AA465">
        <v>1</v>
      </c>
      <c r="AB465">
        <v>3</v>
      </c>
      <c r="AC465">
        <v>1</v>
      </c>
      <c r="AD465" s="14">
        <v>1</v>
      </c>
      <c r="AE465" t="str">
        <f t="shared" si="15"/>
        <v>0-2 years</v>
      </c>
      <c r="AF465" s="14">
        <v>0</v>
      </c>
      <c r="AG465" s="14">
        <v>0</v>
      </c>
      <c r="AH465" s="14">
        <v>0</v>
      </c>
    </row>
    <row r="466" spans="1:34" x14ac:dyDescent="0.3">
      <c r="A466" s="14">
        <v>37</v>
      </c>
      <c r="B466" s="17" t="s">
        <v>43</v>
      </c>
      <c r="C466" t="s">
        <v>36</v>
      </c>
      <c r="D466">
        <v>799</v>
      </c>
      <c r="E466" s="17" t="s">
        <v>45</v>
      </c>
      <c r="F466">
        <v>1</v>
      </c>
      <c r="G466">
        <v>3</v>
      </c>
      <c r="H466" t="s">
        <v>60</v>
      </c>
      <c r="I466">
        <v>623</v>
      </c>
      <c r="J466">
        <v>2</v>
      </c>
      <c r="K466" s="17" t="s">
        <v>39</v>
      </c>
      <c r="L466">
        <v>59</v>
      </c>
      <c r="M466">
        <v>3</v>
      </c>
      <c r="N466">
        <v>3</v>
      </c>
      <c r="O466" s="17" t="s">
        <v>53</v>
      </c>
      <c r="P466" s="14">
        <v>4</v>
      </c>
      <c r="Q466" t="s">
        <v>41</v>
      </c>
      <c r="R466" s="14">
        <v>7491</v>
      </c>
      <c r="S466" s="17" t="str">
        <f t="shared" si="14"/>
        <v>high</v>
      </c>
      <c r="T466">
        <v>23848</v>
      </c>
      <c r="U466">
        <v>4</v>
      </c>
      <c r="V466" s="17" t="s">
        <v>43</v>
      </c>
      <c r="W466">
        <v>17</v>
      </c>
      <c r="X466">
        <v>3</v>
      </c>
      <c r="Y466">
        <v>4</v>
      </c>
      <c r="Z466">
        <v>0</v>
      </c>
      <c r="AA466">
        <v>12</v>
      </c>
      <c r="AB466">
        <v>3</v>
      </c>
      <c r="AC466">
        <v>4</v>
      </c>
      <c r="AD466" s="14">
        <v>6</v>
      </c>
      <c r="AE466" t="str">
        <f t="shared" si="15"/>
        <v>6-10 years</v>
      </c>
      <c r="AF466" s="14">
        <v>5</v>
      </c>
      <c r="AG466" s="14">
        <v>1</v>
      </c>
      <c r="AH466" s="14">
        <v>2</v>
      </c>
    </row>
    <row r="467" spans="1:34" x14ac:dyDescent="0.3">
      <c r="A467" s="14">
        <v>46</v>
      </c>
      <c r="B467" s="17" t="s">
        <v>43</v>
      </c>
      <c r="C467" t="s">
        <v>44</v>
      </c>
      <c r="D467">
        <v>1034</v>
      </c>
      <c r="E467" s="17" t="s">
        <v>45</v>
      </c>
      <c r="F467">
        <v>18</v>
      </c>
      <c r="G467">
        <v>1</v>
      </c>
      <c r="H467" t="s">
        <v>51</v>
      </c>
      <c r="I467">
        <v>624</v>
      </c>
      <c r="J467">
        <v>1</v>
      </c>
      <c r="K467" s="17" t="s">
        <v>39</v>
      </c>
      <c r="L467">
        <v>86</v>
      </c>
      <c r="M467">
        <v>3</v>
      </c>
      <c r="N467">
        <v>3</v>
      </c>
      <c r="O467" s="17" t="s">
        <v>54</v>
      </c>
      <c r="P467" s="14">
        <v>3</v>
      </c>
      <c r="Q467" t="s">
        <v>48</v>
      </c>
      <c r="R467" s="14">
        <v>10527</v>
      </c>
      <c r="S467" s="17" t="str">
        <f t="shared" si="14"/>
        <v>high</v>
      </c>
      <c r="T467">
        <v>8984</v>
      </c>
      <c r="U467">
        <v>5</v>
      </c>
      <c r="V467" s="17" t="s">
        <v>43</v>
      </c>
      <c r="W467">
        <v>11</v>
      </c>
      <c r="X467">
        <v>3</v>
      </c>
      <c r="Y467">
        <v>4</v>
      </c>
      <c r="Z467">
        <v>0</v>
      </c>
      <c r="AA467">
        <v>28</v>
      </c>
      <c r="AB467">
        <v>3</v>
      </c>
      <c r="AC467">
        <v>2</v>
      </c>
      <c r="AD467" s="14">
        <v>2</v>
      </c>
      <c r="AE467" t="str">
        <f t="shared" si="15"/>
        <v>0-2 years</v>
      </c>
      <c r="AF467" s="14">
        <v>2</v>
      </c>
      <c r="AG467" s="14">
        <v>1</v>
      </c>
      <c r="AH467" s="14">
        <v>2</v>
      </c>
    </row>
    <row r="468" spans="1:34" x14ac:dyDescent="0.3">
      <c r="A468" s="14">
        <v>41</v>
      </c>
      <c r="B468" s="17" t="s">
        <v>43</v>
      </c>
      <c r="C468" t="s">
        <v>36</v>
      </c>
      <c r="D468">
        <v>1276</v>
      </c>
      <c r="E468" s="17" t="s">
        <v>37</v>
      </c>
      <c r="F468">
        <v>2</v>
      </c>
      <c r="G468">
        <v>5</v>
      </c>
      <c r="H468" t="s">
        <v>38</v>
      </c>
      <c r="I468">
        <v>625</v>
      </c>
      <c r="J468">
        <v>2</v>
      </c>
      <c r="K468" s="17" t="s">
        <v>39</v>
      </c>
      <c r="L468">
        <v>91</v>
      </c>
      <c r="M468">
        <v>3</v>
      </c>
      <c r="N468">
        <v>4</v>
      </c>
      <c r="O468" s="17" t="s">
        <v>56</v>
      </c>
      <c r="P468" s="14">
        <v>1</v>
      </c>
      <c r="Q468" t="s">
        <v>48</v>
      </c>
      <c r="R468" s="14">
        <v>16595</v>
      </c>
      <c r="S468" s="17" t="str">
        <f t="shared" si="14"/>
        <v>high</v>
      </c>
      <c r="T468">
        <v>5626</v>
      </c>
      <c r="U468">
        <v>7</v>
      </c>
      <c r="V468" s="17" t="s">
        <v>43</v>
      </c>
      <c r="W468">
        <v>16</v>
      </c>
      <c r="X468">
        <v>3</v>
      </c>
      <c r="Y468">
        <v>2</v>
      </c>
      <c r="Z468">
        <v>1</v>
      </c>
      <c r="AA468">
        <v>22</v>
      </c>
      <c r="AB468">
        <v>2</v>
      </c>
      <c r="AC468">
        <v>3</v>
      </c>
      <c r="AD468" s="14">
        <v>18</v>
      </c>
      <c r="AE468" t="str">
        <f t="shared" si="15"/>
        <v>10+ years</v>
      </c>
      <c r="AF468" s="14">
        <v>16</v>
      </c>
      <c r="AG468" s="14">
        <v>11</v>
      </c>
      <c r="AH468" s="14">
        <v>8</v>
      </c>
    </row>
    <row r="469" spans="1:34" x14ac:dyDescent="0.3">
      <c r="A469" s="14">
        <v>37</v>
      </c>
      <c r="B469" s="17" t="s">
        <v>43</v>
      </c>
      <c r="C469" t="s">
        <v>55</v>
      </c>
      <c r="D469">
        <v>142</v>
      </c>
      <c r="E469" s="17" t="s">
        <v>37</v>
      </c>
      <c r="F469">
        <v>9</v>
      </c>
      <c r="G469">
        <v>4</v>
      </c>
      <c r="H469" t="s">
        <v>51</v>
      </c>
      <c r="I469">
        <v>626</v>
      </c>
      <c r="J469">
        <v>1</v>
      </c>
      <c r="K469" s="17" t="s">
        <v>46</v>
      </c>
      <c r="L469">
        <v>69</v>
      </c>
      <c r="M469">
        <v>3</v>
      </c>
      <c r="N469">
        <v>3</v>
      </c>
      <c r="O469" s="17" t="s">
        <v>40</v>
      </c>
      <c r="P469" s="14">
        <v>2</v>
      </c>
      <c r="Q469" t="s">
        <v>52</v>
      </c>
      <c r="R469" s="14">
        <v>8834</v>
      </c>
      <c r="S469" s="17" t="str">
        <f t="shared" si="14"/>
        <v>high</v>
      </c>
      <c r="T469">
        <v>24666</v>
      </c>
      <c r="U469">
        <v>1</v>
      </c>
      <c r="V469" s="17" t="s">
        <v>43</v>
      </c>
      <c r="W469">
        <v>13</v>
      </c>
      <c r="X469">
        <v>3</v>
      </c>
      <c r="Y469">
        <v>4</v>
      </c>
      <c r="Z469">
        <v>1</v>
      </c>
      <c r="AA469">
        <v>9</v>
      </c>
      <c r="AB469">
        <v>6</v>
      </c>
      <c r="AC469">
        <v>3</v>
      </c>
      <c r="AD469" s="14">
        <v>9</v>
      </c>
      <c r="AE469" t="str">
        <f t="shared" si="15"/>
        <v>6-10 years</v>
      </c>
      <c r="AF469" s="14">
        <v>5</v>
      </c>
      <c r="AG469" s="14">
        <v>7</v>
      </c>
      <c r="AH469" s="14">
        <v>7</v>
      </c>
    </row>
    <row r="470" spans="1:34" x14ac:dyDescent="0.3">
      <c r="A470" s="14">
        <v>52</v>
      </c>
      <c r="B470" s="17" t="s">
        <v>43</v>
      </c>
      <c r="C470" t="s">
        <v>36</v>
      </c>
      <c r="D470">
        <v>956</v>
      </c>
      <c r="E470" s="17" t="s">
        <v>45</v>
      </c>
      <c r="F470">
        <v>6</v>
      </c>
      <c r="G470">
        <v>2</v>
      </c>
      <c r="H470" t="s">
        <v>60</v>
      </c>
      <c r="I470">
        <v>630</v>
      </c>
      <c r="J470">
        <v>4</v>
      </c>
      <c r="K470" s="17" t="s">
        <v>46</v>
      </c>
      <c r="L470">
        <v>78</v>
      </c>
      <c r="M470">
        <v>3</v>
      </c>
      <c r="N470">
        <v>2</v>
      </c>
      <c r="O470" s="17" t="s">
        <v>47</v>
      </c>
      <c r="P470" s="14">
        <v>1</v>
      </c>
      <c r="Q470" t="s">
        <v>52</v>
      </c>
      <c r="R470" s="14">
        <v>5577</v>
      </c>
      <c r="S470" s="17" t="str">
        <f t="shared" si="14"/>
        <v>medium</v>
      </c>
      <c r="T470">
        <v>22087</v>
      </c>
      <c r="U470">
        <v>3</v>
      </c>
      <c r="V470" s="17" t="s">
        <v>35</v>
      </c>
      <c r="W470">
        <v>12</v>
      </c>
      <c r="X470">
        <v>3</v>
      </c>
      <c r="Y470">
        <v>2</v>
      </c>
      <c r="Z470">
        <v>2</v>
      </c>
      <c r="AA470">
        <v>18</v>
      </c>
      <c r="AB470">
        <v>3</v>
      </c>
      <c r="AC470">
        <v>3</v>
      </c>
      <c r="AD470" s="14">
        <v>10</v>
      </c>
      <c r="AE470" t="str">
        <f t="shared" si="15"/>
        <v>6-10 years</v>
      </c>
      <c r="AF470" s="14">
        <v>9</v>
      </c>
      <c r="AG470" s="14">
        <v>6</v>
      </c>
      <c r="AH470" s="14">
        <v>9</v>
      </c>
    </row>
    <row r="471" spans="1:34" x14ac:dyDescent="0.3">
      <c r="A471" s="14">
        <v>32</v>
      </c>
      <c r="B471" s="17" t="s">
        <v>35</v>
      </c>
      <c r="C471" t="s">
        <v>55</v>
      </c>
      <c r="D471">
        <v>1474</v>
      </c>
      <c r="E471" s="17" t="s">
        <v>37</v>
      </c>
      <c r="F471">
        <v>11</v>
      </c>
      <c r="G471">
        <v>4</v>
      </c>
      <c r="H471" t="s">
        <v>49</v>
      </c>
      <c r="I471">
        <v>631</v>
      </c>
      <c r="J471">
        <v>4</v>
      </c>
      <c r="K471" s="17" t="s">
        <v>46</v>
      </c>
      <c r="L471">
        <v>60</v>
      </c>
      <c r="M471">
        <v>4</v>
      </c>
      <c r="N471">
        <v>2</v>
      </c>
      <c r="O471" s="17" t="s">
        <v>40</v>
      </c>
      <c r="P471" s="14">
        <v>3</v>
      </c>
      <c r="Q471" t="s">
        <v>48</v>
      </c>
      <c r="R471" s="14">
        <v>4707</v>
      </c>
      <c r="S471" s="17" t="str">
        <f t="shared" si="14"/>
        <v>medium</v>
      </c>
      <c r="T471">
        <v>23914</v>
      </c>
      <c r="U471">
        <v>8</v>
      </c>
      <c r="V471" s="17" t="s">
        <v>43</v>
      </c>
      <c r="W471">
        <v>12</v>
      </c>
      <c r="X471">
        <v>3</v>
      </c>
      <c r="Y471">
        <v>4</v>
      </c>
      <c r="Z471">
        <v>0</v>
      </c>
      <c r="AA471">
        <v>6</v>
      </c>
      <c r="AB471">
        <v>2</v>
      </c>
      <c r="AC471">
        <v>3</v>
      </c>
      <c r="AD471" s="14">
        <v>4</v>
      </c>
      <c r="AE471" t="str">
        <f t="shared" si="15"/>
        <v>3-5 years</v>
      </c>
      <c r="AF471" s="14">
        <v>2</v>
      </c>
      <c r="AG471" s="14">
        <v>1</v>
      </c>
      <c r="AH471" s="14">
        <v>2</v>
      </c>
    </row>
    <row r="472" spans="1:34" x14ac:dyDescent="0.3">
      <c r="A472" s="14">
        <v>24</v>
      </c>
      <c r="B472" s="17" t="s">
        <v>43</v>
      </c>
      <c r="C472" t="s">
        <v>44</v>
      </c>
      <c r="D472">
        <v>535</v>
      </c>
      <c r="E472" s="17" t="s">
        <v>37</v>
      </c>
      <c r="F472">
        <v>24</v>
      </c>
      <c r="G472">
        <v>3</v>
      </c>
      <c r="H472" t="s">
        <v>51</v>
      </c>
      <c r="I472">
        <v>632</v>
      </c>
      <c r="J472">
        <v>4</v>
      </c>
      <c r="K472" s="17" t="s">
        <v>46</v>
      </c>
      <c r="L472">
        <v>38</v>
      </c>
      <c r="M472">
        <v>3</v>
      </c>
      <c r="N472">
        <v>1</v>
      </c>
      <c r="O472" s="17" t="s">
        <v>57</v>
      </c>
      <c r="P472" s="14">
        <v>4</v>
      </c>
      <c r="Q472" t="s">
        <v>48</v>
      </c>
      <c r="R472" s="14">
        <v>2400</v>
      </c>
      <c r="S472" s="17" t="str">
        <f t="shared" si="14"/>
        <v>low</v>
      </c>
      <c r="T472">
        <v>5530</v>
      </c>
      <c r="U472">
        <v>0</v>
      </c>
      <c r="V472" s="17" t="s">
        <v>43</v>
      </c>
      <c r="W472">
        <v>13</v>
      </c>
      <c r="X472">
        <v>3</v>
      </c>
      <c r="Y472">
        <v>3</v>
      </c>
      <c r="Z472">
        <v>2</v>
      </c>
      <c r="AA472">
        <v>3</v>
      </c>
      <c r="AB472">
        <v>3</v>
      </c>
      <c r="AC472">
        <v>3</v>
      </c>
      <c r="AD472" s="14">
        <v>2</v>
      </c>
      <c r="AE472" t="str">
        <f t="shared" si="15"/>
        <v>0-2 years</v>
      </c>
      <c r="AF472" s="14">
        <v>2</v>
      </c>
      <c r="AG472" s="14">
        <v>2</v>
      </c>
      <c r="AH472" s="14">
        <v>1</v>
      </c>
    </row>
    <row r="473" spans="1:34" x14ac:dyDescent="0.3">
      <c r="A473" s="14">
        <v>38</v>
      </c>
      <c r="B473" s="17" t="s">
        <v>43</v>
      </c>
      <c r="C473" t="s">
        <v>36</v>
      </c>
      <c r="D473">
        <v>1495</v>
      </c>
      <c r="E473" s="17" t="s">
        <v>45</v>
      </c>
      <c r="F473">
        <v>10</v>
      </c>
      <c r="G473">
        <v>3</v>
      </c>
      <c r="H473" t="s">
        <v>51</v>
      </c>
      <c r="I473">
        <v>634</v>
      </c>
      <c r="J473">
        <v>3</v>
      </c>
      <c r="K473" s="17" t="s">
        <v>39</v>
      </c>
      <c r="L473">
        <v>76</v>
      </c>
      <c r="M473">
        <v>3</v>
      </c>
      <c r="N473">
        <v>2</v>
      </c>
      <c r="O473" s="17" t="s">
        <v>54</v>
      </c>
      <c r="P473" s="14">
        <v>3</v>
      </c>
      <c r="Q473" t="s">
        <v>48</v>
      </c>
      <c r="R473" s="14">
        <v>9824</v>
      </c>
      <c r="S473" s="17" t="str">
        <f t="shared" si="14"/>
        <v>high</v>
      </c>
      <c r="T473">
        <v>22174</v>
      </c>
      <c r="U473">
        <v>3</v>
      </c>
      <c r="V473" s="17" t="s">
        <v>43</v>
      </c>
      <c r="W473">
        <v>19</v>
      </c>
      <c r="X473">
        <v>3</v>
      </c>
      <c r="Y473">
        <v>3</v>
      </c>
      <c r="Z473">
        <v>1</v>
      </c>
      <c r="AA473">
        <v>18</v>
      </c>
      <c r="AB473">
        <v>4</v>
      </c>
      <c r="AC473">
        <v>3</v>
      </c>
      <c r="AD473" s="14">
        <v>1</v>
      </c>
      <c r="AE473" t="str">
        <f t="shared" si="15"/>
        <v>0-2 years</v>
      </c>
      <c r="AF473" s="14">
        <v>0</v>
      </c>
      <c r="AG473" s="14">
        <v>0</v>
      </c>
      <c r="AH473" s="14">
        <v>0</v>
      </c>
    </row>
    <row r="474" spans="1:34" x14ac:dyDescent="0.3">
      <c r="A474" s="14">
        <v>37</v>
      </c>
      <c r="B474" s="17" t="s">
        <v>43</v>
      </c>
      <c r="C474" t="s">
        <v>36</v>
      </c>
      <c r="D474">
        <v>446</v>
      </c>
      <c r="E474" s="17" t="s">
        <v>45</v>
      </c>
      <c r="F474">
        <v>1</v>
      </c>
      <c r="G474">
        <v>4</v>
      </c>
      <c r="H474" t="s">
        <v>38</v>
      </c>
      <c r="I474">
        <v>635</v>
      </c>
      <c r="J474">
        <v>2</v>
      </c>
      <c r="K474" s="17" t="s">
        <v>39</v>
      </c>
      <c r="L474">
        <v>65</v>
      </c>
      <c r="M474">
        <v>3</v>
      </c>
      <c r="N474">
        <v>2</v>
      </c>
      <c r="O474" s="17" t="s">
        <v>53</v>
      </c>
      <c r="P474" s="14">
        <v>2</v>
      </c>
      <c r="Q474" t="s">
        <v>48</v>
      </c>
      <c r="R474" s="14">
        <v>6447</v>
      </c>
      <c r="S474" s="17" t="str">
        <f t="shared" si="14"/>
        <v>medium</v>
      </c>
      <c r="T474">
        <v>15701</v>
      </c>
      <c r="U474">
        <v>6</v>
      </c>
      <c r="V474" s="17" t="s">
        <v>43</v>
      </c>
      <c r="W474">
        <v>12</v>
      </c>
      <c r="X474">
        <v>3</v>
      </c>
      <c r="Y474">
        <v>2</v>
      </c>
      <c r="Z474">
        <v>1</v>
      </c>
      <c r="AA474">
        <v>8</v>
      </c>
      <c r="AB474">
        <v>2</v>
      </c>
      <c r="AC474">
        <v>2</v>
      </c>
      <c r="AD474" s="14">
        <v>6</v>
      </c>
      <c r="AE474" t="str">
        <f t="shared" si="15"/>
        <v>6-10 years</v>
      </c>
      <c r="AF474" s="14">
        <v>5</v>
      </c>
      <c r="AG474" s="14">
        <v>4</v>
      </c>
      <c r="AH474" s="14">
        <v>3</v>
      </c>
    </row>
    <row r="475" spans="1:34" x14ac:dyDescent="0.3">
      <c r="A475" s="14">
        <v>49</v>
      </c>
      <c r="B475" s="17" t="s">
        <v>43</v>
      </c>
      <c r="C475" t="s">
        <v>36</v>
      </c>
      <c r="D475">
        <v>1245</v>
      </c>
      <c r="E475" s="17" t="s">
        <v>45</v>
      </c>
      <c r="F475">
        <v>18</v>
      </c>
      <c r="G475">
        <v>4</v>
      </c>
      <c r="H475" t="s">
        <v>38</v>
      </c>
      <c r="I475">
        <v>638</v>
      </c>
      <c r="J475">
        <v>4</v>
      </c>
      <c r="K475" s="17" t="s">
        <v>46</v>
      </c>
      <c r="L475">
        <v>58</v>
      </c>
      <c r="M475">
        <v>2</v>
      </c>
      <c r="N475">
        <v>5</v>
      </c>
      <c r="O475" s="17" t="s">
        <v>58</v>
      </c>
      <c r="P475" s="14">
        <v>3</v>
      </c>
      <c r="Q475" t="s">
        <v>52</v>
      </c>
      <c r="R475" s="14">
        <v>19502</v>
      </c>
      <c r="S475" s="17" t="str">
        <f t="shared" si="14"/>
        <v>high</v>
      </c>
      <c r="T475">
        <v>2125</v>
      </c>
      <c r="U475">
        <v>1</v>
      </c>
      <c r="V475" s="17" t="s">
        <v>35</v>
      </c>
      <c r="W475">
        <v>17</v>
      </c>
      <c r="X475">
        <v>3</v>
      </c>
      <c r="Y475">
        <v>3</v>
      </c>
      <c r="Z475">
        <v>1</v>
      </c>
      <c r="AA475">
        <v>31</v>
      </c>
      <c r="AB475">
        <v>5</v>
      </c>
      <c r="AC475">
        <v>3</v>
      </c>
      <c r="AD475" s="14">
        <v>31</v>
      </c>
      <c r="AE475" t="str">
        <f t="shared" si="15"/>
        <v>10+ years</v>
      </c>
      <c r="AF475" s="14">
        <v>9</v>
      </c>
      <c r="AG475" s="14">
        <v>0</v>
      </c>
      <c r="AH475" s="14">
        <v>9</v>
      </c>
    </row>
    <row r="476" spans="1:34" x14ac:dyDescent="0.3">
      <c r="A476" s="14">
        <v>24</v>
      </c>
      <c r="B476" s="17" t="s">
        <v>43</v>
      </c>
      <c r="C476" t="s">
        <v>36</v>
      </c>
      <c r="D476">
        <v>691</v>
      </c>
      <c r="E476" s="17" t="s">
        <v>45</v>
      </c>
      <c r="F476">
        <v>23</v>
      </c>
      <c r="G476">
        <v>3</v>
      </c>
      <c r="H476" t="s">
        <v>51</v>
      </c>
      <c r="I476">
        <v>639</v>
      </c>
      <c r="J476">
        <v>2</v>
      </c>
      <c r="K476" s="17" t="s">
        <v>46</v>
      </c>
      <c r="L476">
        <v>89</v>
      </c>
      <c r="M476">
        <v>4</v>
      </c>
      <c r="N476">
        <v>1</v>
      </c>
      <c r="O476" s="17" t="s">
        <v>47</v>
      </c>
      <c r="P476" s="14">
        <v>4</v>
      </c>
      <c r="Q476" t="s">
        <v>48</v>
      </c>
      <c r="R476" s="14">
        <v>2725</v>
      </c>
      <c r="S476" s="17" t="str">
        <f t="shared" si="14"/>
        <v>low</v>
      </c>
      <c r="T476">
        <v>21630</v>
      </c>
      <c r="U476">
        <v>1</v>
      </c>
      <c r="V476" s="17" t="s">
        <v>35</v>
      </c>
      <c r="W476">
        <v>11</v>
      </c>
      <c r="X476">
        <v>3</v>
      </c>
      <c r="Y476">
        <v>2</v>
      </c>
      <c r="Z476">
        <v>2</v>
      </c>
      <c r="AA476">
        <v>6</v>
      </c>
      <c r="AB476">
        <v>3</v>
      </c>
      <c r="AC476">
        <v>3</v>
      </c>
      <c r="AD476" s="14">
        <v>6</v>
      </c>
      <c r="AE476" t="str">
        <f t="shared" si="15"/>
        <v>6-10 years</v>
      </c>
      <c r="AF476" s="14">
        <v>5</v>
      </c>
      <c r="AG476" s="14">
        <v>1</v>
      </c>
      <c r="AH476" s="14">
        <v>4</v>
      </c>
    </row>
    <row r="477" spans="1:34" x14ac:dyDescent="0.3">
      <c r="A477" s="14">
        <v>26</v>
      </c>
      <c r="B477" s="17" t="s">
        <v>43</v>
      </c>
      <c r="C477" t="s">
        <v>36</v>
      </c>
      <c r="D477">
        <v>703</v>
      </c>
      <c r="E477" s="17" t="s">
        <v>37</v>
      </c>
      <c r="F477">
        <v>28</v>
      </c>
      <c r="G477">
        <v>2</v>
      </c>
      <c r="H477" t="s">
        <v>59</v>
      </c>
      <c r="I477">
        <v>641</v>
      </c>
      <c r="J477">
        <v>1</v>
      </c>
      <c r="K477" s="17" t="s">
        <v>46</v>
      </c>
      <c r="L477">
        <v>66</v>
      </c>
      <c r="M477">
        <v>3</v>
      </c>
      <c r="N477">
        <v>2</v>
      </c>
      <c r="O477" s="17" t="s">
        <v>40</v>
      </c>
      <c r="P477" s="14">
        <v>2</v>
      </c>
      <c r="Q477" t="s">
        <v>48</v>
      </c>
      <c r="R477" s="14">
        <v>6272</v>
      </c>
      <c r="S477" s="17" t="str">
        <f t="shared" si="14"/>
        <v>medium</v>
      </c>
      <c r="T477">
        <v>7428</v>
      </c>
      <c r="U477">
        <v>1</v>
      </c>
      <c r="V477" s="17" t="s">
        <v>43</v>
      </c>
      <c r="W477">
        <v>20</v>
      </c>
      <c r="X477">
        <v>4</v>
      </c>
      <c r="Y477">
        <v>4</v>
      </c>
      <c r="Z477">
        <v>2</v>
      </c>
      <c r="AA477">
        <v>6</v>
      </c>
      <c r="AB477">
        <v>5</v>
      </c>
      <c r="AC477">
        <v>4</v>
      </c>
      <c r="AD477" s="14">
        <v>5</v>
      </c>
      <c r="AE477" t="str">
        <f t="shared" si="15"/>
        <v>3-5 years</v>
      </c>
      <c r="AF477" s="14">
        <v>3</v>
      </c>
      <c r="AG477" s="14">
        <v>1</v>
      </c>
      <c r="AH477" s="14">
        <v>4</v>
      </c>
    </row>
    <row r="478" spans="1:34" x14ac:dyDescent="0.3">
      <c r="A478" s="14">
        <v>24</v>
      </c>
      <c r="B478" s="17" t="s">
        <v>43</v>
      </c>
      <c r="C478" t="s">
        <v>36</v>
      </c>
      <c r="D478">
        <v>823</v>
      </c>
      <c r="E478" s="17" t="s">
        <v>45</v>
      </c>
      <c r="F478">
        <v>17</v>
      </c>
      <c r="G478">
        <v>2</v>
      </c>
      <c r="H478" t="s">
        <v>49</v>
      </c>
      <c r="I478">
        <v>643</v>
      </c>
      <c r="J478">
        <v>4</v>
      </c>
      <c r="K478" s="17" t="s">
        <v>46</v>
      </c>
      <c r="L478">
        <v>94</v>
      </c>
      <c r="M478">
        <v>2</v>
      </c>
      <c r="N478">
        <v>1</v>
      </c>
      <c r="O478" s="17" t="s">
        <v>50</v>
      </c>
      <c r="P478" s="14">
        <v>2</v>
      </c>
      <c r="Q478" t="s">
        <v>48</v>
      </c>
      <c r="R478" s="14">
        <v>2127</v>
      </c>
      <c r="S478" s="17" t="str">
        <f t="shared" si="14"/>
        <v>low</v>
      </c>
      <c r="T478">
        <v>9100</v>
      </c>
      <c r="U478">
        <v>1</v>
      </c>
      <c r="V478" s="17" t="s">
        <v>43</v>
      </c>
      <c r="W478">
        <v>21</v>
      </c>
      <c r="X478">
        <v>4</v>
      </c>
      <c r="Y478">
        <v>4</v>
      </c>
      <c r="Z478">
        <v>1</v>
      </c>
      <c r="AA478">
        <v>1</v>
      </c>
      <c r="AB478">
        <v>2</v>
      </c>
      <c r="AC478">
        <v>3</v>
      </c>
      <c r="AD478" s="14">
        <v>1</v>
      </c>
      <c r="AE478" t="str">
        <f t="shared" si="15"/>
        <v>0-2 years</v>
      </c>
      <c r="AF478" s="14">
        <v>0</v>
      </c>
      <c r="AG478" s="14">
        <v>0</v>
      </c>
      <c r="AH478" s="14">
        <v>0</v>
      </c>
    </row>
    <row r="479" spans="1:34" x14ac:dyDescent="0.3">
      <c r="A479" s="14">
        <v>50</v>
      </c>
      <c r="B479" s="17" t="s">
        <v>43</v>
      </c>
      <c r="C479" t="s">
        <v>44</v>
      </c>
      <c r="D479">
        <v>1246</v>
      </c>
      <c r="E479" s="17" t="s">
        <v>61</v>
      </c>
      <c r="F479">
        <v>3</v>
      </c>
      <c r="G479">
        <v>3</v>
      </c>
      <c r="H479" t="s">
        <v>51</v>
      </c>
      <c r="I479">
        <v>644</v>
      </c>
      <c r="J479">
        <v>1</v>
      </c>
      <c r="K479" s="17" t="s">
        <v>46</v>
      </c>
      <c r="L479">
        <v>99</v>
      </c>
      <c r="M479">
        <v>3</v>
      </c>
      <c r="N479">
        <v>5</v>
      </c>
      <c r="O479" s="17" t="s">
        <v>56</v>
      </c>
      <c r="P479" s="14">
        <v>2</v>
      </c>
      <c r="Q479" t="s">
        <v>48</v>
      </c>
      <c r="R479" s="14">
        <v>18200</v>
      </c>
      <c r="S479" s="17" t="str">
        <f t="shared" si="14"/>
        <v>high</v>
      </c>
      <c r="T479">
        <v>7999</v>
      </c>
      <c r="U479">
        <v>1</v>
      </c>
      <c r="V479" s="17" t="s">
        <v>43</v>
      </c>
      <c r="W479">
        <v>11</v>
      </c>
      <c r="X479">
        <v>3</v>
      </c>
      <c r="Y479">
        <v>3</v>
      </c>
      <c r="Z479">
        <v>1</v>
      </c>
      <c r="AA479">
        <v>32</v>
      </c>
      <c r="AB479">
        <v>2</v>
      </c>
      <c r="AC479">
        <v>3</v>
      </c>
      <c r="AD479" s="14">
        <v>32</v>
      </c>
      <c r="AE479" t="str">
        <f t="shared" si="15"/>
        <v>10+ years</v>
      </c>
      <c r="AF479" s="14">
        <v>5</v>
      </c>
      <c r="AG479" s="14">
        <v>10</v>
      </c>
      <c r="AH479" s="14">
        <v>7</v>
      </c>
    </row>
    <row r="480" spans="1:34" x14ac:dyDescent="0.3">
      <c r="A480" s="14">
        <v>25</v>
      </c>
      <c r="B480" s="17" t="s">
        <v>43</v>
      </c>
      <c r="C480" t="s">
        <v>36</v>
      </c>
      <c r="D480">
        <v>622</v>
      </c>
      <c r="E480" s="17" t="s">
        <v>37</v>
      </c>
      <c r="F480">
        <v>13</v>
      </c>
      <c r="G480">
        <v>1</v>
      </c>
      <c r="H480" t="s">
        <v>51</v>
      </c>
      <c r="I480">
        <v>645</v>
      </c>
      <c r="J480">
        <v>2</v>
      </c>
      <c r="K480" s="17" t="s">
        <v>46</v>
      </c>
      <c r="L480">
        <v>40</v>
      </c>
      <c r="M480">
        <v>3</v>
      </c>
      <c r="N480">
        <v>1</v>
      </c>
      <c r="O480" s="17" t="s">
        <v>57</v>
      </c>
      <c r="P480" s="14">
        <v>3</v>
      </c>
      <c r="Q480" t="s">
        <v>48</v>
      </c>
      <c r="R480" s="14">
        <v>2096</v>
      </c>
      <c r="S480" s="17" t="str">
        <f t="shared" si="14"/>
        <v>low</v>
      </c>
      <c r="T480">
        <v>26376</v>
      </c>
      <c r="U480">
        <v>1</v>
      </c>
      <c r="V480" s="17" t="s">
        <v>43</v>
      </c>
      <c r="W480">
        <v>11</v>
      </c>
      <c r="X480">
        <v>3</v>
      </c>
      <c r="Y480">
        <v>3</v>
      </c>
      <c r="Z480">
        <v>0</v>
      </c>
      <c r="AA480">
        <v>7</v>
      </c>
      <c r="AB480">
        <v>1</v>
      </c>
      <c r="AC480">
        <v>3</v>
      </c>
      <c r="AD480" s="14">
        <v>7</v>
      </c>
      <c r="AE480" t="str">
        <f t="shared" si="15"/>
        <v>6-10 years</v>
      </c>
      <c r="AF480" s="14">
        <v>4</v>
      </c>
      <c r="AG480" s="14">
        <v>0</v>
      </c>
      <c r="AH480" s="14">
        <v>6</v>
      </c>
    </row>
    <row r="481" spans="1:34" x14ac:dyDescent="0.3">
      <c r="A481" s="14">
        <v>24</v>
      </c>
      <c r="B481" s="17" t="s">
        <v>35</v>
      </c>
      <c r="C481" t="s">
        <v>44</v>
      </c>
      <c r="D481">
        <v>1287</v>
      </c>
      <c r="E481" s="17" t="s">
        <v>45</v>
      </c>
      <c r="F481">
        <v>7</v>
      </c>
      <c r="G481">
        <v>3</v>
      </c>
      <c r="H481" t="s">
        <v>38</v>
      </c>
      <c r="I481">
        <v>647</v>
      </c>
      <c r="J481">
        <v>1</v>
      </c>
      <c r="K481" s="17" t="s">
        <v>39</v>
      </c>
      <c r="L481">
        <v>55</v>
      </c>
      <c r="M481">
        <v>3</v>
      </c>
      <c r="N481">
        <v>1</v>
      </c>
      <c r="O481" s="17" t="s">
        <v>50</v>
      </c>
      <c r="P481" s="14">
        <v>3</v>
      </c>
      <c r="Q481" t="s">
        <v>48</v>
      </c>
      <c r="R481" s="14">
        <v>2886</v>
      </c>
      <c r="S481" s="17" t="str">
        <f t="shared" si="14"/>
        <v>low</v>
      </c>
      <c r="T481">
        <v>14168</v>
      </c>
      <c r="U481">
        <v>1</v>
      </c>
      <c r="V481" s="17" t="s">
        <v>35</v>
      </c>
      <c r="W481">
        <v>16</v>
      </c>
      <c r="X481">
        <v>3</v>
      </c>
      <c r="Y481">
        <v>4</v>
      </c>
      <c r="Z481">
        <v>1</v>
      </c>
      <c r="AA481">
        <v>6</v>
      </c>
      <c r="AB481">
        <v>4</v>
      </c>
      <c r="AC481">
        <v>3</v>
      </c>
      <c r="AD481" s="14">
        <v>6</v>
      </c>
      <c r="AE481" t="str">
        <f t="shared" si="15"/>
        <v>6-10 years</v>
      </c>
      <c r="AF481" s="14">
        <v>3</v>
      </c>
      <c r="AG481" s="14">
        <v>1</v>
      </c>
      <c r="AH481" s="14">
        <v>2</v>
      </c>
    </row>
    <row r="482" spans="1:34" x14ac:dyDescent="0.3">
      <c r="A482" s="14">
        <v>30</v>
      </c>
      <c r="B482" s="17" t="s">
        <v>35</v>
      </c>
      <c r="C482" t="s">
        <v>44</v>
      </c>
      <c r="D482">
        <v>448</v>
      </c>
      <c r="E482" s="17" t="s">
        <v>37</v>
      </c>
      <c r="F482">
        <v>12</v>
      </c>
      <c r="G482">
        <v>4</v>
      </c>
      <c r="H482" t="s">
        <v>38</v>
      </c>
      <c r="I482">
        <v>648</v>
      </c>
      <c r="J482">
        <v>2</v>
      </c>
      <c r="K482" s="17" t="s">
        <v>46</v>
      </c>
      <c r="L482">
        <v>74</v>
      </c>
      <c r="M482">
        <v>2</v>
      </c>
      <c r="N482">
        <v>1</v>
      </c>
      <c r="O482" s="17" t="s">
        <v>57</v>
      </c>
      <c r="P482" s="14">
        <v>1</v>
      </c>
      <c r="Q482" t="s">
        <v>48</v>
      </c>
      <c r="R482" s="14">
        <v>2033</v>
      </c>
      <c r="S482" s="17" t="str">
        <f t="shared" si="14"/>
        <v>low</v>
      </c>
      <c r="T482">
        <v>14470</v>
      </c>
      <c r="U482">
        <v>1</v>
      </c>
      <c r="V482" s="17" t="s">
        <v>43</v>
      </c>
      <c r="W482">
        <v>18</v>
      </c>
      <c r="X482">
        <v>3</v>
      </c>
      <c r="Y482">
        <v>3</v>
      </c>
      <c r="Z482">
        <v>1</v>
      </c>
      <c r="AA482">
        <v>1</v>
      </c>
      <c r="AB482">
        <v>2</v>
      </c>
      <c r="AC482">
        <v>4</v>
      </c>
      <c r="AD482" s="14">
        <v>1</v>
      </c>
      <c r="AE482" t="str">
        <f t="shared" si="15"/>
        <v>0-2 years</v>
      </c>
      <c r="AF482" s="14">
        <v>0</v>
      </c>
      <c r="AG482" s="14">
        <v>0</v>
      </c>
      <c r="AH482" s="14">
        <v>0</v>
      </c>
    </row>
    <row r="483" spans="1:34" x14ac:dyDescent="0.3">
      <c r="A483" s="14">
        <v>34</v>
      </c>
      <c r="B483" s="17" t="s">
        <v>43</v>
      </c>
      <c r="C483" t="s">
        <v>36</v>
      </c>
      <c r="D483">
        <v>254</v>
      </c>
      <c r="E483" s="17" t="s">
        <v>45</v>
      </c>
      <c r="F483">
        <v>1</v>
      </c>
      <c r="G483">
        <v>2</v>
      </c>
      <c r="H483" t="s">
        <v>38</v>
      </c>
      <c r="I483">
        <v>649</v>
      </c>
      <c r="J483">
        <v>2</v>
      </c>
      <c r="K483" s="17" t="s">
        <v>46</v>
      </c>
      <c r="L483">
        <v>83</v>
      </c>
      <c r="M483">
        <v>2</v>
      </c>
      <c r="N483">
        <v>1</v>
      </c>
      <c r="O483" s="17" t="s">
        <v>47</v>
      </c>
      <c r="P483" s="14">
        <v>4</v>
      </c>
      <c r="Q483" t="s">
        <v>48</v>
      </c>
      <c r="R483" s="14">
        <v>3622</v>
      </c>
      <c r="S483" s="17" t="str">
        <f t="shared" si="14"/>
        <v>medium</v>
      </c>
      <c r="T483">
        <v>22794</v>
      </c>
      <c r="U483">
        <v>1</v>
      </c>
      <c r="V483" s="17" t="s">
        <v>35</v>
      </c>
      <c r="W483">
        <v>13</v>
      </c>
      <c r="X483">
        <v>3</v>
      </c>
      <c r="Y483">
        <v>4</v>
      </c>
      <c r="Z483">
        <v>1</v>
      </c>
      <c r="AA483">
        <v>6</v>
      </c>
      <c r="AB483">
        <v>3</v>
      </c>
      <c r="AC483">
        <v>3</v>
      </c>
      <c r="AD483" s="14">
        <v>6</v>
      </c>
      <c r="AE483" t="str">
        <f t="shared" si="15"/>
        <v>6-10 years</v>
      </c>
      <c r="AF483" s="14">
        <v>5</v>
      </c>
      <c r="AG483" s="14">
        <v>1</v>
      </c>
      <c r="AH483" s="14">
        <v>3</v>
      </c>
    </row>
    <row r="484" spans="1:34" x14ac:dyDescent="0.3">
      <c r="A484" s="14">
        <v>31</v>
      </c>
      <c r="B484" s="17" t="s">
        <v>35</v>
      </c>
      <c r="C484" t="s">
        <v>36</v>
      </c>
      <c r="D484">
        <v>1365</v>
      </c>
      <c r="E484" s="17" t="s">
        <v>37</v>
      </c>
      <c r="F484">
        <v>13</v>
      </c>
      <c r="G484">
        <v>4</v>
      </c>
      <c r="H484" t="s">
        <v>51</v>
      </c>
      <c r="I484">
        <v>650</v>
      </c>
      <c r="J484">
        <v>2</v>
      </c>
      <c r="K484" s="17" t="s">
        <v>46</v>
      </c>
      <c r="L484">
        <v>46</v>
      </c>
      <c r="M484">
        <v>3</v>
      </c>
      <c r="N484">
        <v>2</v>
      </c>
      <c r="O484" s="17" t="s">
        <v>40</v>
      </c>
      <c r="P484" s="14">
        <v>1</v>
      </c>
      <c r="Q484" t="s">
        <v>52</v>
      </c>
      <c r="R484" s="14">
        <v>4233</v>
      </c>
      <c r="S484" s="17" t="str">
        <f t="shared" si="14"/>
        <v>medium</v>
      </c>
      <c r="T484">
        <v>11512</v>
      </c>
      <c r="U484">
        <v>2</v>
      </c>
      <c r="V484" s="17" t="s">
        <v>43</v>
      </c>
      <c r="W484">
        <v>17</v>
      </c>
      <c r="X484">
        <v>3</v>
      </c>
      <c r="Y484">
        <v>3</v>
      </c>
      <c r="Z484">
        <v>0</v>
      </c>
      <c r="AA484">
        <v>9</v>
      </c>
      <c r="AB484">
        <v>2</v>
      </c>
      <c r="AC484">
        <v>1</v>
      </c>
      <c r="AD484" s="14">
        <v>3</v>
      </c>
      <c r="AE484" t="str">
        <f t="shared" si="15"/>
        <v>3-5 years</v>
      </c>
      <c r="AF484" s="14">
        <v>1</v>
      </c>
      <c r="AG484" s="14">
        <v>1</v>
      </c>
      <c r="AH484" s="14">
        <v>2</v>
      </c>
    </row>
    <row r="485" spans="1:34" x14ac:dyDescent="0.3">
      <c r="A485" s="14">
        <v>35</v>
      </c>
      <c r="B485" s="17" t="s">
        <v>43</v>
      </c>
      <c r="C485" t="s">
        <v>36</v>
      </c>
      <c r="D485">
        <v>538</v>
      </c>
      <c r="E485" s="17" t="s">
        <v>45</v>
      </c>
      <c r="F485">
        <v>25</v>
      </c>
      <c r="G485">
        <v>2</v>
      </c>
      <c r="H485" t="s">
        <v>49</v>
      </c>
      <c r="I485">
        <v>652</v>
      </c>
      <c r="J485">
        <v>1</v>
      </c>
      <c r="K485" s="17" t="s">
        <v>46</v>
      </c>
      <c r="L485">
        <v>54</v>
      </c>
      <c r="M485">
        <v>2</v>
      </c>
      <c r="N485">
        <v>2</v>
      </c>
      <c r="O485" s="17" t="s">
        <v>50</v>
      </c>
      <c r="P485" s="14">
        <v>4</v>
      </c>
      <c r="Q485" t="s">
        <v>41</v>
      </c>
      <c r="R485" s="14">
        <v>3681</v>
      </c>
      <c r="S485" s="17" t="str">
        <f t="shared" si="14"/>
        <v>medium</v>
      </c>
      <c r="T485">
        <v>14004</v>
      </c>
      <c r="U485">
        <v>4</v>
      </c>
      <c r="V485" s="17" t="s">
        <v>43</v>
      </c>
      <c r="W485">
        <v>14</v>
      </c>
      <c r="X485">
        <v>3</v>
      </c>
      <c r="Y485">
        <v>4</v>
      </c>
      <c r="Z485">
        <v>0</v>
      </c>
      <c r="AA485">
        <v>9</v>
      </c>
      <c r="AB485">
        <v>3</v>
      </c>
      <c r="AC485">
        <v>3</v>
      </c>
      <c r="AD485" s="14">
        <v>3</v>
      </c>
      <c r="AE485" t="str">
        <f t="shared" si="15"/>
        <v>3-5 years</v>
      </c>
      <c r="AF485" s="14">
        <v>2</v>
      </c>
      <c r="AG485" s="14">
        <v>0</v>
      </c>
      <c r="AH485" s="14">
        <v>2</v>
      </c>
    </row>
    <row r="486" spans="1:34" x14ac:dyDescent="0.3">
      <c r="A486" s="14">
        <v>31</v>
      </c>
      <c r="B486" s="17" t="s">
        <v>43</v>
      </c>
      <c r="C486" t="s">
        <v>36</v>
      </c>
      <c r="D486">
        <v>525</v>
      </c>
      <c r="E486" s="17" t="s">
        <v>37</v>
      </c>
      <c r="F486">
        <v>6</v>
      </c>
      <c r="G486">
        <v>4</v>
      </c>
      <c r="H486" t="s">
        <v>51</v>
      </c>
      <c r="I486">
        <v>653</v>
      </c>
      <c r="J486">
        <v>1</v>
      </c>
      <c r="K486" s="17" t="s">
        <v>46</v>
      </c>
      <c r="L486">
        <v>66</v>
      </c>
      <c r="M486">
        <v>4</v>
      </c>
      <c r="N486">
        <v>2</v>
      </c>
      <c r="O486" s="17" t="s">
        <v>40</v>
      </c>
      <c r="P486" s="14">
        <v>4</v>
      </c>
      <c r="Q486" t="s">
        <v>52</v>
      </c>
      <c r="R486" s="14">
        <v>5460</v>
      </c>
      <c r="S486" s="17" t="str">
        <f t="shared" si="14"/>
        <v>medium</v>
      </c>
      <c r="T486">
        <v>6219</v>
      </c>
      <c r="U486">
        <v>4</v>
      </c>
      <c r="V486" s="17" t="s">
        <v>43</v>
      </c>
      <c r="W486">
        <v>22</v>
      </c>
      <c r="X486">
        <v>4</v>
      </c>
      <c r="Y486">
        <v>4</v>
      </c>
      <c r="Z486">
        <v>2</v>
      </c>
      <c r="AA486">
        <v>13</v>
      </c>
      <c r="AB486">
        <v>4</v>
      </c>
      <c r="AC486">
        <v>4</v>
      </c>
      <c r="AD486" s="14">
        <v>7</v>
      </c>
      <c r="AE486" t="str">
        <f t="shared" si="15"/>
        <v>6-10 years</v>
      </c>
      <c r="AF486" s="14">
        <v>7</v>
      </c>
      <c r="AG486" s="14">
        <v>5</v>
      </c>
      <c r="AH486" s="14">
        <v>7</v>
      </c>
    </row>
    <row r="487" spans="1:34" x14ac:dyDescent="0.3">
      <c r="A487" s="14">
        <v>27</v>
      </c>
      <c r="B487" s="17" t="s">
        <v>43</v>
      </c>
      <c r="C487" t="s">
        <v>36</v>
      </c>
      <c r="D487">
        <v>798</v>
      </c>
      <c r="E487" s="17" t="s">
        <v>45</v>
      </c>
      <c r="F487">
        <v>6</v>
      </c>
      <c r="G487">
        <v>4</v>
      </c>
      <c r="H487" t="s">
        <v>51</v>
      </c>
      <c r="I487">
        <v>655</v>
      </c>
      <c r="J487">
        <v>1</v>
      </c>
      <c r="K487" s="17" t="s">
        <v>39</v>
      </c>
      <c r="L487">
        <v>66</v>
      </c>
      <c r="M487">
        <v>2</v>
      </c>
      <c r="N487">
        <v>1</v>
      </c>
      <c r="O487" s="17" t="s">
        <v>47</v>
      </c>
      <c r="P487" s="14">
        <v>3</v>
      </c>
      <c r="Q487" t="s">
        <v>52</v>
      </c>
      <c r="R487" s="14">
        <v>2187</v>
      </c>
      <c r="S487" s="17" t="str">
        <f t="shared" si="14"/>
        <v>low</v>
      </c>
      <c r="T487">
        <v>5013</v>
      </c>
      <c r="U487">
        <v>0</v>
      </c>
      <c r="V487" s="17" t="s">
        <v>43</v>
      </c>
      <c r="W487">
        <v>12</v>
      </c>
      <c r="X487">
        <v>3</v>
      </c>
      <c r="Y487">
        <v>3</v>
      </c>
      <c r="Z487">
        <v>2</v>
      </c>
      <c r="AA487">
        <v>6</v>
      </c>
      <c r="AB487">
        <v>5</v>
      </c>
      <c r="AC487">
        <v>2</v>
      </c>
      <c r="AD487" s="14">
        <v>5</v>
      </c>
      <c r="AE487" t="str">
        <f t="shared" si="15"/>
        <v>3-5 years</v>
      </c>
      <c r="AF487" s="14">
        <v>3</v>
      </c>
      <c r="AG487" s="14">
        <v>0</v>
      </c>
      <c r="AH487" s="14">
        <v>3</v>
      </c>
    </row>
    <row r="488" spans="1:34" x14ac:dyDescent="0.3">
      <c r="A488" s="14">
        <v>37</v>
      </c>
      <c r="B488" s="17" t="s">
        <v>43</v>
      </c>
      <c r="C488" t="s">
        <v>36</v>
      </c>
      <c r="D488">
        <v>558</v>
      </c>
      <c r="E488" s="17" t="s">
        <v>37</v>
      </c>
      <c r="F488">
        <v>2</v>
      </c>
      <c r="G488">
        <v>3</v>
      </c>
      <c r="H488" t="s">
        <v>59</v>
      </c>
      <c r="I488">
        <v>656</v>
      </c>
      <c r="J488">
        <v>4</v>
      </c>
      <c r="K488" s="17" t="s">
        <v>46</v>
      </c>
      <c r="L488">
        <v>75</v>
      </c>
      <c r="M488">
        <v>3</v>
      </c>
      <c r="N488">
        <v>2</v>
      </c>
      <c r="O488" s="17" t="s">
        <v>40</v>
      </c>
      <c r="P488" s="14">
        <v>3</v>
      </c>
      <c r="Q488" t="s">
        <v>48</v>
      </c>
      <c r="R488" s="14">
        <v>9602</v>
      </c>
      <c r="S488" s="17" t="str">
        <f t="shared" si="14"/>
        <v>high</v>
      </c>
      <c r="T488">
        <v>3010</v>
      </c>
      <c r="U488">
        <v>4</v>
      </c>
      <c r="V488" s="17" t="s">
        <v>35</v>
      </c>
      <c r="W488">
        <v>11</v>
      </c>
      <c r="X488">
        <v>3</v>
      </c>
      <c r="Y488">
        <v>3</v>
      </c>
      <c r="Z488">
        <v>1</v>
      </c>
      <c r="AA488">
        <v>17</v>
      </c>
      <c r="AB488">
        <v>3</v>
      </c>
      <c r="AC488">
        <v>2</v>
      </c>
      <c r="AD488" s="14">
        <v>3</v>
      </c>
      <c r="AE488" t="str">
        <f t="shared" si="15"/>
        <v>3-5 years</v>
      </c>
      <c r="AF488" s="14">
        <v>0</v>
      </c>
      <c r="AG488" s="14">
        <v>1</v>
      </c>
      <c r="AH488" s="14">
        <v>0</v>
      </c>
    </row>
    <row r="489" spans="1:34" x14ac:dyDescent="0.3">
      <c r="A489" s="14">
        <v>20</v>
      </c>
      <c r="B489" s="17" t="s">
        <v>43</v>
      </c>
      <c r="C489" t="s">
        <v>36</v>
      </c>
      <c r="D489">
        <v>959</v>
      </c>
      <c r="E489" s="17" t="s">
        <v>45</v>
      </c>
      <c r="F489">
        <v>1</v>
      </c>
      <c r="G489">
        <v>3</v>
      </c>
      <c r="H489" t="s">
        <v>38</v>
      </c>
      <c r="I489">
        <v>657</v>
      </c>
      <c r="J489">
        <v>4</v>
      </c>
      <c r="K489" s="17" t="s">
        <v>39</v>
      </c>
      <c r="L489">
        <v>83</v>
      </c>
      <c r="M489">
        <v>2</v>
      </c>
      <c r="N489">
        <v>1</v>
      </c>
      <c r="O489" s="17" t="s">
        <v>47</v>
      </c>
      <c r="P489" s="14">
        <v>2</v>
      </c>
      <c r="Q489" t="s">
        <v>41</v>
      </c>
      <c r="R489" s="14">
        <v>2836</v>
      </c>
      <c r="S489" s="17" t="str">
        <f t="shared" si="14"/>
        <v>low</v>
      </c>
      <c r="T489">
        <v>11757</v>
      </c>
      <c r="U489">
        <v>1</v>
      </c>
      <c r="V489" s="17" t="s">
        <v>43</v>
      </c>
      <c r="W489">
        <v>13</v>
      </c>
      <c r="X489">
        <v>3</v>
      </c>
      <c r="Y489">
        <v>4</v>
      </c>
      <c r="Z489">
        <v>0</v>
      </c>
      <c r="AA489">
        <v>1</v>
      </c>
      <c r="AB489">
        <v>0</v>
      </c>
      <c r="AC489">
        <v>4</v>
      </c>
      <c r="AD489" s="14">
        <v>1</v>
      </c>
      <c r="AE489" t="str">
        <f t="shared" si="15"/>
        <v>0-2 years</v>
      </c>
      <c r="AF489" s="14">
        <v>0</v>
      </c>
      <c r="AG489" s="14">
        <v>0</v>
      </c>
      <c r="AH489" s="14">
        <v>0</v>
      </c>
    </row>
    <row r="490" spans="1:34" x14ac:dyDescent="0.3">
      <c r="A490" s="14">
        <v>42</v>
      </c>
      <c r="B490" s="17" t="s">
        <v>43</v>
      </c>
      <c r="C490" t="s">
        <v>36</v>
      </c>
      <c r="D490">
        <v>622</v>
      </c>
      <c r="E490" s="17" t="s">
        <v>45</v>
      </c>
      <c r="F490">
        <v>2</v>
      </c>
      <c r="G490">
        <v>4</v>
      </c>
      <c r="H490" t="s">
        <v>38</v>
      </c>
      <c r="I490">
        <v>659</v>
      </c>
      <c r="J490">
        <v>3</v>
      </c>
      <c r="K490" s="17" t="s">
        <v>39</v>
      </c>
      <c r="L490">
        <v>81</v>
      </c>
      <c r="M490">
        <v>3</v>
      </c>
      <c r="N490">
        <v>2</v>
      </c>
      <c r="O490" s="17" t="s">
        <v>54</v>
      </c>
      <c r="P490" s="14">
        <v>4</v>
      </c>
      <c r="Q490" t="s">
        <v>48</v>
      </c>
      <c r="R490" s="14">
        <v>4089</v>
      </c>
      <c r="S490" s="17" t="str">
        <f t="shared" si="14"/>
        <v>medium</v>
      </c>
      <c r="T490">
        <v>5718</v>
      </c>
      <c r="U490">
        <v>1</v>
      </c>
      <c r="V490" s="17" t="s">
        <v>43</v>
      </c>
      <c r="W490">
        <v>13</v>
      </c>
      <c r="X490">
        <v>3</v>
      </c>
      <c r="Y490">
        <v>2</v>
      </c>
      <c r="Z490">
        <v>2</v>
      </c>
      <c r="AA490">
        <v>10</v>
      </c>
      <c r="AB490">
        <v>4</v>
      </c>
      <c r="AC490">
        <v>3</v>
      </c>
      <c r="AD490" s="14">
        <v>10</v>
      </c>
      <c r="AE490" t="str">
        <f t="shared" si="15"/>
        <v>6-10 years</v>
      </c>
      <c r="AF490" s="14">
        <v>2</v>
      </c>
      <c r="AG490" s="14">
        <v>2</v>
      </c>
      <c r="AH490" s="14">
        <v>2</v>
      </c>
    </row>
    <row r="491" spans="1:34" x14ac:dyDescent="0.3">
      <c r="A491" s="14">
        <v>43</v>
      </c>
      <c r="B491" s="17" t="s">
        <v>43</v>
      </c>
      <c r="C491" t="s">
        <v>36</v>
      </c>
      <c r="D491">
        <v>782</v>
      </c>
      <c r="E491" s="17" t="s">
        <v>45</v>
      </c>
      <c r="F491">
        <v>6</v>
      </c>
      <c r="G491">
        <v>4</v>
      </c>
      <c r="H491" t="s">
        <v>49</v>
      </c>
      <c r="I491">
        <v>661</v>
      </c>
      <c r="J491">
        <v>2</v>
      </c>
      <c r="K491" s="17" t="s">
        <v>46</v>
      </c>
      <c r="L491">
        <v>50</v>
      </c>
      <c r="M491">
        <v>2</v>
      </c>
      <c r="N491">
        <v>4</v>
      </c>
      <c r="O491" s="17" t="s">
        <v>58</v>
      </c>
      <c r="P491" s="14">
        <v>4</v>
      </c>
      <c r="Q491" t="s">
        <v>52</v>
      </c>
      <c r="R491" s="14">
        <v>16627</v>
      </c>
      <c r="S491" s="17" t="str">
        <f t="shared" si="14"/>
        <v>high</v>
      </c>
      <c r="T491">
        <v>2671</v>
      </c>
      <c r="U491">
        <v>4</v>
      </c>
      <c r="V491" s="17" t="s">
        <v>35</v>
      </c>
      <c r="W491">
        <v>14</v>
      </c>
      <c r="X491">
        <v>3</v>
      </c>
      <c r="Y491">
        <v>3</v>
      </c>
      <c r="Z491">
        <v>1</v>
      </c>
      <c r="AA491">
        <v>21</v>
      </c>
      <c r="AB491">
        <v>3</v>
      </c>
      <c r="AC491">
        <v>2</v>
      </c>
      <c r="AD491" s="14">
        <v>1</v>
      </c>
      <c r="AE491" t="str">
        <f t="shared" si="15"/>
        <v>0-2 years</v>
      </c>
      <c r="AF491" s="14">
        <v>0</v>
      </c>
      <c r="AG491" s="14">
        <v>0</v>
      </c>
      <c r="AH491" s="14">
        <v>0</v>
      </c>
    </row>
    <row r="492" spans="1:34" x14ac:dyDescent="0.3">
      <c r="A492" s="14">
        <v>38</v>
      </c>
      <c r="B492" s="17" t="s">
        <v>43</v>
      </c>
      <c r="C492" t="s">
        <v>36</v>
      </c>
      <c r="D492">
        <v>362</v>
      </c>
      <c r="E492" s="17" t="s">
        <v>45</v>
      </c>
      <c r="F492">
        <v>1</v>
      </c>
      <c r="G492">
        <v>1</v>
      </c>
      <c r="H492" t="s">
        <v>38</v>
      </c>
      <c r="I492">
        <v>662</v>
      </c>
      <c r="J492">
        <v>3</v>
      </c>
      <c r="K492" s="17" t="s">
        <v>39</v>
      </c>
      <c r="L492">
        <v>43</v>
      </c>
      <c r="M492">
        <v>3</v>
      </c>
      <c r="N492">
        <v>1</v>
      </c>
      <c r="O492" s="17" t="s">
        <v>47</v>
      </c>
      <c r="P492" s="14">
        <v>1</v>
      </c>
      <c r="Q492" t="s">
        <v>41</v>
      </c>
      <c r="R492" s="14">
        <v>2619</v>
      </c>
      <c r="S492" s="17" t="str">
        <f t="shared" si="14"/>
        <v>low</v>
      </c>
      <c r="T492">
        <v>14561</v>
      </c>
      <c r="U492">
        <v>3</v>
      </c>
      <c r="V492" s="17" t="s">
        <v>43</v>
      </c>
      <c r="W492">
        <v>17</v>
      </c>
      <c r="X492">
        <v>3</v>
      </c>
      <c r="Y492">
        <v>4</v>
      </c>
      <c r="Z492">
        <v>0</v>
      </c>
      <c r="AA492">
        <v>8</v>
      </c>
      <c r="AB492">
        <v>3</v>
      </c>
      <c r="AC492">
        <v>2</v>
      </c>
      <c r="AD492" s="14">
        <v>0</v>
      </c>
      <c r="AE492" t="str">
        <f t="shared" si="15"/>
        <v>0-2 years</v>
      </c>
      <c r="AF492" s="14">
        <v>0</v>
      </c>
      <c r="AG492" s="14">
        <v>0</v>
      </c>
      <c r="AH492" s="14">
        <v>0</v>
      </c>
    </row>
    <row r="493" spans="1:34" x14ac:dyDescent="0.3">
      <c r="A493" s="14">
        <v>43</v>
      </c>
      <c r="B493" s="17" t="s">
        <v>43</v>
      </c>
      <c r="C493" t="s">
        <v>44</v>
      </c>
      <c r="D493">
        <v>1001</v>
      </c>
      <c r="E493" s="17" t="s">
        <v>45</v>
      </c>
      <c r="F493">
        <v>9</v>
      </c>
      <c r="G493">
        <v>5</v>
      </c>
      <c r="H493" t="s">
        <v>51</v>
      </c>
      <c r="I493">
        <v>663</v>
      </c>
      <c r="J493">
        <v>4</v>
      </c>
      <c r="K493" s="17" t="s">
        <v>46</v>
      </c>
      <c r="L493">
        <v>72</v>
      </c>
      <c r="M493">
        <v>3</v>
      </c>
      <c r="N493">
        <v>2</v>
      </c>
      <c r="O493" s="17" t="s">
        <v>50</v>
      </c>
      <c r="P493" s="14">
        <v>3</v>
      </c>
      <c r="Q493" t="s">
        <v>52</v>
      </c>
      <c r="R493" s="14">
        <v>5679</v>
      </c>
      <c r="S493" s="17" t="str">
        <f t="shared" si="14"/>
        <v>medium</v>
      </c>
      <c r="T493">
        <v>19627</v>
      </c>
      <c r="U493">
        <v>3</v>
      </c>
      <c r="V493" s="17" t="s">
        <v>35</v>
      </c>
      <c r="W493">
        <v>13</v>
      </c>
      <c r="X493">
        <v>3</v>
      </c>
      <c r="Y493">
        <v>2</v>
      </c>
      <c r="Z493">
        <v>1</v>
      </c>
      <c r="AA493">
        <v>10</v>
      </c>
      <c r="AB493">
        <v>3</v>
      </c>
      <c r="AC493">
        <v>3</v>
      </c>
      <c r="AD493" s="14">
        <v>8</v>
      </c>
      <c r="AE493" t="str">
        <f t="shared" si="15"/>
        <v>6-10 years</v>
      </c>
      <c r="AF493" s="14">
        <v>7</v>
      </c>
      <c r="AG493" s="14">
        <v>4</v>
      </c>
      <c r="AH493" s="14">
        <v>7</v>
      </c>
    </row>
    <row r="494" spans="1:34" x14ac:dyDescent="0.3">
      <c r="A494" s="14">
        <v>48</v>
      </c>
      <c r="B494" s="17" t="s">
        <v>43</v>
      </c>
      <c r="C494" t="s">
        <v>36</v>
      </c>
      <c r="D494">
        <v>1236</v>
      </c>
      <c r="E494" s="17" t="s">
        <v>45</v>
      </c>
      <c r="F494">
        <v>1</v>
      </c>
      <c r="G494">
        <v>4</v>
      </c>
      <c r="H494" t="s">
        <v>38</v>
      </c>
      <c r="I494">
        <v>664</v>
      </c>
      <c r="J494">
        <v>4</v>
      </c>
      <c r="K494" s="17" t="s">
        <v>39</v>
      </c>
      <c r="L494">
        <v>40</v>
      </c>
      <c r="M494">
        <v>2</v>
      </c>
      <c r="N494">
        <v>4</v>
      </c>
      <c r="O494" s="17" t="s">
        <v>56</v>
      </c>
      <c r="P494" s="14">
        <v>1</v>
      </c>
      <c r="Q494" t="s">
        <v>48</v>
      </c>
      <c r="R494" s="14">
        <v>15402</v>
      </c>
      <c r="S494" s="17" t="str">
        <f t="shared" si="14"/>
        <v>high</v>
      </c>
      <c r="T494">
        <v>17997</v>
      </c>
      <c r="U494">
        <v>7</v>
      </c>
      <c r="V494" s="17" t="s">
        <v>43</v>
      </c>
      <c r="W494">
        <v>11</v>
      </c>
      <c r="X494">
        <v>3</v>
      </c>
      <c r="Y494">
        <v>1</v>
      </c>
      <c r="Z494">
        <v>1</v>
      </c>
      <c r="AA494">
        <v>21</v>
      </c>
      <c r="AB494">
        <v>3</v>
      </c>
      <c r="AC494">
        <v>1</v>
      </c>
      <c r="AD494" s="14">
        <v>3</v>
      </c>
      <c r="AE494" t="str">
        <f t="shared" si="15"/>
        <v>3-5 years</v>
      </c>
      <c r="AF494" s="14">
        <v>2</v>
      </c>
      <c r="AG494" s="14">
        <v>0</v>
      </c>
      <c r="AH494" s="14">
        <v>2</v>
      </c>
    </row>
    <row r="495" spans="1:34" x14ac:dyDescent="0.3">
      <c r="A495" s="14">
        <v>44</v>
      </c>
      <c r="B495" s="17" t="s">
        <v>43</v>
      </c>
      <c r="C495" t="s">
        <v>36</v>
      </c>
      <c r="D495">
        <v>1112</v>
      </c>
      <c r="E495" s="17" t="s">
        <v>61</v>
      </c>
      <c r="F495">
        <v>1</v>
      </c>
      <c r="G495">
        <v>4</v>
      </c>
      <c r="H495" t="s">
        <v>38</v>
      </c>
      <c r="I495">
        <v>665</v>
      </c>
      <c r="J495">
        <v>1</v>
      </c>
      <c r="K495" s="17" t="s">
        <v>39</v>
      </c>
      <c r="L495">
        <v>50</v>
      </c>
      <c r="M495">
        <v>2</v>
      </c>
      <c r="N495">
        <v>2</v>
      </c>
      <c r="O495" s="17" t="s">
        <v>61</v>
      </c>
      <c r="P495" s="14">
        <v>3</v>
      </c>
      <c r="Q495" t="s">
        <v>41</v>
      </c>
      <c r="R495" s="14">
        <v>5985</v>
      </c>
      <c r="S495" s="17" t="str">
        <f t="shared" si="14"/>
        <v>medium</v>
      </c>
      <c r="T495">
        <v>26894</v>
      </c>
      <c r="U495">
        <v>4</v>
      </c>
      <c r="V495" s="17" t="s">
        <v>43</v>
      </c>
      <c r="W495">
        <v>11</v>
      </c>
      <c r="X495">
        <v>3</v>
      </c>
      <c r="Y495">
        <v>2</v>
      </c>
      <c r="Z495">
        <v>0</v>
      </c>
      <c r="AA495">
        <v>10</v>
      </c>
      <c r="AB495">
        <v>1</v>
      </c>
      <c r="AC495">
        <v>4</v>
      </c>
      <c r="AD495" s="14">
        <v>2</v>
      </c>
      <c r="AE495" t="str">
        <f t="shared" si="15"/>
        <v>0-2 years</v>
      </c>
      <c r="AF495" s="14">
        <v>2</v>
      </c>
      <c r="AG495" s="14">
        <v>0</v>
      </c>
      <c r="AH495" s="14">
        <v>2</v>
      </c>
    </row>
    <row r="496" spans="1:34" x14ac:dyDescent="0.3">
      <c r="A496" s="14">
        <v>34</v>
      </c>
      <c r="B496" s="17" t="s">
        <v>43</v>
      </c>
      <c r="C496" t="s">
        <v>36</v>
      </c>
      <c r="D496">
        <v>204</v>
      </c>
      <c r="E496" s="17" t="s">
        <v>37</v>
      </c>
      <c r="F496">
        <v>14</v>
      </c>
      <c r="G496">
        <v>3</v>
      </c>
      <c r="H496" t="s">
        <v>60</v>
      </c>
      <c r="I496">
        <v>666</v>
      </c>
      <c r="J496">
        <v>3</v>
      </c>
      <c r="K496" s="17" t="s">
        <v>39</v>
      </c>
      <c r="L496">
        <v>31</v>
      </c>
      <c r="M496">
        <v>3</v>
      </c>
      <c r="N496">
        <v>1</v>
      </c>
      <c r="O496" s="17" t="s">
        <v>57</v>
      </c>
      <c r="P496" s="14">
        <v>3</v>
      </c>
      <c r="Q496" t="s">
        <v>52</v>
      </c>
      <c r="R496" s="14">
        <v>2579</v>
      </c>
      <c r="S496" s="17" t="str">
        <f t="shared" si="14"/>
        <v>low</v>
      </c>
      <c r="T496">
        <v>2912</v>
      </c>
      <c r="U496">
        <v>1</v>
      </c>
      <c r="V496" s="17" t="s">
        <v>35</v>
      </c>
      <c r="W496">
        <v>18</v>
      </c>
      <c r="X496">
        <v>3</v>
      </c>
      <c r="Y496">
        <v>4</v>
      </c>
      <c r="Z496">
        <v>2</v>
      </c>
      <c r="AA496">
        <v>8</v>
      </c>
      <c r="AB496">
        <v>3</v>
      </c>
      <c r="AC496">
        <v>3</v>
      </c>
      <c r="AD496" s="14">
        <v>8</v>
      </c>
      <c r="AE496" t="str">
        <f t="shared" si="15"/>
        <v>6-10 years</v>
      </c>
      <c r="AF496" s="14">
        <v>2</v>
      </c>
      <c r="AG496" s="14">
        <v>0</v>
      </c>
      <c r="AH496" s="14">
        <v>6</v>
      </c>
    </row>
    <row r="497" spans="1:34" x14ac:dyDescent="0.3">
      <c r="A497" s="14">
        <v>27</v>
      </c>
      <c r="B497" s="17" t="s">
        <v>35</v>
      </c>
      <c r="C497" t="s">
        <v>36</v>
      </c>
      <c r="D497">
        <v>1420</v>
      </c>
      <c r="E497" s="17" t="s">
        <v>37</v>
      </c>
      <c r="F497">
        <v>2</v>
      </c>
      <c r="G497">
        <v>1</v>
      </c>
      <c r="H497" t="s">
        <v>59</v>
      </c>
      <c r="I497">
        <v>667</v>
      </c>
      <c r="J497">
        <v>3</v>
      </c>
      <c r="K497" s="17" t="s">
        <v>46</v>
      </c>
      <c r="L497">
        <v>85</v>
      </c>
      <c r="M497">
        <v>3</v>
      </c>
      <c r="N497">
        <v>1</v>
      </c>
      <c r="O497" s="17" t="s">
        <v>57</v>
      </c>
      <c r="P497" s="14">
        <v>1</v>
      </c>
      <c r="Q497" t="s">
        <v>52</v>
      </c>
      <c r="R497" s="14">
        <v>3041</v>
      </c>
      <c r="S497" s="17" t="str">
        <f t="shared" si="14"/>
        <v>medium</v>
      </c>
      <c r="T497">
        <v>16346</v>
      </c>
      <c r="U497">
        <v>0</v>
      </c>
      <c r="V497" s="17" t="s">
        <v>43</v>
      </c>
      <c r="W497">
        <v>11</v>
      </c>
      <c r="X497">
        <v>3</v>
      </c>
      <c r="Y497">
        <v>2</v>
      </c>
      <c r="Z497">
        <v>1</v>
      </c>
      <c r="AA497">
        <v>5</v>
      </c>
      <c r="AB497">
        <v>3</v>
      </c>
      <c r="AC497">
        <v>3</v>
      </c>
      <c r="AD497" s="14">
        <v>4</v>
      </c>
      <c r="AE497" t="str">
        <f t="shared" si="15"/>
        <v>3-5 years</v>
      </c>
      <c r="AF497" s="14">
        <v>3</v>
      </c>
      <c r="AG497" s="14">
        <v>0</v>
      </c>
      <c r="AH497" s="14">
        <v>2</v>
      </c>
    </row>
    <row r="498" spans="1:34" x14ac:dyDescent="0.3">
      <c r="A498" s="14">
        <v>21</v>
      </c>
      <c r="B498" s="17" t="s">
        <v>43</v>
      </c>
      <c r="C498" t="s">
        <v>36</v>
      </c>
      <c r="D498">
        <v>1343</v>
      </c>
      <c r="E498" s="17" t="s">
        <v>37</v>
      </c>
      <c r="F498">
        <v>22</v>
      </c>
      <c r="G498">
        <v>1</v>
      </c>
      <c r="H498" t="s">
        <v>60</v>
      </c>
      <c r="I498">
        <v>669</v>
      </c>
      <c r="J498">
        <v>3</v>
      </c>
      <c r="K498" s="17" t="s">
        <v>46</v>
      </c>
      <c r="L498">
        <v>49</v>
      </c>
      <c r="M498">
        <v>3</v>
      </c>
      <c r="N498">
        <v>1</v>
      </c>
      <c r="O498" s="17" t="s">
        <v>57</v>
      </c>
      <c r="P498" s="14">
        <v>3</v>
      </c>
      <c r="Q498" t="s">
        <v>41</v>
      </c>
      <c r="R498" s="14">
        <v>3447</v>
      </c>
      <c r="S498" s="17" t="str">
        <f t="shared" si="14"/>
        <v>medium</v>
      </c>
      <c r="T498">
        <v>24444</v>
      </c>
      <c r="U498">
        <v>1</v>
      </c>
      <c r="V498" s="17" t="s">
        <v>43</v>
      </c>
      <c r="W498">
        <v>11</v>
      </c>
      <c r="X498">
        <v>3</v>
      </c>
      <c r="Y498">
        <v>3</v>
      </c>
      <c r="Z498">
        <v>0</v>
      </c>
      <c r="AA498">
        <v>3</v>
      </c>
      <c r="AB498">
        <v>2</v>
      </c>
      <c r="AC498">
        <v>3</v>
      </c>
      <c r="AD498" s="14">
        <v>3</v>
      </c>
      <c r="AE498" t="str">
        <f t="shared" si="15"/>
        <v>3-5 years</v>
      </c>
      <c r="AF498" s="14">
        <v>2</v>
      </c>
      <c r="AG498" s="14">
        <v>1</v>
      </c>
      <c r="AH498" s="14">
        <v>2</v>
      </c>
    </row>
    <row r="499" spans="1:34" x14ac:dyDescent="0.3">
      <c r="A499" s="14">
        <v>44</v>
      </c>
      <c r="B499" s="17" t="s">
        <v>43</v>
      </c>
      <c r="C499" t="s">
        <v>36</v>
      </c>
      <c r="D499">
        <v>1315</v>
      </c>
      <c r="E499" s="17" t="s">
        <v>45</v>
      </c>
      <c r="F499">
        <v>3</v>
      </c>
      <c r="G499">
        <v>4</v>
      </c>
      <c r="H499" t="s">
        <v>49</v>
      </c>
      <c r="I499">
        <v>671</v>
      </c>
      <c r="J499">
        <v>4</v>
      </c>
      <c r="K499" s="17" t="s">
        <v>46</v>
      </c>
      <c r="L499">
        <v>35</v>
      </c>
      <c r="M499">
        <v>3</v>
      </c>
      <c r="N499">
        <v>5</v>
      </c>
      <c r="O499" s="17" t="s">
        <v>56</v>
      </c>
      <c r="P499" s="14">
        <v>4</v>
      </c>
      <c r="Q499" t="s">
        <v>48</v>
      </c>
      <c r="R499" s="14">
        <v>19513</v>
      </c>
      <c r="S499" s="17" t="str">
        <f t="shared" si="14"/>
        <v>high</v>
      </c>
      <c r="T499">
        <v>9358</v>
      </c>
      <c r="U499">
        <v>4</v>
      </c>
      <c r="V499" s="17" t="s">
        <v>35</v>
      </c>
      <c r="W499">
        <v>12</v>
      </c>
      <c r="X499">
        <v>3</v>
      </c>
      <c r="Y499">
        <v>1</v>
      </c>
      <c r="Z499">
        <v>1</v>
      </c>
      <c r="AA499">
        <v>26</v>
      </c>
      <c r="AB499">
        <v>2</v>
      </c>
      <c r="AC499">
        <v>4</v>
      </c>
      <c r="AD499" s="14">
        <v>2</v>
      </c>
      <c r="AE499" t="str">
        <f t="shared" si="15"/>
        <v>0-2 years</v>
      </c>
      <c r="AF499" s="14">
        <v>2</v>
      </c>
      <c r="AG499" s="14">
        <v>0</v>
      </c>
      <c r="AH499" s="14">
        <v>1</v>
      </c>
    </row>
    <row r="500" spans="1:34" x14ac:dyDescent="0.3">
      <c r="A500" s="14">
        <v>22</v>
      </c>
      <c r="B500" s="17" t="s">
        <v>43</v>
      </c>
      <c r="C500" t="s">
        <v>36</v>
      </c>
      <c r="D500">
        <v>604</v>
      </c>
      <c r="E500" s="17" t="s">
        <v>45</v>
      </c>
      <c r="F500">
        <v>6</v>
      </c>
      <c r="G500">
        <v>1</v>
      </c>
      <c r="H500" t="s">
        <v>51</v>
      </c>
      <c r="I500">
        <v>675</v>
      </c>
      <c r="J500">
        <v>1</v>
      </c>
      <c r="K500" s="17" t="s">
        <v>46</v>
      </c>
      <c r="L500">
        <v>69</v>
      </c>
      <c r="M500">
        <v>3</v>
      </c>
      <c r="N500">
        <v>1</v>
      </c>
      <c r="O500" s="17" t="s">
        <v>47</v>
      </c>
      <c r="P500" s="14">
        <v>3</v>
      </c>
      <c r="Q500" t="s">
        <v>48</v>
      </c>
      <c r="R500" s="14">
        <v>2773</v>
      </c>
      <c r="S500" s="17" t="str">
        <f t="shared" si="14"/>
        <v>low</v>
      </c>
      <c r="T500">
        <v>12145</v>
      </c>
      <c r="U500">
        <v>0</v>
      </c>
      <c r="V500" s="17" t="s">
        <v>43</v>
      </c>
      <c r="W500">
        <v>20</v>
      </c>
      <c r="X500">
        <v>4</v>
      </c>
      <c r="Y500">
        <v>4</v>
      </c>
      <c r="Z500">
        <v>0</v>
      </c>
      <c r="AA500">
        <v>3</v>
      </c>
      <c r="AB500">
        <v>3</v>
      </c>
      <c r="AC500">
        <v>3</v>
      </c>
      <c r="AD500" s="14">
        <v>2</v>
      </c>
      <c r="AE500" t="str">
        <f t="shared" si="15"/>
        <v>0-2 years</v>
      </c>
      <c r="AF500" s="14">
        <v>2</v>
      </c>
      <c r="AG500" s="14">
        <v>2</v>
      </c>
      <c r="AH500" s="14">
        <v>2</v>
      </c>
    </row>
    <row r="501" spans="1:34" x14ac:dyDescent="0.3">
      <c r="A501" s="14">
        <v>33</v>
      </c>
      <c r="B501" s="17" t="s">
        <v>43</v>
      </c>
      <c r="C501" t="s">
        <v>36</v>
      </c>
      <c r="D501">
        <v>1216</v>
      </c>
      <c r="E501" s="17" t="s">
        <v>37</v>
      </c>
      <c r="F501">
        <v>8</v>
      </c>
      <c r="G501">
        <v>4</v>
      </c>
      <c r="H501" t="s">
        <v>59</v>
      </c>
      <c r="I501">
        <v>677</v>
      </c>
      <c r="J501">
        <v>3</v>
      </c>
      <c r="K501" s="17" t="s">
        <v>46</v>
      </c>
      <c r="L501">
        <v>39</v>
      </c>
      <c r="M501">
        <v>3</v>
      </c>
      <c r="N501">
        <v>2</v>
      </c>
      <c r="O501" s="17" t="s">
        <v>40</v>
      </c>
      <c r="P501" s="14">
        <v>3</v>
      </c>
      <c r="Q501" t="s">
        <v>52</v>
      </c>
      <c r="R501" s="14">
        <v>7104</v>
      </c>
      <c r="S501" s="17" t="str">
        <f t="shared" si="14"/>
        <v>high</v>
      </c>
      <c r="T501">
        <v>20431</v>
      </c>
      <c r="U501">
        <v>0</v>
      </c>
      <c r="V501" s="17" t="s">
        <v>43</v>
      </c>
      <c r="W501">
        <v>12</v>
      </c>
      <c r="X501">
        <v>3</v>
      </c>
      <c r="Y501">
        <v>4</v>
      </c>
      <c r="Z501">
        <v>0</v>
      </c>
      <c r="AA501">
        <v>6</v>
      </c>
      <c r="AB501">
        <v>3</v>
      </c>
      <c r="AC501">
        <v>3</v>
      </c>
      <c r="AD501" s="14">
        <v>5</v>
      </c>
      <c r="AE501" t="str">
        <f t="shared" si="15"/>
        <v>3-5 years</v>
      </c>
      <c r="AF501" s="14">
        <v>0</v>
      </c>
      <c r="AG501" s="14">
        <v>1</v>
      </c>
      <c r="AH501" s="14">
        <v>2</v>
      </c>
    </row>
    <row r="502" spans="1:34" x14ac:dyDescent="0.3">
      <c r="A502" s="14">
        <v>32</v>
      </c>
      <c r="B502" s="17" t="s">
        <v>43</v>
      </c>
      <c r="C502" t="s">
        <v>36</v>
      </c>
      <c r="D502">
        <v>646</v>
      </c>
      <c r="E502" s="17" t="s">
        <v>45</v>
      </c>
      <c r="F502">
        <v>9</v>
      </c>
      <c r="G502">
        <v>4</v>
      </c>
      <c r="H502" t="s">
        <v>38</v>
      </c>
      <c r="I502">
        <v>679</v>
      </c>
      <c r="J502">
        <v>1</v>
      </c>
      <c r="K502" s="17" t="s">
        <v>39</v>
      </c>
      <c r="L502">
        <v>92</v>
      </c>
      <c r="M502">
        <v>3</v>
      </c>
      <c r="N502">
        <v>2</v>
      </c>
      <c r="O502" s="17" t="s">
        <v>47</v>
      </c>
      <c r="P502" s="14">
        <v>4</v>
      </c>
      <c r="Q502" t="s">
        <v>48</v>
      </c>
      <c r="R502" s="14">
        <v>6322</v>
      </c>
      <c r="S502" s="17" t="str">
        <f t="shared" si="14"/>
        <v>medium</v>
      </c>
      <c r="T502">
        <v>18089</v>
      </c>
      <c r="U502">
        <v>1</v>
      </c>
      <c r="V502" s="17" t="s">
        <v>35</v>
      </c>
      <c r="W502">
        <v>12</v>
      </c>
      <c r="X502">
        <v>3</v>
      </c>
      <c r="Y502">
        <v>4</v>
      </c>
      <c r="Z502">
        <v>1</v>
      </c>
      <c r="AA502">
        <v>6</v>
      </c>
      <c r="AB502">
        <v>2</v>
      </c>
      <c r="AC502">
        <v>2</v>
      </c>
      <c r="AD502" s="14">
        <v>6</v>
      </c>
      <c r="AE502" t="str">
        <f t="shared" si="15"/>
        <v>6-10 years</v>
      </c>
      <c r="AF502" s="14">
        <v>4</v>
      </c>
      <c r="AG502" s="14">
        <v>0</v>
      </c>
      <c r="AH502" s="14">
        <v>5</v>
      </c>
    </row>
    <row r="503" spans="1:34" x14ac:dyDescent="0.3">
      <c r="A503" s="14">
        <v>30</v>
      </c>
      <c r="B503" s="17" t="s">
        <v>43</v>
      </c>
      <c r="C503" t="s">
        <v>44</v>
      </c>
      <c r="D503">
        <v>160</v>
      </c>
      <c r="E503" s="17" t="s">
        <v>45</v>
      </c>
      <c r="F503">
        <v>3</v>
      </c>
      <c r="G503">
        <v>3</v>
      </c>
      <c r="H503" t="s">
        <v>51</v>
      </c>
      <c r="I503">
        <v>680</v>
      </c>
      <c r="J503">
        <v>3</v>
      </c>
      <c r="K503" s="17" t="s">
        <v>39</v>
      </c>
      <c r="L503">
        <v>71</v>
      </c>
      <c r="M503">
        <v>3</v>
      </c>
      <c r="N503">
        <v>1</v>
      </c>
      <c r="O503" s="17" t="s">
        <v>47</v>
      </c>
      <c r="P503" s="14">
        <v>3</v>
      </c>
      <c r="Q503" t="s">
        <v>52</v>
      </c>
      <c r="R503" s="14">
        <v>2083</v>
      </c>
      <c r="S503" s="17" t="str">
        <f t="shared" si="14"/>
        <v>low</v>
      </c>
      <c r="T503">
        <v>22653</v>
      </c>
      <c r="U503">
        <v>1</v>
      </c>
      <c r="V503" s="17" t="s">
        <v>43</v>
      </c>
      <c r="W503">
        <v>20</v>
      </c>
      <c r="X503">
        <v>4</v>
      </c>
      <c r="Y503">
        <v>3</v>
      </c>
      <c r="Z503">
        <v>1</v>
      </c>
      <c r="AA503">
        <v>1</v>
      </c>
      <c r="AB503">
        <v>2</v>
      </c>
      <c r="AC503">
        <v>3</v>
      </c>
      <c r="AD503" s="14">
        <v>1</v>
      </c>
      <c r="AE503" t="str">
        <f t="shared" si="15"/>
        <v>0-2 years</v>
      </c>
      <c r="AF503" s="14">
        <v>0</v>
      </c>
      <c r="AG503" s="14">
        <v>0</v>
      </c>
      <c r="AH503" s="14">
        <v>0</v>
      </c>
    </row>
    <row r="504" spans="1:34" x14ac:dyDescent="0.3">
      <c r="A504" s="14">
        <v>53</v>
      </c>
      <c r="B504" s="17" t="s">
        <v>43</v>
      </c>
      <c r="C504" t="s">
        <v>36</v>
      </c>
      <c r="D504">
        <v>238</v>
      </c>
      <c r="E504" s="17" t="s">
        <v>37</v>
      </c>
      <c r="F504">
        <v>1</v>
      </c>
      <c r="G504">
        <v>1</v>
      </c>
      <c r="H504" t="s">
        <v>51</v>
      </c>
      <c r="I504">
        <v>682</v>
      </c>
      <c r="J504">
        <v>4</v>
      </c>
      <c r="K504" s="17" t="s">
        <v>39</v>
      </c>
      <c r="L504">
        <v>34</v>
      </c>
      <c r="M504">
        <v>3</v>
      </c>
      <c r="N504">
        <v>2</v>
      </c>
      <c r="O504" s="17" t="s">
        <v>40</v>
      </c>
      <c r="P504" s="14">
        <v>1</v>
      </c>
      <c r="Q504" t="s">
        <v>41</v>
      </c>
      <c r="R504" s="14">
        <v>8381</v>
      </c>
      <c r="S504" s="17" t="str">
        <f t="shared" si="14"/>
        <v>high</v>
      </c>
      <c r="T504">
        <v>7507</v>
      </c>
      <c r="U504">
        <v>7</v>
      </c>
      <c r="V504" s="17" t="s">
        <v>43</v>
      </c>
      <c r="W504">
        <v>20</v>
      </c>
      <c r="X504">
        <v>4</v>
      </c>
      <c r="Y504">
        <v>4</v>
      </c>
      <c r="Z504">
        <v>0</v>
      </c>
      <c r="AA504">
        <v>18</v>
      </c>
      <c r="AB504">
        <v>2</v>
      </c>
      <c r="AC504">
        <v>4</v>
      </c>
      <c r="AD504" s="14">
        <v>14</v>
      </c>
      <c r="AE504" t="str">
        <f t="shared" si="15"/>
        <v>10+ years</v>
      </c>
      <c r="AF504" s="14">
        <v>7</v>
      </c>
      <c r="AG504" s="14">
        <v>8</v>
      </c>
      <c r="AH504" s="14">
        <v>10</v>
      </c>
    </row>
    <row r="505" spans="1:34" x14ac:dyDescent="0.3">
      <c r="A505" s="14">
        <v>34</v>
      </c>
      <c r="B505" s="17" t="s">
        <v>43</v>
      </c>
      <c r="C505" t="s">
        <v>36</v>
      </c>
      <c r="D505">
        <v>1397</v>
      </c>
      <c r="E505" s="17" t="s">
        <v>45</v>
      </c>
      <c r="F505">
        <v>1</v>
      </c>
      <c r="G505">
        <v>5</v>
      </c>
      <c r="H505" t="s">
        <v>38</v>
      </c>
      <c r="I505">
        <v>683</v>
      </c>
      <c r="J505">
        <v>2</v>
      </c>
      <c r="K505" s="17" t="s">
        <v>46</v>
      </c>
      <c r="L505">
        <v>42</v>
      </c>
      <c r="M505">
        <v>3</v>
      </c>
      <c r="N505">
        <v>1</v>
      </c>
      <c r="O505" s="17" t="s">
        <v>47</v>
      </c>
      <c r="P505" s="14">
        <v>4</v>
      </c>
      <c r="Q505" t="s">
        <v>48</v>
      </c>
      <c r="R505" s="14">
        <v>2691</v>
      </c>
      <c r="S505" s="17" t="str">
        <f t="shared" si="14"/>
        <v>low</v>
      </c>
      <c r="T505">
        <v>7660</v>
      </c>
      <c r="U505">
        <v>1</v>
      </c>
      <c r="V505" s="17" t="s">
        <v>43</v>
      </c>
      <c r="W505">
        <v>12</v>
      </c>
      <c r="X505">
        <v>3</v>
      </c>
      <c r="Y505">
        <v>4</v>
      </c>
      <c r="Z505">
        <v>1</v>
      </c>
      <c r="AA505">
        <v>10</v>
      </c>
      <c r="AB505">
        <v>4</v>
      </c>
      <c r="AC505">
        <v>2</v>
      </c>
      <c r="AD505" s="14">
        <v>10</v>
      </c>
      <c r="AE505" t="str">
        <f t="shared" si="15"/>
        <v>6-10 years</v>
      </c>
      <c r="AF505" s="14">
        <v>9</v>
      </c>
      <c r="AG505" s="14">
        <v>8</v>
      </c>
      <c r="AH505" s="14">
        <v>8</v>
      </c>
    </row>
    <row r="506" spans="1:34" x14ac:dyDescent="0.3">
      <c r="A506" s="14">
        <v>45</v>
      </c>
      <c r="B506" s="17" t="s">
        <v>35</v>
      </c>
      <c r="C506" t="s">
        <v>44</v>
      </c>
      <c r="D506">
        <v>306</v>
      </c>
      <c r="E506" s="17" t="s">
        <v>37</v>
      </c>
      <c r="F506">
        <v>26</v>
      </c>
      <c r="G506">
        <v>4</v>
      </c>
      <c r="H506" t="s">
        <v>38</v>
      </c>
      <c r="I506">
        <v>684</v>
      </c>
      <c r="J506">
        <v>1</v>
      </c>
      <c r="K506" s="17" t="s">
        <v>39</v>
      </c>
      <c r="L506">
        <v>100</v>
      </c>
      <c r="M506">
        <v>3</v>
      </c>
      <c r="N506">
        <v>2</v>
      </c>
      <c r="O506" s="17" t="s">
        <v>40</v>
      </c>
      <c r="P506" s="14">
        <v>1</v>
      </c>
      <c r="Q506" t="s">
        <v>48</v>
      </c>
      <c r="R506" s="14">
        <v>4286</v>
      </c>
      <c r="S506" s="17" t="str">
        <f t="shared" si="14"/>
        <v>medium</v>
      </c>
      <c r="T506">
        <v>5630</v>
      </c>
      <c r="U506">
        <v>2</v>
      </c>
      <c r="V506" s="17" t="s">
        <v>43</v>
      </c>
      <c r="W506">
        <v>14</v>
      </c>
      <c r="X506">
        <v>3</v>
      </c>
      <c r="Y506">
        <v>4</v>
      </c>
      <c r="Z506">
        <v>2</v>
      </c>
      <c r="AA506">
        <v>5</v>
      </c>
      <c r="AB506">
        <v>4</v>
      </c>
      <c r="AC506">
        <v>3</v>
      </c>
      <c r="AD506" s="14">
        <v>1</v>
      </c>
      <c r="AE506" t="str">
        <f t="shared" si="15"/>
        <v>0-2 years</v>
      </c>
      <c r="AF506" s="14">
        <v>1</v>
      </c>
      <c r="AG506" s="14">
        <v>0</v>
      </c>
      <c r="AH506" s="14">
        <v>0</v>
      </c>
    </row>
    <row r="507" spans="1:34" x14ac:dyDescent="0.3">
      <c r="A507" s="14">
        <v>26</v>
      </c>
      <c r="B507" s="17" t="s">
        <v>43</v>
      </c>
      <c r="C507" t="s">
        <v>36</v>
      </c>
      <c r="D507">
        <v>991</v>
      </c>
      <c r="E507" s="17" t="s">
        <v>45</v>
      </c>
      <c r="F507">
        <v>6</v>
      </c>
      <c r="G507">
        <v>3</v>
      </c>
      <c r="H507" t="s">
        <v>38</v>
      </c>
      <c r="I507">
        <v>686</v>
      </c>
      <c r="J507">
        <v>3</v>
      </c>
      <c r="K507" s="17" t="s">
        <v>39</v>
      </c>
      <c r="L507">
        <v>71</v>
      </c>
      <c r="M507">
        <v>3</v>
      </c>
      <c r="N507">
        <v>1</v>
      </c>
      <c r="O507" s="17" t="s">
        <v>50</v>
      </c>
      <c r="P507" s="14">
        <v>4</v>
      </c>
      <c r="Q507" t="s">
        <v>48</v>
      </c>
      <c r="R507" s="14">
        <v>2659</v>
      </c>
      <c r="S507" s="17" t="str">
        <f t="shared" si="14"/>
        <v>low</v>
      </c>
      <c r="T507">
        <v>17759</v>
      </c>
      <c r="U507">
        <v>1</v>
      </c>
      <c r="V507" s="17" t="s">
        <v>35</v>
      </c>
      <c r="W507">
        <v>13</v>
      </c>
      <c r="X507">
        <v>3</v>
      </c>
      <c r="Y507">
        <v>3</v>
      </c>
      <c r="Z507">
        <v>1</v>
      </c>
      <c r="AA507">
        <v>3</v>
      </c>
      <c r="AB507">
        <v>2</v>
      </c>
      <c r="AC507">
        <v>3</v>
      </c>
      <c r="AD507" s="14">
        <v>3</v>
      </c>
      <c r="AE507" t="str">
        <f t="shared" si="15"/>
        <v>3-5 years</v>
      </c>
      <c r="AF507" s="14">
        <v>2</v>
      </c>
      <c r="AG507" s="14">
        <v>0</v>
      </c>
      <c r="AH507" s="14">
        <v>2</v>
      </c>
    </row>
    <row r="508" spans="1:34" x14ac:dyDescent="0.3">
      <c r="A508" s="14">
        <v>37</v>
      </c>
      <c r="B508" s="17" t="s">
        <v>43</v>
      </c>
      <c r="C508" t="s">
        <v>36</v>
      </c>
      <c r="D508">
        <v>482</v>
      </c>
      <c r="E508" s="17" t="s">
        <v>45</v>
      </c>
      <c r="F508">
        <v>3</v>
      </c>
      <c r="G508">
        <v>3</v>
      </c>
      <c r="H508" t="s">
        <v>49</v>
      </c>
      <c r="I508">
        <v>689</v>
      </c>
      <c r="J508">
        <v>3</v>
      </c>
      <c r="K508" s="17" t="s">
        <v>46</v>
      </c>
      <c r="L508">
        <v>36</v>
      </c>
      <c r="M508">
        <v>3</v>
      </c>
      <c r="N508">
        <v>3</v>
      </c>
      <c r="O508" s="17" t="s">
        <v>53</v>
      </c>
      <c r="P508" s="14">
        <v>3</v>
      </c>
      <c r="Q508" t="s">
        <v>48</v>
      </c>
      <c r="R508" s="14">
        <v>9434</v>
      </c>
      <c r="S508" s="17" t="str">
        <f t="shared" si="14"/>
        <v>high</v>
      </c>
      <c r="T508">
        <v>9606</v>
      </c>
      <c r="U508">
        <v>1</v>
      </c>
      <c r="V508" s="17" t="s">
        <v>43</v>
      </c>
      <c r="W508">
        <v>15</v>
      </c>
      <c r="X508">
        <v>3</v>
      </c>
      <c r="Y508">
        <v>3</v>
      </c>
      <c r="Z508">
        <v>1</v>
      </c>
      <c r="AA508">
        <v>10</v>
      </c>
      <c r="AB508">
        <v>2</v>
      </c>
      <c r="AC508">
        <v>3</v>
      </c>
      <c r="AD508" s="14">
        <v>10</v>
      </c>
      <c r="AE508" t="str">
        <f t="shared" si="15"/>
        <v>6-10 years</v>
      </c>
      <c r="AF508" s="14">
        <v>7</v>
      </c>
      <c r="AG508" s="14">
        <v>7</v>
      </c>
      <c r="AH508" s="14">
        <v>8</v>
      </c>
    </row>
    <row r="509" spans="1:34" x14ac:dyDescent="0.3">
      <c r="A509" s="14">
        <v>29</v>
      </c>
      <c r="B509" s="17" t="s">
        <v>43</v>
      </c>
      <c r="C509" t="s">
        <v>36</v>
      </c>
      <c r="D509">
        <v>1176</v>
      </c>
      <c r="E509" s="17" t="s">
        <v>37</v>
      </c>
      <c r="F509">
        <v>3</v>
      </c>
      <c r="G509">
        <v>2</v>
      </c>
      <c r="H509" t="s">
        <v>51</v>
      </c>
      <c r="I509">
        <v>690</v>
      </c>
      <c r="J509">
        <v>2</v>
      </c>
      <c r="K509" s="17" t="s">
        <v>39</v>
      </c>
      <c r="L509">
        <v>62</v>
      </c>
      <c r="M509">
        <v>3</v>
      </c>
      <c r="N509">
        <v>2</v>
      </c>
      <c r="O509" s="17" t="s">
        <v>40</v>
      </c>
      <c r="P509" s="14">
        <v>3</v>
      </c>
      <c r="Q509" t="s">
        <v>48</v>
      </c>
      <c r="R509" s="14">
        <v>5561</v>
      </c>
      <c r="S509" s="17" t="str">
        <f t="shared" si="14"/>
        <v>medium</v>
      </c>
      <c r="T509">
        <v>3487</v>
      </c>
      <c r="U509">
        <v>1</v>
      </c>
      <c r="V509" s="17" t="s">
        <v>43</v>
      </c>
      <c r="W509">
        <v>14</v>
      </c>
      <c r="X509">
        <v>3</v>
      </c>
      <c r="Y509">
        <v>1</v>
      </c>
      <c r="Z509">
        <v>1</v>
      </c>
      <c r="AA509">
        <v>6</v>
      </c>
      <c r="AB509">
        <v>5</v>
      </c>
      <c r="AC509">
        <v>2</v>
      </c>
      <c r="AD509" s="14">
        <v>6</v>
      </c>
      <c r="AE509" t="str">
        <f t="shared" si="15"/>
        <v>6-10 years</v>
      </c>
      <c r="AF509" s="14">
        <v>0</v>
      </c>
      <c r="AG509" s="14">
        <v>1</v>
      </c>
      <c r="AH509" s="14">
        <v>2</v>
      </c>
    </row>
    <row r="510" spans="1:34" x14ac:dyDescent="0.3">
      <c r="A510" s="14">
        <v>35</v>
      </c>
      <c r="B510" s="17" t="s">
        <v>43</v>
      </c>
      <c r="C510" t="s">
        <v>36</v>
      </c>
      <c r="D510">
        <v>1017</v>
      </c>
      <c r="E510" s="17" t="s">
        <v>45</v>
      </c>
      <c r="F510">
        <v>6</v>
      </c>
      <c r="G510">
        <v>4</v>
      </c>
      <c r="H510" t="s">
        <v>38</v>
      </c>
      <c r="I510">
        <v>691</v>
      </c>
      <c r="J510">
        <v>2</v>
      </c>
      <c r="K510" s="17" t="s">
        <v>46</v>
      </c>
      <c r="L510">
        <v>82</v>
      </c>
      <c r="M510">
        <v>1</v>
      </c>
      <c r="N510">
        <v>2</v>
      </c>
      <c r="O510" s="17" t="s">
        <v>47</v>
      </c>
      <c r="P510" s="14">
        <v>4</v>
      </c>
      <c r="Q510" t="s">
        <v>41</v>
      </c>
      <c r="R510" s="14">
        <v>6646</v>
      </c>
      <c r="S510" s="17" t="str">
        <f t="shared" si="14"/>
        <v>medium</v>
      </c>
      <c r="T510">
        <v>19368</v>
      </c>
      <c r="U510">
        <v>1</v>
      </c>
      <c r="V510" s="17" t="s">
        <v>43</v>
      </c>
      <c r="W510">
        <v>13</v>
      </c>
      <c r="X510">
        <v>3</v>
      </c>
      <c r="Y510">
        <v>2</v>
      </c>
      <c r="Z510">
        <v>0</v>
      </c>
      <c r="AA510">
        <v>17</v>
      </c>
      <c r="AB510">
        <v>3</v>
      </c>
      <c r="AC510">
        <v>3</v>
      </c>
      <c r="AD510" s="14">
        <v>17</v>
      </c>
      <c r="AE510" t="str">
        <f t="shared" si="15"/>
        <v>10+ years</v>
      </c>
      <c r="AF510" s="14">
        <v>11</v>
      </c>
      <c r="AG510" s="14">
        <v>11</v>
      </c>
      <c r="AH510" s="14">
        <v>8</v>
      </c>
    </row>
    <row r="511" spans="1:34" x14ac:dyDescent="0.3">
      <c r="A511" s="14">
        <v>33</v>
      </c>
      <c r="B511" s="17" t="s">
        <v>43</v>
      </c>
      <c r="C511" t="s">
        <v>44</v>
      </c>
      <c r="D511">
        <v>1296</v>
      </c>
      <c r="E511" s="17" t="s">
        <v>45</v>
      </c>
      <c r="F511">
        <v>6</v>
      </c>
      <c r="G511">
        <v>3</v>
      </c>
      <c r="H511" t="s">
        <v>38</v>
      </c>
      <c r="I511">
        <v>692</v>
      </c>
      <c r="J511">
        <v>3</v>
      </c>
      <c r="K511" s="17" t="s">
        <v>46</v>
      </c>
      <c r="L511">
        <v>30</v>
      </c>
      <c r="M511">
        <v>3</v>
      </c>
      <c r="N511">
        <v>2</v>
      </c>
      <c r="O511" s="17" t="s">
        <v>54</v>
      </c>
      <c r="P511" s="14">
        <v>4</v>
      </c>
      <c r="Q511" t="s">
        <v>52</v>
      </c>
      <c r="R511" s="14">
        <v>7725</v>
      </c>
      <c r="S511" s="17" t="str">
        <f t="shared" si="14"/>
        <v>high</v>
      </c>
      <c r="T511">
        <v>5335</v>
      </c>
      <c r="U511">
        <v>3</v>
      </c>
      <c r="V511" s="17" t="s">
        <v>43</v>
      </c>
      <c r="W511">
        <v>23</v>
      </c>
      <c r="X511">
        <v>4</v>
      </c>
      <c r="Y511">
        <v>3</v>
      </c>
      <c r="Z511">
        <v>1</v>
      </c>
      <c r="AA511">
        <v>15</v>
      </c>
      <c r="AB511">
        <v>2</v>
      </c>
      <c r="AC511">
        <v>1</v>
      </c>
      <c r="AD511" s="14">
        <v>13</v>
      </c>
      <c r="AE511" t="str">
        <f t="shared" si="15"/>
        <v>10+ years</v>
      </c>
      <c r="AF511" s="14">
        <v>11</v>
      </c>
      <c r="AG511" s="14">
        <v>4</v>
      </c>
      <c r="AH511" s="14">
        <v>7</v>
      </c>
    </row>
    <row r="512" spans="1:34" x14ac:dyDescent="0.3">
      <c r="A512" s="14">
        <v>54</v>
      </c>
      <c r="B512" s="17" t="s">
        <v>43</v>
      </c>
      <c r="C512" t="s">
        <v>36</v>
      </c>
      <c r="D512">
        <v>397</v>
      </c>
      <c r="E512" s="17" t="s">
        <v>61</v>
      </c>
      <c r="F512">
        <v>19</v>
      </c>
      <c r="G512">
        <v>4</v>
      </c>
      <c r="H512" t="s">
        <v>51</v>
      </c>
      <c r="I512">
        <v>698</v>
      </c>
      <c r="J512">
        <v>3</v>
      </c>
      <c r="K512" s="17" t="s">
        <v>46</v>
      </c>
      <c r="L512">
        <v>88</v>
      </c>
      <c r="M512">
        <v>3</v>
      </c>
      <c r="N512">
        <v>3</v>
      </c>
      <c r="O512" s="17" t="s">
        <v>61</v>
      </c>
      <c r="P512" s="14">
        <v>2</v>
      </c>
      <c r="Q512" t="s">
        <v>48</v>
      </c>
      <c r="R512" s="14">
        <v>10725</v>
      </c>
      <c r="S512" s="17" t="str">
        <f t="shared" si="14"/>
        <v>high</v>
      </c>
      <c r="T512">
        <v>6729</v>
      </c>
      <c r="U512">
        <v>2</v>
      </c>
      <c r="V512" s="17" t="s">
        <v>43</v>
      </c>
      <c r="W512">
        <v>15</v>
      </c>
      <c r="X512">
        <v>3</v>
      </c>
      <c r="Y512">
        <v>3</v>
      </c>
      <c r="Z512">
        <v>1</v>
      </c>
      <c r="AA512">
        <v>16</v>
      </c>
      <c r="AB512">
        <v>1</v>
      </c>
      <c r="AC512">
        <v>4</v>
      </c>
      <c r="AD512" s="14">
        <v>9</v>
      </c>
      <c r="AE512" t="str">
        <f t="shared" si="15"/>
        <v>6-10 years</v>
      </c>
      <c r="AF512" s="14">
        <v>7</v>
      </c>
      <c r="AG512" s="14">
        <v>7</v>
      </c>
      <c r="AH512" s="14">
        <v>1</v>
      </c>
    </row>
    <row r="513" spans="1:34" x14ac:dyDescent="0.3">
      <c r="A513" s="14">
        <v>36</v>
      </c>
      <c r="B513" s="17" t="s">
        <v>43</v>
      </c>
      <c r="C513" t="s">
        <v>36</v>
      </c>
      <c r="D513">
        <v>913</v>
      </c>
      <c r="E513" s="17" t="s">
        <v>45</v>
      </c>
      <c r="F513">
        <v>9</v>
      </c>
      <c r="G513">
        <v>2</v>
      </c>
      <c r="H513" t="s">
        <v>51</v>
      </c>
      <c r="I513">
        <v>699</v>
      </c>
      <c r="J513">
        <v>2</v>
      </c>
      <c r="K513" s="17" t="s">
        <v>46</v>
      </c>
      <c r="L513">
        <v>48</v>
      </c>
      <c r="M513">
        <v>2</v>
      </c>
      <c r="N513">
        <v>2</v>
      </c>
      <c r="O513" s="17" t="s">
        <v>53</v>
      </c>
      <c r="P513" s="14">
        <v>2</v>
      </c>
      <c r="Q513" t="s">
        <v>52</v>
      </c>
      <c r="R513" s="14">
        <v>8847</v>
      </c>
      <c r="S513" s="17" t="str">
        <f t="shared" si="14"/>
        <v>high</v>
      </c>
      <c r="T513">
        <v>13934</v>
      </c>
      <c r="U513">
        <v>2</v>
      </c>
      <c r="V513" s="17" t="s">
        <v>35</v>
      </c>
      <c r="W513">
        <v>11</v>
      </c>
      <c r="X513">
        <v>3</v>
      </c>
      <c r="Y513">
        <v>3</v>
      </c>
      <c r="Z513">
        <v>1</v>
      </c>
      <c r="AA513">
        <v>13</v>
      </c>
      <c r="AB513">
        <v>2</v>
      </c>
      <c r="AC513">
        <v>3</v>
      </c>
      <c r="AD513" s="14">
        <v>3</v>
      </c>
      <c r="AE513" t="str">
        <f t="shared" si="15"/>
        <v>3-5 years</v>
      </c>
      <c r="AF513" s="14">
        <v>2</v>
      </c>
      <c r="AG513" s="14">
        <v>0</v>
      </c>
      <c r="AH513" s="14">
        <v>2</v>
      </c>
    </row>
    <row r="514" spans="1:34" x14ac:dyDescent="0.3">
      <c r="A514" s="14">
        <v>27</v>
      </c>
      <c r="B514" s="17" t="s">
        <v>43</v>
      </c>
      <c r="C514" t="s">
        <v>36</v>
      </c>
      <c r="D514">
        <v>1115</v>
      </c>
      <c r="E514" s="17" t="s">
        <v>45</v>
      </c>
      <c r="F514">
        <v>3</v>
      </c>
      <c r="G514">
        <v>4</v>
      </c>
      <c r="H514" t="s">
        <v>51</v>
      </c>
      <c r="I514">
        <v>700</v>
      </c>
      <c r="J514">
        <v>1</v>
      </c>
      <c r="K514" s="17" t="s">
        <v>46</v>
      </c>
      <c r="L514">
        <v>54</v>
      </c>
      <c r="M514">
        <v>2</v>
      </c>
      <c r="N514">
        <v>1</v>
      </c>
      <c r="O514" s="17" t="s">
        <v>47</v>
      </c>
      <c r="P514" s="14">
        <v>4</v>
      </c>
      <c r="Q514" t="s">
        <v>41</v>
      </c>
      <c r="R514" s="14">
        <v>2045</v>
      </c>
      <c r="S514" s="17" t="str">
        <f t="shared" ref="S514:S577" si="16">IF(R514&lt;=3000, "low",IF(R514&lt;=7000,"medium","high"))</f>
        <v>low</v>
      </c>
      <c r="T514">
        <v>15174</v>
      </c>
      <c r="U514">
        <v>0</v>
      </c>
      <c r="V514" s="17" t="s">
        <v>43</v>
      </c>
      <c r="W514">
        <v>13</v>
      </c>
      <c r="X514">
        <v>3</v>
      </c>
      <c r="Y514">
        <v>4</v>
      </c>
      <c r="Z514">
        <v>0</v>
      </c>
      <c r="AA514">
        <v>5</v>
      </c>
      <c r="AB514">
        <v>0</v>
      </c>
      <c r="AC514">
        <v>3</v>
      </c>
      <c r="AD514" s="14">
        <v>4</v>
      </c>
      <c r="AE514" t="str">
        <f t="shared" ref="AE514:AE577" si="17">IF(AD514&lt;=2,"0-2 years", IF(AD514&lt;=5,"3-5 years", IF(AD514&lt;=10,"6-10 years","10+ years")))</f>
        <v>3-5 years</v>
      </c>
      <c r="AF514" s="14">
        <v>2</v>
      </c>
      <c r="AG514" s="14">
        <v>1</v>
      </c>
      <c r="AH514" s="14">
        <v>1</v>
      </c>
    </row>
    <row r="515" spans="1:34" x14ac:dyDescent="0.3">
      <c r="A515" s="14">
        <v>20</v>
      </c>
      <c r="B515" s="17" t="s">
        <v>35</v>
      </c>
      <c r="C515" t="s">
        <v>36</v>
      </c>
      <c r="D515">
        <v>1362</v>
      </c>
      <c r="E515" s="17" t="s">
        <v>45</v>
      </c>
      <c r="F515">
        <v>10</v>
      </c>
      <c r="G515">
        <v>1</v>
      </c>
      <c r="H515" t="s">
        <v>51</v>
      </c>
      <c r="I515">
        <v>701</v>
      </c>
      <c r="J515">
        <v>4</v>
      </c>
      <c r="K515" s="17" t="s">
        <v>46</v>
      </c>
      <c r="L515">
        <v>32</v>
      </c>
      <c r="M515">
        <v>3</v>
      </c>
      <c r="N515">
        <v>1</v>
      </c>
      <c r="O515" s="17" t="s">
        <v>47</v>
      </c>
      <c r="P515" s="14">
        <v>3</v>
      </c>
      <c r="Q515" t="s">
        <v>41</v>
      </c>
      <c r="R515" s="14">
        <v>1009</v>
      </c>
      <c r="S515" s="17" t="str">
        <f t="shared" si="16"/>
        <v>low</v>
      </c>
      <c r="T515">
        <v>26999</v>
      </c>
      <c r="U515">
        <v>1</v>
      </c>
      <c r="V515" s="17" t="s">
        <v>35</v>
      </c>
      <c r="W515">
        <v>11</v>
      </c>
      <c r="X515">
        <v>3</v>
      </c>
      <c r="Y515">
        <v>4</v>
      </c>
      <c r="Z515">
        <v>0</v>
      </c>
      <c r="AA515">
        <v>1</v>
      </c>
      <c r="AB515">
        <v>5</v>
      </c>
      <c r="AC515">
        <v>3</v>
      </c>
      <c r="AD515" s="14">
        <v>1</v>
      </c>
      <c r="AE515" t="str">
        <f t="shared" si="17"/>
        <v>0-2 years</v>
      </c>
      <c r="AF515" s="14">
        <v>0</v>
      </c>
      <c r="AG515" s="14">
        <v>1</v>
      </c>
      <c r="AH515" s="14">
        <v>1</v>
      </c>
    </row>
    <row r="516" spans="1:34" x14ac:dyDescent="0.3">
      <c r="A516" s="14">
        <v>33</v>
      </c>
      <c r="B516" s="17" t="s">
        <v>35</v>
      </c>
      <c r="C516" t="s">
        <v>44</v>
      </c>
      <c r="D516">
        <v>1076</v>
      </c>
      <c r="E516" s="17" t="s">
        <v>45</v>
      </c>
      <c r="F516">
        <v>3</v>
      </c>
      <c r="G516">
        <v>3</v>
      </c>
      <c r="H516" t="s">
        <v>38</v>
      </c>
      <c r="I516">
        <v>702</v>
      </c>
      <c r="J516">
        <v>1</v>
      </c>
      <c r="K516" s="17" t="s">
        <v>46</v>
      </c>
      <c r="L516">
        <v>70</v>
      </c>
      <c r="M516">
        <v>3</v>
      </c>
      <c r="N516">
        <v>1</v>
      </c>
      <c r="O516" s="17" t="s">
        <v>47</v>
      </c>
      <c r="P516" s="14">
        <v>1</v>
      </c>
      <c r="Q516" t="s">
        <v>41</v>
      </c>
      <c r="R516" s="14">
        <v>3348</v>
      </c>
      <c r="S516" s="17" t="str">
        <f t="shared" si="16"/>
        <v>medium</v>
      </c>
      <c r="T516">
        <v>3164</v>
      </c>
      <c r="U516">
        <v>1</v>
      </c>
      <c r="V516" s="17" t="s">
        <v>35</v>
      </c>
      <c r="W516">
        <v>11</v>
      </c>
      <c r="X516">
        <v>3</v>
      </c>
      <c r="Y516">
        <v>1</v>
      </c>
      <c r="Z516">
        <v>0</v>
      </c>
      <c r="AA516">
        <v>10</v>
      </c>
      <c r="AB516">
        <v>3</v>
      </c>
      <c r="AC516">
        <v>3</v>
      </c>
      <c r="AD516" s="14">
        <v>10</v>
      </c>
      <c r="AE516" t="str">
        <f t="shared" si="17"/>
        <v>6-10 years</v>
      </c>
      <c r="AF516" s="14">
        <v>8</v>
      </c>
      <c r="AG516" s="14">
        <v>9</v>
      </c>
      <c r="AH516" s="14">
        <v>7</v>
      </c>
    </row>
    <row r="517" spans="1:34" x14ac:dyDescent="0.3">
      <c r="A517" s="14">
        <v>35</v>
      </c>
      <c r="B517" s="17" t="s">
        <v>43</v>
      </c>
      <c r="C517" t="s">
        <v>55</v>
      </c>
      <c r="D517">
        <v>727</v>
      </c>
      <c r="E517" s="17" t="s">
        <v>45</v>
      </c>
      <c r="F517">
        <v>3</v>
      </c>
      <c r="G517">
        <v>3</v>
      </c>
      <c r="H517" t="s">
        <v>38</v>
      </c>
      <c r="I517">
        <v>704</v>
      </c>
      <c r="J517">
        <v>3</v>
      </c>
      <c r="K517" s="17" t="s">
        <v>46</v>
      </c>
      <c r="L517">
        <v>41</v>
      </c>
      <c r="M517">
        <v>2</v>
      </c>
      <c r="N517">
        <v>1</v>
      </c>
      <c r="O517" s="17" t="s">
        <v>50</v>
      </c>
      <c r="P517" s="14">
        <v>3</v>
      </c>
      <c r="Q517" t="s">
        <v>48</v>
      </c>
      <c r="R517" s="14">
        <v>1281</v>
      </c>
      <c r="S517" s="17" t="str">
        <f t="shared" si="16"/>
        <v>low</v>
      </c>
      <c r="T517">
        <v>16900</v>
      </c>
      <c r="U517">
        <v>1</v>
      </c>
      <c r="V517" s="17" t="s">
        <v>43</v>
      </c>
      <c r="W517">
        <v>18</v>
      </c>
      <c r="X517">
        <v>3</v>
      </c>
      <c r="Y517">
        <v>3</v>
      </c>
      <c r="Z517">
        <v>2</v>
      </c>
      <c r="AA517">
        <v>1</v>
      </c>
      <c r="AB517">
        <v>3</v>
      </c>
      <c r="AC517">
        <v>3</v>
      </c>
      <c r="AD517" s="14">
        <v>1</v>
      </c>
      <c r="AE517" t="str">
        <f t="shared" si="17"/>
        <v>0-2 years</v>
      </c>
      <c r="AF517" s="14">
        <v>0</v>
      </c>
      <c r="AG517" s="14">
        <v>0</v>
      </c>
      <c r="AH517" s="14">
        <v>0</v>
      </c>
    </row>
    <row r="518" spans="1:34" x14ac:dyDescent="0.3">
      <c r="A518" s="14">
        <v>23</v>
      </c>
      <c r="B518" s="17" t="s">
        <v>43</v>
      </c>
      <c r="C518" t="s">
        <v>36</v>
      </c>
      <c r="D518">
        <v>885</v>
      </c>
      <c r="E518" s="17" t="s">
        <v>45</v>
      </c>
      <c r="F518">
        <v>4</v>
      </c>
      <c r="G518">
        <v>3</v>
      </c>
      <c r="H518" t="s">
        <v>51</v>
      </c>
      <c r="I518">
        <v>705</v>
      </c>
      <c r="J518">
        <v>1</v>
      </c>
      <c r="K518" s="17" t="s">
        <v>46</v>
      </c>
      <c r="L518">
        <v>58</v>
      </c>
      <c r="M518">
        <v>4</v>
      </c>
      <c r="N518">
        <v>1</v>
      </c>
      <c r="O518" s="17" t="s">
        <v>47</v>
      </c>
      <c r="P518" s="14">
        <v>1</v>
      </c>
      <c r="Q518" t="s">
        <v>48</v>
      </c>
      <c r="R518" s="14">
        <v>2819</v>
      </c>
      <c r="S518" s="17" t="str">
        <f t="shared" si="16"/>
        <v>low</v>
      </c>
      <c r="T518">
        <v>8544</v>
      </c>
      <c r="U518">
        <v>2</v>
      </c>
      <c r="V518" s="17" t="s">
        <v>43</v>
      </c>
      <c r="W518">
        <v>16</v>
      </c>
      <c r="X518">
        <v>3</v>
      </c>
      <c r="Y518">
        <v>1</v>
      </c>
      <c r="Z518">
        <v>1</v>
      </c>
      <c r="AA518">
        <v>5</v>
      </c>
      <c r="AB518">
        <v>3</v>
      </c>
      <c r="AC518">
        <v>4</v>
      </c>
      <c r="AD518" s="14">
        <v>3</v>
      </c>
      <c r="AE518" t="str">
        <f t="shared" si="17"/>
        <v>3-5 years</v>
      </c>
      <c r="AF518" s="14">
        <v>2</v>
      </c>
      <c r="AG518" s="14">
        <v>0</v>
      </c>
      <c r="AH518" s="14">
        <v>2</v>
      </c>
    </row>
    <row r="519" spans="1:34" x14ac:dyDescent="0.3">
      <c r="A519" s="14">
        <v>25</v>
      </c>
      <c r="B519" s="17" t="s">
        <v>43</v>
      </c>
      <c r="C519" t="s">
        <v>36</v>
      </c>
      <c r="D519">
        <v>810</v>
      </c>
      <c r="E519" s="17" t="s">
        <v>37</v>
      </c>
      <c r="F519">
        <v>8</v>
      </c>
      <c r="G519">
        <v>3</v>
      </c>
      <c r="H519" t="s">
        <v>38</v>
      </c>
      <c r="I519">
        <v>707</v>
      </c>
      <c r="J519">
        <v>4</v>
      </c>
      <c r="K519" s="17" t="s">
        <v>46</v>
      </c>
      <c r="L519">
        <v>57</v>
      </c>
      <c r="M519">
        <v>4</v>
      </c>
      <c r="N519">
        <v>2</v>
      </c>
      <c r="O519" s="17" t="s">
        <v>40</v>
      </c>
      <c r="P519" s="14">
        <v>2</v>
      </c>
      <c r="Q519" t="s">
        <v>48</v>
      </c>
      <c r="R519" s="14">
        <v>4851</v>
      </c>
      <c r="S519" s="17" t="str">
        <f t="shared" si="16"/>
        <v>medium</v>
      </c>
      <c r="T519">
        <v>15678</v>
      </c>
      <c r="U519">
        <v>0</v>
      </c>
      <c r="V519" s="17" t="s">
        <v>43</v>
      </c>
      <c r="W519">
        <v>22</v>
      </c>
      <c r="X519">
        <v>4</v>
      </c>
      <c r="Y519">
        <v>3</v>
      </c>
      <c r="Z519">
        <v>1</v>
      </c>
      <c r="AA519">
        <v>4</v>
      </c>
      <c r="AB519">
        <v>4</v>
      </c>
      <c r="AC519">
        <v>3</v>
      </c>
      <c r="AD519" s="14">
        <v>3</v>
      </c>
      <c r="AE519" t="str">
        <f t="shared" si="17"/>
        <v>3-5 years</v>
      </c>
      <c r="AF519" s="14">
        <v>2</v>
      </c>
      <c r="AG519" s="14">
        <v>1</v>
      </c>
      <c r="AH519" s="14">
        <v>2</v>
      </c>
    </row>
    <row r="520" spans="1:34" x14ac:dyDescent="0.3">
      <c r="A520" s="14">
        <v>38</v>
      </c>
      <c r="B520" s="17" t="s">
        <v>43</v>
      </c>
      <c r="C520" t="s">
        <v>36</v>
      </c>
      <c r="D520">
        <v>243</v>
      </c>
      <c r="E520" s="17" t="s">
        <v>37</v>
      </c>
      <c r="F520">
        <v>7</v>
      </c>
      <c r="G520">
        <v>4</v>
      </c>
      <c r="H520" t="s">
        <v>59</v>
      </c>
      <c r="I520">
        <v>709</v>
      </c>
      <c r="J520">
        <v>4</v>
      </c>
      <c r="K520" s="17" t="s">
        <v>39</v>
      </c>
      <c r="L520">
        <v>46</v>
      </c>
      <c r="M520">
        <v>2</v>
      </c>
      <c r="N520">
        <v>2</v>
      </c>
      <c r="O520" s="17" t="s">
        <v>40</v>
      </c>
      <c r="P520" s="14">
        <v>4</v>
      </c>
      <c r="Q520" t="s">
        <v>41</v>
      </c>
      <c r="R520" s="14">
        <v>4028</v>
      </c>
      <c r="S520" s="17" t="str">
        <f t="shared" si="16"/>
        <v>medium</v>
      </c>
      <c r="T520">
        <v>7791</v>
      </c>
      <c r="U520">
        <v>0</v>
      </c>
      <c r="V520" s="17" t="s">
        <v>43</v>
      </c>
      <c r="W520">
        <v>20</v>
      </c>
      <c r="X520">
        <v>4</v>
      </c>
      <c r="Y520">
        <v>1</v>
      </c>
      <c r="Z520">
        <v>0</v>
      </c>
      <c r="AA520">
        <v>8</v>
      </c>
      <c r="AB520">
        <v>2</v>
      </c>
      <c r="AC520">
        <v>3</v>
      </c>
      <c r="AD520" s="14">
        <v>7</v>
      </c>
      <c r="AE520" t="str">
        <f t="shared" si="17"/>
        <v>6-10 years</v>
      </c>
      <c r="AF520" s="14">
        <v>7</v>
      </c>
      <c r="AG520" s="14">
        <v>0</v>
      </c>
      <c r="AH520" s="14">
        <v>5</v>
      </c>
    </row>
    <row r="521" spans="1:34" x14ac:dyDescent="0.3">
      <c r="A521" s="14">
        <v>29</v>
      </c>
      <c r="B521" s="17" t="s">
        <v>43</v>
      </c>
      <c r="C521" t="s">
        <v>44</v>
      </c>
      <c r="D521">
        <v>806</v>
      </c>
      <c r="E521" s="17" t="s">
        <v>45</v>
      </c>
      <c r="F521">
        <v>1</v>
      </c>
      <c r="G521">
        <v>4</v>
      </c>
      <c r="H521" t="s">
        <v>38</v>
      </c>
      <c r="I521">
        <v>710</v>
      </c>
      <c r="J521">
        <v>2</v>
      </c>
      <c r="K521" s="17" t="s">
        <v>46</v>
      </c>
      <c r="L521">
        <v>76</v>
      </c>
      <c r="M521">
        <v>1</v>
      </c>
      <c r="N521">
        <v>1</v>
      </c>
      <c r="O521" s="17" t="s">
        <v>47</v>
      </c>
      <c r="P521" s="14">
        <v>4</v>
      </c>
      <c r="Q521" t="s">
        <v>52</v>
      </c>
      <c r="R521" s="14">
        <v>2720</v>
      </c>
      <c r="S521" s="17" t="str">
        <f t="shared" si="16"/>
        <v>low</v>
      </c>
      <c r="T521">
        <v>18959</v>
      </c>
      <c r="U521">
        <v>1</v>
      </c>
      <c r="V521" s="17" t="s">
        <v>43</v>
      </c>
      <c r="W521">
        <v>18</v>
      </c>
      <c r="X521">
        <v>3</v>
      </c>
      <c r="Y521">
        <v>4</v>
      </c>
      <c r="Z521">
        <v>1</v>
      </c>
      <c r="AA521">
        <v>10</v>
      </c>
      <c r="AB521">
        <v>5</v>
      </c>
      <c r="AC521">
        <v>3</v>
      </c>
      <c r="AD521" s="14">
        <v>10</v>
      </c>
      <c r="AE521" t="str">
        <f t="shared" si="17"/>
        <v>6-10 years</v>
      </c>
      <c r="AF521" s="14">
        <v>7</v>
      </c>
      <c r="AG521" s="14">
        <v>2</v>
      </c>
      <c r="AH521" s="14">
        <v>8</v>
      </c>
    </row>
    <row r="522" spans="1:34" x14ac:dyDescent="0.3">
      <c r="A522" s="14">
        <v>48</v>
      </c>
      <c r="B522" s="17" t="s">
        <v>43</v>
      </c>
      <c r="C522" t="s">
        <v>36</v>
      </c>
      <c r="D522">
        <v>817</v>
      </c>
      <c r="E522" s="17" t="s">
        <v>37</v>
      </c>
      <c r="F522">
        <v>2</v>
      </c>
      <c r="G522">
        <v>1</v>
      </c>
      <c r="H522" t="s">
        <v>59</v>
      </c>
      <c r="I522">
        <v>712</v>
      </c>
      <c r="J522">
        <v>2</v>
      </c>
      <c r="K522" s="17" t="s">
        <v>46</v>
      </c>
      <c r="L522">
        <v>56</v>
      </c>
      <c r="M522">
        <v>4</v>
      </c>
      <c r="N522">
        <v>2</v>
      </c>
      <c r="O522" s="17" t="s">
        <v>40</v>
      </c>
      <c r="P522" s="14">
        <v>2</v>
      </c>
      <c r="Q522" t="s">
        <v>48</v>
      </c>
      <c r="R522" s="14">
        <v>8120</v>
      </c>
      <c r="S522" s="17" t="str">
        <f t="shared" si="16"/>
        <v>high</v>
      </c>
      <c r="T522">
        <v>18597</v>
      </c>
      <c r="U522">
        <v>3</v>
      </c>
      <c r="V522" s="17" t="s">
        <v>43</v>
      </c>
      <c r="W522">
        <v>12</v>
      </c>
      <c r="X522">
        <v>3</v>
      </c>
      <c r="Y522">
        <v>4</v>
      </c>
      <c r="Z522">
        <v>0</v>
      </c>
      <c r="AA522">
        <v>12</v>
      </c>
      <c r="AB522">
        <v>3</v>
      </c>
      <c r="AC522">
        <v>3</v>
      </c>
      <c r="AD522" s="14">
        <v>2</v>
      </c>
      <c r="AE522" t="str">
        <f t="shared" si="17"/>
        <v>0-2 years</v>
      </c>
      <c r="AF522" s="14">
        <v>2</v>
      </c>
      <c r="AG522" s="14">
        <v>2</v>
      </c>
      <c r="AH522" s="14">
        <v>2</v>
      </c>
    </row>
    <row r="523" spans="1:34" x14ac:dyDescent="0.3">
      <c r="A523" s="14">
        <v>27</v>
      </c>
      <c r="B523" s="17" t="s">
        <v>43</v>
      </c>
      <c r="C523" t="s">
        <v>44</v>
      </c>
      <c r="D523">
        <v>1410</v>
      </c>
      <c r="E523" s="17" t="s">
        <v>37</v>
      </c>
      <c r="F523">
        <v>3</v>
      </c>
      <c r="G523">
        <v>1</v>
      </c>
      <c r="H523" t="s">
        <v>51</v>
      </c>
      <c r="I523">
        <v>714</v>
      </c>
      <c r="J523">
        <v>4</v>
      </c>
      <c r="K523" s="17" t="s">
        <v>39</v>
      </c>
      <c r="L523">
        <v>71</v>
      </c>
      <c r="M523">
        <v>4</v>
      </c>
      <c r="N523">
        <v>2</v>
      </c>
      <c r="O523" s="17" t="s">
        <v>40</v>
      </c>
      <c r="P523" s="14">
        <v>4</v>
      </c>
      <c r="Q523" t="s">
        <v>52</v>
      </c>
      <c r="R523" s="14">
        <v>4647</v>
      </c>
      <c r="S523" s="17" t="str">
        <f t="shared" si="16"/>
        <v>medium</v>
      </c>
      <c r="T523">
        <v>16673</v>
      </c>
      <c r="U523">
        <v>1</v>
      </c>
      <c r="V523" s="17" t="s">
        <v>35</v>
      </c>
      <c r="W523">
        <v>20</v>
      </c>
      <c r="X523">
        <v>4</v>
      </c>
      <c r="Y523">
        <v>2</v>
      </c>
      <c r="Z523">
        <v>2</v>
      </c>
      <c r="AA523">
        <v>6</v>
      </c>
      <c r="AB523">
        <v>3</v>
      </c>
      <c r="AC523">
        <v>3</v>
      </c>
      <c r="AD523" s="14">
        <v>6</v>
      </c>
      <c r="AE523" t="str">
        <f t="shared" si="17"/>
        <v>6-10 years</v>
      </c>
      <c r="AF523" s="14">
        <v>5</v>
      </c>
      <c r="AG523" s="14">
        <v>0</v>
      </c>
      <c r="AH523" s="14">
        <v>4</v>
      </c>
    </row>
    <row r="524" spans="1:34" x14ac:dyDescent="0.3">
      <c r="A524" s="14">
        <v>37</v>
      </c>
      <c r="B524" s="17" t="s">
        <v>43</v>
      </c>
      <c r="C524" t="s">
        <v>36</v>
      </c>
      <c r="D524">
        <v>1225</v>
      </c>
      <c r="E524" s="17" t="s">
        <v>45</v>
      </c>
      <c r="F524">
        <v>10</v>
      </c>
      <c r="G524">
        <v>2</v>
      </c>
      <c r="H524" t="s">
        <v>38</v>
      </c>
      <c r="I524">
        <v>715</v>
      </c>
      <c r="J524">
        <v>4</v>
      </c>
      <c r="K524" s="17" t="s">
        <v>46</v>
      </c>
      <c r="L524">
        <v>80</v>
      </c>
      <c r="M524">
        <v>4</v>
      </c>
      <c r="N524">
        <v>1</v>
      </c>
      <c r="O524" s="17" t="s">
        <v>47</v>
      </c>
      <c r="P524" s="14">
        <v>4</v>
      </c>
      <c r="Q524" t="s">
        <v>41</v>
      </c>
      <c r="R524" s="14">
        <v>4680</v>
      </c>
      <c r="S524" s="17" t="str">
        <f t="shared" si="16"/>
        <v>medium</v>
      </c>
      <c r="T524">
        <v>15232</v>
      </c>
      <c r="U524">
        <v>3</v>
      </c>
      <c r="V524" s="17" t="s">
        <v>43</v>
      </c>
      <c r="W524">
        <v>17</v>
      </c>
      <c r="X524">
        <v>3</v>
      </c>
      <c r="Y524">
        <v>1</v>
      </c>
      <c r="Z524">
        <v>0</v>
      </c>
      <c r="AA524">
        <v>4</v>
      </c>
      <c r="AB524">
        <v>2</v>
      </c>
      <c r="AC524">
        <v>3</v>
      </c>
      <c r="AD524" s="14">
        <v>1</v>
      </c>
      <c r="AE524" t="str">
        <f t="shared" si="17"/>
        <v>0-2 years</v>
      </c>
      <c r="AF524" s="14">
        <v>0</v>
      </c>
      <c r="AG524" s="14">
        <v>0</v>
      </c>
      <c r="AH524" s="14">
        <v>0</v>
      </c>
    </row>
    <row r="525" spans="1:34" x14ac:dyDescent="0.3">
      <c r="A525" s="14">
        <v>50</v>
      </c>
      <c r="B525" s="17" t="s">
        <v>43</v>
      </c>
      <c r="C525" t="s">
        <v>36</v>
      </c>
      <c r="D525">
        <v>1207</v>
      </c>
      <c r="E525" s="17" t="s">
        <v>45</v>
      </c>
      <c r="F525">
        <v>28</v>
      </c>
      <c r="G525">
        <v>1</v>
      </c>
      <c r="H525" t="s">
        <v>51</v>
      </c>
      <c r="I525">
        <v>716</v>
      </c>
      <c r="J525">
        <v>4</v>
      </c>
      <c r="K525" s="17" t="s">
        <v>46</v>
      </c>
      <c r="L525">
        <v>74</v>
      </c>
      <c r="M525">
        <v>4</v>
      </c>
      <c r="N525">
        <v>1</v>
      </c>
      <c r="O525" s="17" t="s">
        <v>50</v>
      </c>
      <c r="P525" s="14">
        <v>3</v>
      </c>
      <c r="Q525" t="s">
        <v>48</v>
      </c>
      <c r="R525" s="14">
        <v>3221</v>
      </c>
      <c r="S525" s="17" t="str">
        <f t="shared" si="16"/>
        <v>medium</v>
      </c>
      <c r="T525">
        <v>3297</v>
      </c>
      <c r="U525">
        <v>1</v>
      </c>
      <c r="V525" s="17" t="s">
        <v>35</v>
      </c>
      <c r="W525">
        <v>11</v>
      </c>
      <c r="X525">
        <v>3</v>
      </c>
      <c r="Y525">
        <v>3</v>
      </c>
      <c r="Z525">
        <v>3</v>
      </c>
      <c r="AA525">
        <v>20</v>
      </c>
      <c r="AB525">
        <v>3</v>
      </c>
      <c r="AC525">
        <v>3</v>
      </c>
      <c r="AD525" s="14">
        <v>20</v>
      </c>
      <c r="AE525" t="str">
        <f t="shared" si="17"/>
        <v>10+ years</v>
      </c>
      <c r="AF525" s="14">
        <v>8</v>
      </c>
      <c r="AG525" s="14">
        <v>3</v>
      </c>
      <c r="AH525" s="14">
        <v>8</v>
      </c>
    </row>
    <row r="526" spans="1:34" x14ac:dyDescent="0.3">
      <c r="A526" s="14">
        <v>34</v>
      </c>
      <c r="B526" s="17" t="s">
        <v>43</v>
      </c>
      <c r="C526" t="s">
        <v>36</v>
      </c>
      <c r="D526">
        <v>1442</v>
      </c>
      <c r="E526" s="17" t="s">
        <v>45</v>
      </c>
      <c r="F526">
        <v>9</v>
      </c>
      <c r="G526">
        <v>3</v>
      </c>
      <c r="H526" t="s">
        <v>51</v>
      </c>
      <c r="I526">
        <v>717</v>
      </c>
      <c r="J526">
        <v>4</v>
      </c>
      <c r="K526" s="17" t="s">
        <v>39</v>
      </c>
      <c r="L526">
        <v>46</v>
      </c>
      <c r="M526">
        <v>2</v>
      </c>
      <c r="N526">
        <v>3</v>
      </c>
      <c r="O526" s="17" t="s">
        <v>54</v>
      </c>
      <c r="P526" s="14">
        <v>2</v>
      </c>
      <c r="Q526" t="s">
        <v>41</v>
      </c>
      <c r="R526" s="14">
        <v>8621</v>
      </c>
      <c r="S526" s="17" t="str">
        <f t="shared" si="16"/>
        <v>high</v>
      </c>
      <c r="T526">
        <v>17654</v>
      </c>
      <c r="U526">
        <v>1</v>
      </c>
      <c r="V526" s="17" t="s">
        <v>43</v>
      </c>
      <c r="W526">
        <v>14</v>
      </c>
      <c r="X526">
        <v>3</v>
      </c>
      <c r="Y526">
        <v>2</v>
      </c>
      <c r="Z526">
        <v>0</v>
      </c>
      <c r="AA526">
        <v>9</v>
      </c>
      <c r="AB526">
        <v>3</v>
      </c>
      <c r="AC526">
        <v>4</v>
      </c>
      <c r="AD526" s="14">
        <v>8</v>
      </c>
      <c r="AE526" t="str">
        <f t="shared" si="17"/>
        <v>6-10 years</v>
      </c>
      <c r="AF526" s="14">
        <v>7</v>
      </c>
      <c r="AG526" s="14">
        <v>7</v>
      </c>
      <c r="AH526" s="14">
        <v>7</v>
      </c>
    </row>
    <row r="527" spans="1:34" x14ac:dyDescent="0.3">
      <c r="A527" s="14">
        <v>24</v>
      </c>
      <c r="B527" s="17" t="s">
        <v>35</v>
      </c>
      <c r="C527" t="s">
        <v>36</v>
      </c>
      <c r="D527">
        <v>693</v>
      </c>
      <c r="E527" s="17" t="s">
        <v>37</v>
      </c>
      <c r="F527">
        <v>3</v>
      </c>
      <c r="G527">
        <v>2</v>
      </c>
      <c r="H527" t="s">
        <v>38</v>
      </c>
      <c r="I527">
        <v>720</v>
      </c>
      <c r="J527">
        <v>1</v>
      </c>
      <c r="K527" s="17" t="s">
        <v>39</v>
      </c>
      <c r="L527">
        <v>65</v>
      </c>
      <c r="M527">
        <v>3</v>
      </c>
      <c r="N527">
        <v>2</v>
      </c>
      <c r="O527" s="17" t="s">
        <v>40</v>
      </c>
      <c r="P527" s="14">
        <v>3</v>
      </c>
      <c r="Q527" t="s">
        <v>41</v>
      </c>
      <c r="R527" s="14">
        <v>4577</v>
      </c>
      <c r="S527" s="17" t="str">
        <f t="shared" si="16"/>
        <v>medium</v>
      </c>
      <c r="T527">
        <v>24785</v>
      </c>
      <c r="U527">
        <v>9</v>
      </c>
      <c r="V527" s="17" t="s">
        <v>43</v>
      </c>
      <c r="W527">
        <v>14</v>
      </c>
      <c r="X527">
        <v>3</v>
      </c>
      <c r="Y527">
        <v>1</v>
      </c>
      <c r="Z527">
        <v>0</v>
      </c>
      <c r="AA527">
        <v>4</v>
      </c>
      <c r="AB527">
        <v>3</v>
      </c>
      <c r="AC527">
        <v>3</v>
      </c>
      <c r="AD527" s="14">
        <v>2</v>
      </c>
      <c r="AE527" t="str">
        <f t="shared" si="17"/>
        <v>0-2 years</v>
      </c>
      <c r="AF527" s="14">
        <v>2</v>
      </c>
      <c r="AG527" s="14">
        <v>2</v>
      </c>
      <c r="AH527" s="14">
        <v>0</v>
      </c>
    </row>
    <row r="528" spans="1:34" x14ac:dyDescent="0.3">
      <c r="A528" s="14">
        <v>39</v>
      </c>
      <c r="B528" s="17" t="s">
        <v>43</v>
      </c>
      <c r="C528" t="s">
        <v>36</v>
      </c>
      <c r="D528">
        <v>408</v>
      </c>
      <c r="E528" s="17" t="s">
        <v>45</v>
      </c>
      <c r="F528">
        <v>2</v>
      </c>
      <c r="G528">
        <v>4</v>
      </c>
      <c r="H528" t="s">
        <v>60</v>
      </c>
      <c r="I528">
        <v>721</v>
      </c>
      <c r="J528">
        <v>4</v>
      </c>
      <c r="K528" s="17" t="s">
        <v>39</v>
      </c>
      <c r="L528">
        <v>80</v>
      </c>
      <c r="M528">
        <v>2</v>
      </c>
      <c r="N528">
        <v>2</v>
      </c>
      <c r="O528" s="17" t="s">
        <v>54</v>
      </c>
      <c r="P528" s="14">
        <v>3</v>
      </c>
      <c r="Q528" t="s">
        <v>41</v>
      </c>
      <c r="R528" s="14">
        <v>4553</v>
      </c>
      <c r="S528" s="17" t="str">
        <f t="shared" si="16"/>
        <v>medium</v>
      </c>
      <c r="T528">
        <v>20978</v>
      </c>
      <c r="U528">
        <v>1</v>
      </c>
      <c r="V528" s="17" t="s">
        <v>43</v>
      </c>
      <c r="W528">
        <v>11</v>
      </c>
      <c r="X528">
        <v>3</v>
      </c>
      <c r="Y528">
        <v>1</v>
      </c>
      <c r="Z528">
        <v>0</v>
      </c>
      <c r="AA528">
        <v>20</v>
      </c>
      <c r="AB528">
        <v>4</v>
      </c>
      <c r="AC528">
        <v>3</v>
      </c>
      <c r="AD528" s="14">
        <v>20</v>
      </c>
      <c r="AE528" t="str">
        <f t="shared" si="17"/>
        <v>10+ years</v>
      </c>
      <c r="AF528" s="14">
        <v>7</v>
      </c>
      <c r="AG528" s="14">
        <v>11</v>
      </c>
      <c r="AH528" s="14">
        <v>10</v>
      </c>
    </row>
    <row r="529" spans="1:34" x14ac:dyDescent="0.3">
      <c r="A529" s="14">
        <v>32</v>
      </c>
      <c r="B529" s="17" t="s">
        <v>43</v>
      </c>
      <c r="C529" t="s">
        <v>36</v>
      </c>
      <c r="D529">
        <v>929</v>
      </c>
      <c r="E529" s="17" t="s">
        <v>37</v>
      </c>
      <c r="F529">
        <v>10</v>
      </c>
      <c r="G529">
        <v>3</v>
      </c>
      <c r="H529" t="s">
        <v>59</v>
      </c>
      <c r="I529">
        <v>722</v>
      </c>
      <c r="J529">
        <v>4</v>
      </c>
      <c r="K529" s="17" t="s">
        <v>46</v>
      </c>
      <c r="L529">
        <v>55</v>
      </c>
      <c r="M529">
        <v>3</v>
      </c>
      <c r="N529">
        <v>2</v>
      </c>
      <c r="O529" s="17" t="s">
        <v>40</v>
      </c>
      <c r="P529" s="14">
        <v>4</v>
      </c>
      <c r="Q529" t="s">
        <v>41</v>
      </c>
      <c r="R529" s="14">
        <v>5396</v>
      </c>
      <c r="S529" s="17" t="str">
        <f t="shared" si="16"/>
        <v>medium</v>
      </c>
      <c r="T529">
        <v>21703</v>
      </c>
      <c r="U529">
        <v>1</v>
      </c>
      <c r="V529" s="17" t="s">
        <v>43</v>
      </c>
      <c r="W529">
        <v>12</v>
      </c>
      <c r="X529">
        <v>3</v>
      </c>
      <c r="Y529">
        <v>4</v>
      </c>
      <c r="Z529">
        <v>0</v>
      </c>
      <c r="AA529">
        <v>10</v>
      </c>
      <c r="AB529">
        <v>2</v>
      </c>
      <c r="AC529">
        <v>2</v>
      </c>
      <c r="AD529" s="14">
        <v>10</v>
      </c>
      <c r="AE529" t="str">
        <f t="shared" si="17"/>
        <v>6-10 years</v>
      </c>
      <c r="AF529" s="14">
        <v>7</v>
      </c>
      <c r="AG529" s="14">
        <v>0</v>
      </c>
      <c r="AH529" s="14">
        <v>8</v>
      </c>
    </row>
    <row r="530" spans="1:34" x14ac:dyDescent="0.3">
      <c r="A530" s="14">
        <v>50</v>
      </c>
      <c r="B530" s="17" t="s">
        <v>35</v>
      </c>
      <c r="C530" t="s">
        <v>44</v>
      </c>
      <c r="D530">
        <v>562</v>
      </c>
      <c r="E530" s="17" t="s">
        <v>37</v>
      </c>
      <c r="F530">
        <v>8</v>
      </c>
      <c r="G530">
        <v>2</v>
      </c>
      <c r="H530" t="s">
        <v>60</v>
      </c>
      <c r="I530">
        <v>723</v>
      </c>
      <c r="J530">
        <v>2</v>
      </c>
      <c r="K530" s="17" t="s">
        <v>46</v>
      </c>
      <c r="L530">
        <v>50</v>
      </c>
      <c r="M530">
        <v>3</v>
      </c>
      <c r="N530">
        <v>2</v>
      </c>
      <c r="O530" s="17" t="s">
        <v>40</v>
      </c>
      <c r="P530" s="14">
        <v>3</v>
      </c>
      <c r="Q530" t="s">
        <v>48</v>
      </c>
      <c r="R530" s="14">
        <v>6796</v>
      </c>
      <c r="S530" s="17" t="str">
        <f t="shared" si="16"/>
        <v>medium</v>
      </c>
      <c r="T530">
        <v>23452</v>
      </c>
      <c r="U530">
        <v>3</v>
      </c>
      <c r="V530" s="17" t="s">
        <v>35</v>
      </c>
      <c r="W530">
        <v>14</v>
      </c>
      <c r="X530">
        <v>3</v>
      </c>
      <c r="Y530">
        <v>1</v>
      </c>
      <c r="Z530">
        <v>1</v>
      </c>
      <c r="AA530">
        <v>18</v>
      </c>
      <c r="AB530">
        <v>4</v>
      </c>
      <c r="AC530">
        <v>3</v>
      </c>
      <c r="AD530" s="14">
        <v>4</v>
      </c>
      <c r="AE530" t="str">
        <f t="shared" si="17"/>
        <v>3-5 years</v>
      </c>
      <c r="AF530" s="14">
        <v>3</v>
      </c>
      <c r="AG530" s="14">
        <v>1</v>
      </c>
      <c r="AH530" s="14">
        <v>3</v>
      </c>
    </row>
    <row r="531" spans="1:34" x14ac:dyDescent="0.3">
      <c r="A531" s="14">
        <v>38</v>
      </c>
      <c r="B531" s="17" t="s">
        <v>43</v>
      </c>
      <c r="C531" t="s">
        <v>36</v>
      </c>
      <c r="D531">
        <v>827</v>
      </c>
      <c r="E531" s="17" t="s">
        <v>45</v>
      </c>
      <c r="F531">
        <v>1</v>
      </c>
      <c r="G531">
        <v>4</v>
      </c>
      <c r="H531" t="s">
        <v>38</v>
      </c>
      <c r="I531">
        <v>724</v>
      </c>
      <c r="J531">
        <v>2</v>
      </c>
      <c r="K531" s="17" t="s">
        <v>39</v>
      </c>
      <c r="L531">
        <v>33</v>
      </c>
      <c r="M531">
        <v>4</v>
      </c>
      <c r="N531">
        <v>2</v>
      </c>
      <c r="O531" s="17" t="s">
        <v>54</v>
      </c>
      <c r="P531" s="14">
        <v>4</v>
      </c>
      <c r="Q531" t="s">
        <v>41</v>
      </c>
      <c r="R531" s="14">
        <v>7625</v>
      </c>
      <c r="S531" s="17" t="str">
        <f t="shared" si="16"/>
        <v>high</v>
      </c>
      <c r="T531">
        <v>19383</v>
      </c>
      <c r="U531">
        <v>0</v>
      </c>
      <c r="V531" s="17" t="s">
        <v>43</v>
      </c>
      <c r="W531">
        <v>13</v>
      </c>
      <c r="X531">
        <v>3</v>
      </c>
      <c r="Y531">
        <v>3</v>
      </c>
      <c r="Z531">
        <v>0</v>
      </c>
      <c r="AA531">
        <v>10</v>
      </c>
      <c r="AB531">
        <v>4</v>
      </c>
      <c r="AC531">
        <v>2</v>
      </c>
      <c r="AD531" s="14">
        <v>9</v>
      </c>
      <c r="AE531" t="str">
        <f t="shared" si="17"/>
        <v>6-10 years</v>
      </c>
      <c r="AF531" s="14">
        <v>7</v>
      </c>
      <c r="AG531" s="14">
        <v>1</v>
      </c>
      <c r="AH531" s="14">
        <v>8</v>
      </c>
    </row>
    <row r="532" spans="1:34" x14ac:dyDescent="0.3">
      <c r="A532" s="14">
        <v>27</v>
      </c>
      <c r="B532" s="17" t="s">
        <v>43</v>
      </c>
      <c r="C532" t="s">
        <v>36</v>
      </c>
      <c r="D532">
        <v>608</v>
      </c>
      <c r="E532" s="17" t="s">
        <v>45</v>
      </c>
      <c r="F532">
        <v>1</v>
      </c>
      <c r="G532">
        <v>2</v>
      </c>
      <c r="H532" t="s">
        <v>38</v>
      </c>
      <c r="I532">
        <v>725</v>
      </c>
      <c r="J532">
        <v>3</v>
      </c>
      <c r="K532" s="17" t="s">
        <v>39</v>
      </c>
      <c r="L532">
        <v>68</v>
      </c>
      <c r="M532">
        <v>3</v>
      </c>
      <c r="N532">
        <v>3</v>
      </c>
      <c r="O532" s="17" t="s">
        <v>53</v>
      </c>
      <c r="P532" s="14">
        <v>1</v>
      </c>
      <c r="Q532" t="s">
        <v>48</v>
      </c>
      <c r="R532" s="14">
        <v>7412</v>
      </c>
      <c r="S532" s="17" t="str">
        <f t="shared" si="16"/>
        <v>high</v>
      </c>
      <c r="T532">
        <v>6009</v>
      </c>
      <c r="U532">
        <v>1</v>
      </c>
      <c r="V532" s="17" t="s">
        <v>43</v>
      </c>
      <c r="W532">
        <v>11</v>
      </c>
      <c r="X532">
        <v>3</v>
      </c>
      <c r="Y532">
        <v>4</v>
      </c>
      <c r="Z532">
        <v>0</v>
      </c>
      <c r="AA532">
        <v>9</v>
      </c>
      <c r="AB532">
        <v>3</v>
      </c>
      <c r="AC532">
        <v>3</v>
      </c>
      <c r="AD532" s="14">
        <v>9</v>
      </c>
      <c r="AE532" t="str">
        <f t="shared" si="17"/>
        <v>6-10 years</v>
      </c>
      <c r="AF532" s="14">
        <v>7</v>
      </c>
      <c r="AG532" s="14">
        <v>0</v>
      </c>
      <c r="AH532" s="14">
        <v>7</v>
      </c>
    </row>
    <row r="533" spans="1:34" x14ac:dyDescent="0.3">
      <c r="A533" s="14">
        <v>32</v>
      </c>
      <c r="B533" s="17" t="s">
        <v>43</v>
      </c>
      <c r="C533" t="s">
        <v>36</v>
      </c>
      <c r="D533">
        <v>1018</v>
      </c>
      <c r="E533" s="17" t="s">
        <v>45</v>
      </c>
      <c r="F533">
        <v>3</v>
      </c>
      <c r="G533">
        <v>2</v>
      </c>
      <c r="H533" t="s">
        <v>38</v>
      </c>
      <c r="I533">
        <v>727</v>
      </c>
      <c r="J533">
        <v>3</v>
      </c>
      <c r="K533" s="17" t="s">
        <v>39</v>
      </c>
      <c r="L533">
        <v>39</v>
      </c>
      <c r="M533">
        <v>3</v>
      </c>
      <c r="N533">
        <v>3</v>
      </c>
      <c r="O533" s="17" t="s">
        <v>58</v>
      </c>
      <c r="P533" s="14">
        <v>4</v>
      </c>
      <c r="Q533" t="s">
        <v>41</v>
      </c>
      <c r="R533" s="14">
        <v>11159</v>
      </c>
      <c r="S533" s="17" t="str">
        <f t="shared" si="16"/>
        <v>high</v>
      </c>
      <c r="T533">
        <v>19373</v>
      </c>
      <c r="U533">
        <v>3</v>
      </c>
      <c r="V533" s="17" t="s">
        <v>43</v>
      </c>
      <c r="W533">
        <v>15</v>
      </c>
      <c r="X533">
        <v>3</v>
      </c>
      <c r="Y533">
        <v>4</v>
      </c>
      <c r="Z533">
        <v>0</v>
      </c>
      <c r="AA533">
        <v>10</v>
      </c>
      <c r="AB533">
        <v>6</v>
      </c>
      <c r="AC533">
        <v>3</v>
      </c>
      <c r="AD533" s="14">
        <v>7</v>
      </c>
      <c r="AE533" t="str">
        <f t="shared" si="17"/>
        <v>6-10 years</v>
      </c>
      <c r="AF533" s="14">
        <v>7</v>
      </c>
      <c r="AG533" s="14">
        <v>7</v>
      </c>
      <c r="AH533" s="14">
        <v>7</v>
      </c>
    </row>
    <row r="534" spans="1:34" x14ac:dyDescent="0.3">
      <c r="A534" s="14">
        <v>47</v>
      </c>
      <c r="B534" s="17" t="s">
        <v>43</v>
      </c>
      <c r="C534" t="s">
        <v>36</v>
      </c>
      <c r="D534">
        <v>703</v>
      </c>
      <c r="E534" s="17" t="s">
        <v>37</v>
      </c>
      <c r="F534">
        <v>14</v>
      </c>
      <c r="G534">
        <v>4</v>
      </c>
      <c r="H534" t="s">
        <v>59</v>
      </c>
      <c r="I534">
        <v>728</v>
      </c>
      <c r="J534">
        <v>4</v>
      </c>
      <c r="K534" s="17" t="s">
        <v>46</v>
      </c>
      <c r="L534">
        <v>42</v>
      </c>
      <c r="M534">
        <v>3</v>
      </c>
      <c r="N534">
        <v>2</v>
      </c>
      <c r="O534" s="17" t="s">
        <v>40</v>
      </c>
      <c r="P534" s="14">
        <v>1</v>
      </c>
      <c r="Q534" t="s">
        <v>41</v>
      </c>
      <c r="R534" s="14">
        <v>4960</v>
      </c>
      <c r="S534" s="17" t="str">
        <f t="shared" si="16"/>
        <v>medium</v>
      </c>
      <c r="T534">
        <v>11825</v>
      </c>
      <c r="U534">
        <v>2</v>
      </c>
      <c r="V534" s="17" t="s">
        <v>43</v>
      </c>
      <c r="W534">
        <v>12</v>
      </c>
      <c r="X534">
        <v>3</v>
      </c>
      <c r="Y534">
        <v>4</v>
      </c>
      <c r="Z534">
        <v>0</v>
      </c>
      <c r="AA534">
        <v>20</v>
      </c>
      <c r="AB534">
        <v>2</v>
      </c>
      <c r="AC534">
        <v>3</v>
      </c>
      <c r="AD534" s="14">
        <v>7</v>
      </c>
      <c r="AE534" t="str">
        <f t="shared" si="17"/>
        <v>6-10 years</v>
      </c>
      <c r="AF534" s="14">
        <v>7</v>
      </c>
      <c r="AG534" s="14">
        <v>1</v>
      </c>
      <c r="AH534" s="14">
        <v>7</v>
      </c>
    </row>
    <row r="535" spans="1:34" x14ac:dyDescent="0.3">
      <c r="A535" s="14">
        <v>40</v>
      </c>
      <c r="B535" s="17" t="s">
        <v>43</v>
      </c>
      <c r="C535" t="s">
        <v>44</v>
      </c>
      <c r="D535">
        <v>580</v>
      </c>
      <c r="E535" s="17" t="s">
        <v>37</v>
      </c>
      <c r="F535">
        <v>5</v>
      </c>
      <c r="G535">
        <v>4</v>
      </c>
      <c r="H535" t="s">
        <v>38</v>
      </c>
      <c r="I535">
        <v>729</v>
      </c>
      <c r="J535">
        <v>4</v>
      </c>
      <c r="K535" s="17" t="s">
        <v>46</v>
      </c>
      <c r="L535">
        <v>48</v>
      </c>
      <c r="M535">
        <v>2</v>
      </c>
      <c r="N535">
        <v>3</v>
      </c>
      <c r="O535" s="17" t="s">
        <v>40</v>
      </c>
      <c r="P535" s="14">
        <v>1</v>
      </c>
      <c r="Q535" t="s">
        <v>48</v>
      </c>
      <c r="R535" s="14">
        <v>10475</v>
      </c>
      <c r="S535" s="17" t="str">
        <f t="shared" si="16"/>
        <v>high</v>
      </c>
      <c r="T535">
        <v>23772</v>
      </c>
      <c r="U535">
        <v>5</v>
      </c>
      <c r="V535" s="17" t="s">
        <v>35</v>
      </c>
      <c r="W535">
        <v>21</v>
      </c>
      <c r="X535">
        <v>4</v>
      </c>
      <c r="Y535">
        <v>3</v>
      </c>
      <c r="Z535">
        <v>1</v>
      </c>
      <c r="AA535">
        <v>20</v>
      </c>
      <c r="AB535">
        <v>2</v>
      </c>
      <c r="AC535">
        <v>3</v>
      </c>
      <c r="AD535" s="14">
        <v>18</v>
      </c>
      <c r="AE535" t="str">
        <f t="shared" si="17"/>
        <v>10+ years</v>
      </c>
      <c r="AF535" s="14">
        <v>13</v>
      </c>
      <c r="AG535" s="14">
        <v>1</v>
      </c>
      <c r="AH535" s="14">
        <v>12</v>
      </c>
    </row>
    <row r="536" spans="1:34" x14ac:dyDescent="0.3">
      <c r="A536" s="14">
        <v>53</v>
      </c>
      <c r="B536" s="17" t="s">
        <v>43</v>
      </c>
      <c r="C536" t="s">
        <v>36</v>
      </c>
      <c r="D536">
        <v>970</v>
      </c>
      <c r="E536" s="17" t="s">
        <v>45</v>
      </c>
      <c r="F536">
        <v>7</v>
      </c>
      <c r="G536">
        <v>3</v>
      </c>
      <c r="H536" t="s">
        <v>38</v>
      </c>
      <c r="I536">
        <v>730</v>
      </c>
      <c r="J536">
        <v>3</v>
      </c>
      <c r="K536" s="17" t="s">
        <v>46</v>
      </c>
      <c r="L536">
        <v>59</v>
      </c>
      <c r="M536">
        <v>4</v>
      </c>
      <c r="N536">
        <v>4</v>
      </c>
      <c r="O536" s="17" t="s">
        <v>58</v>
      </c>
      <c r="P536" s="14">
        <v>3</v>
      </c>
      <c r="Q536" t="s">
        <v>48</v>
      </c>
      <c r="R536" s="14">
        <v>14814</v>
      </c>
      <c r="S536" s="17" t="str">
        <f t="shared" si="16"/>
        <v>high</v>
      </c>
      <c r="T536">
        <v>13514</v>
      </c>
      <c r="U536">
        <v>3</v>
      </c>
      <c r="V536" s="17" t="s">
        <v>43</v>
      </c>
      <c r="W536">
        <v>19</v>
      </c>
      <c r="X536">
        <v>3</v>
      </c>
      <c r="Y536">
        <v>3</v>
      </c>
      <c r="Z536">
        <v>0</v>
      </c>
      <c r="AA536">
        <v>32</v>
      </c>
      <c r="AB536">
        <v>3</v>
      </c>
      <c r="AC536">
        <v>3</v>
      </c>
      <c r="AD536" s="14">
        <v>5</v>
      </c>
      <c r="AE536" t="str">
        <f t="shared" si="17"/>
        <v>3-5 years</v>
      </c>
      <c r="AF536" s="14">
        <v>1</v>
      </c>
      <c r="AG536" s="14">
        <v>1</v>
      </c>
      <c r="AH536" s="14">
        <v>3</v>
      </c>
    </row>
    <row r="537" spans="1:34" x14ac:dyDescent="0.3">
      <c r="A537" s="14">
        <v>41</v>
      </c>
      <c r="B537" s="17" t="s">
        <v>43</v>
      </c>
      <c r="C537" t="s">
        <v>36</v>
      </c>
      <c r="D537">
        <v>427</v>
      </c>
      <c r="E537" s="17" t="s">
        <v>61</v>
      </c>
      <c r="F537">
        <v>10</v>
      </c>
      <c r="G537">
        <v>4</v>
      </c>
      <c r="H537" t="s">
        <v>61</v>
      </c>
      <c r="I537">
        <v>731</v>
      </c>
      <c r="J537">
        <v>2</v>
      </c>
      <c r="K537" s="17" t="s">
        <v>46</v>
      </c>
      <c r="L537">
        <v>73</v>
      </c>
      <c r="M537">
        <v>2</v>
      </c>
      <c r="N537">
        <v>5</v>
      </c>
      <c r="O537" s="17" t="s">
        <v>56</v>
      </c>
      <c r="P537" s="14">
        <v>4</v>
      </c>
      <c r="Q537" t="s">
        <v>52</v>
      </c>
      <c r="R537" s="14">
        <v>19141</v>
      </c>
      <c r="S537" s="17" t="str">
        <f t="shared" si="16"/>
        <v>high</v>
      </c>
      <c r="T537">
        <v>8861</v>
      </c>
      <c r="U537">
        <v>3</v>
      </c>
      <c r="V537" s="17" t="s">
        <v>43</v>
      </c>
      <c r="W537">
        <v>15</v>
      </c>
      <c r="X537">
        <v>3</v>
      </c>
      <c r="Y537">
        <v>2</v>
      </c>
      <c r="Z537">
        <v>3</v>
      </c>
      <c r="AA537">
        <v>23</v>
      </c>
      <c r="AB537">
        <v>2</v>
      </c>
      <c r="AC537">
        <v>2</v>
      </c>
      <c r="AD537" s="14">
        <v>21</v>
      </c>
      <c r="AE537" t="str">
        <f t="shared" si="17"/>
        <v>10+ years</v>
      </c>
      <c r="AF537" s="14">
        <v>6</v>
      </c>
      <c r="AG537" s="14">
        <v>12</v>
      </c>
      <c r="AH537" s="14">
        <v>6</v>
      </c>
    </row>
    <row r="538" spans="1:34" x14ac:dyDescent="0.3">
      <c r="A538" s="14">
        <v>60</v>
      </c>
      <c r="B538" s="17" t="s">
        <v>43</v>
      </c>
      <c r="C538" t="s">
        <v>36</v>
      </c>
      <c r="D538">
        <v>1179</v>
      </c>
      <c r="E538" s="17" t="s">
        <v>37</v>
      </c>
      <c r="F538">
        <v>16</v>
      </c>
      <c r="G538">
        <v>4</v>
      </c>
      <c r="H538" t="s">
        <v>59</v>
      </c>
      <c r="I538">
        <v>732</v>
      </c>
      <c r="J538">
        <v>1</v>
      </c>
      <c r="K538" s="17" t="s">
        <v>46</v>
      </c>
      <c r="L538">
        <v>84</v>
      </c>
      <c r="M538">
        <v>3</v>
      </c>
      <c r="N538">
        <v>2</v>
      </c>
      <c r="O538" s="17" t="s">
        <v>40</v>
      </c>
      <c r="P538" s="14">
        <v>1</v>
      </c>
      <c r="Q538" t="s">
        <v>41</v>
      </c>
      <c r="R538" s="14">
        <v>5405</v>
      </c>
      <c r="S538" s="17" t="str">
        <f t="shared" si="16"/>
        <v>medium</v>
      </c>
      <c r="T538">
        <v>11924</v>
      </c>
      <c r="U538">
        <v>8</v>
      </c>
      <c r="V538" s="17" t="s">
        <v>43</v>
      </c>
      <c r="W538">
        <v>14</v>
      </c>
      <c r="X538">
        <v>3</v>
      </c>
      <c r="Y538">
        <v>4</v>
      </c>
      <c r="Z538">
        <v>0</v>
      </c>
      <c r="AA538">
        <v>10</v>
      </c>
      <c r="AB538">
        <v>1</v>
      </c>
      <c r="AC538">
        <v>3</v>
      </c>
      <c r="AD538" s="14">
        <v>2</v>
      </c>
      <c r="AE538" t="str">
        <f t="shared" si="17"/>
        <v>0-2 years</v>
      </c>
      <c r="AF538" s="14">
        <v>2</v>
      </c>
      <c r="AG538" s="14">
        <v>2</v>
      </c>
      <c r="AH538" s="14">
        <v>2</v>
      </c>
    </row>
    <row r="539" spans="1:34" x14ac:dyDescent="0.3">
      <c r="A539" s="14">
        <v>27</v>
      </c>
      <c r="B539" s="17" t="s">
        <v>43</v>
      </c>
      <c r="C539" t="s">
        <v>44</v>
      </c>
      <c r="D539">
        <v>294</v>
      </c>
      <c r="E539" s="17" t="s">
        <v>45</v>
      </c>
      <c r="F539">
        <v>10</v>
      </c>
      <c r="G539">
        <v>2</v>
      </c>
      <c r="H539" t="s">
        <v>38</v>
      </c>
      <c r="I539">
        <v>733</v>
      </c>
      <c r="J539">
        <v>4</v>
      </c>
      <c r="K539" s="17" t="s">
        <v>46</v>
      </c>
      <c r="L539">
        <v>32</v>
      </c>
      <c r="M539">
        <v>3</v>
      </c>
      <c r="N539">
        <v>3</v>
      </c>
      <c r="O539" s="17" t="s">
        <v>53</v>
      </c>
      <c r="P539" s="14">
        <v>1</v>
      </c>
      <c r="Q539" t="s">
        <v>52</v>
      </c>
      <c r="R539" s="14">
        <v>8793</v>
      </c>
      <c r="S539" s="17" t="str">
        <f t="shared" si="16"/>
        <v>high</v>
      </c>
      <c r="T539">
        <v>4809</v>
      </c>
      <c r="U539">
        <v>1</v>
      </c>
      <c r="V539" s="17" t="s">
        <v>43</v>
      </c>
      <c r="W539">
        <v>21</v>
      </c>
      <c r="X539">
        <v>4</v>
      </c>
      <c r="Y539">
        <v>3</v>
      </c>
      <c r="Z539">
        <v>2</v>
      </c>
      <c r="AA539">
        <v>9</v>
      </c>
      <c r="AB539">
        <v>4</v>
      </c>
      <c r="AC539">
        <v>2</v>
      </c>
      <c r="AD539" s="14">
        <v>9</v>
      </c>
      <c r="AE539" t="str">
        <f t="shared" si="17"/>
        <v>6-10 years</v>
      </c>
      <c r="AF539" s="14">
        <v>7</v>
      </c>
      <c r="AG539" s="14">
        <v>1</v>
      </c>
      <c r="AH539" s="14">
        <v>7</v>
      </c>
    </row>
    <row r="540" spans="1:34" x14ac:dyDescent="0.3">
      <c r="A540" s="14">
        <v>41</v>
      </c>
      <c r="B540" s="17" t="s">
        <v>43</v>
      </c>
      <c r="C540" t="s">
        <v>36</v>
      </c>
      <c r="D540">
        <v>314</v>
      </c>
      <c r="E540" s="17" t="s">
        <v>61</v>
      </c>
      <c r="F540">
        <v>1</v>
      </c>
      <c r="G540">
        <v>3</v>
      </c>
      <c r="H540" t="s">
        <v>61</v>
      </c>
      <c r="I540">
        <v>734</v>
      </c>
      <c r="J540">
        <v>4</v>
      </c>
      <c r="K540" s="17" t="s">
        <v>46</v>
      </c>
      <c r="L540">
        <v>59</v>
      </c>
      <c r="M540">
        <v>2</v>
      </c>
      <c r="N540">
        <v>5</v>
      </c>
      <c r="O540" s="17" t="s">
        <v>56</v>
      </c>
      <c r="P540" s="14">
        <v>3</v>
      </c>
      <c r="Q540" t="s">
        <v>48</v>
      </c>
      <c r="R540" s="14">
        <v>19189</v>
      </c>
      <c r="S540" s="17" t="str">
        <f t="shared" si="16"/>
        <v>high</v>
      </c>
      <c r="T540">
        <v>19562</v>
      </c>
      <c r="U540">
        <v>1</v>
      </c>
      <c r="V540" s="17" t="s">
        <v>43</v>
      </c>
      <c r="W540">
        <v>12</v>
      </c>
      <c r="X540">
        <v>3</v>
      </c>
      <c r="Y540">
        <v>2</v>
      </c>
      <c r="Z540">
        <v>1</v>
      </c>
      <c r="AA540">
        <v>22</v>
      </c>
      <c r="AB540">
        <v>3</v>
      </c>
      <c r="AC540">
        <v>3</v>
      </c>
      <c r="AD540" s="14">
        <v>22</v>
      </c>
      <c r="AE540" t="str">
        <f t="shared" si="17"/>
        <v>10+ years</v>
      </c>
      <c r="AF540" s="14">
        <v>7</v>
      </c>
      <c r="AG540" s="14">
        <v>2</v>
      </c>
      <c r="AH540" s="14">
        <v>10</v>
      </c>
    </row>
    <row r="541" spans="1:34" x14ac:dyDescent="0.3">
      <c r="A541" s="14">
        <v>50</v>
      </c>
      <c r="B541" s="17" t="s">
        <v>43</v>
      </c>
      <c r="C541" t="s">
        <v>36</v>
      </c>
      <c r="D541">
        <v>316</v>
      </c>
      <c r="E541" s="17" t="s">
        <v>37</v>
      </c>
      <c r="F541">
        <v>8</v>
      </c>
      <c r="G541">
        <v>4</v>
      </c>
      <c r="H541" t="s">
        <v>59</v>
      </c>
      <c r="I541">
        <v>738</v>
      </c>
      <c r="J541">
        <v>4</v>
      </c>
      <c r="K541" s="17" t="s">
        <v>46</v>
      </c>
      <c r="L541">
        <v>54</v>
      </c>
      <c r="M541">
        <v>3</v>
      </c>
      <c r="N541">
        <v>1</v>
      </c>
      <c r="O541" s="17" t="s">
        <v>57</v>
      </c>
      <c r="P541" s="14">
        <v>2</v>
      </c>
      <c r="Q541" t="s">
        <v>48</v>
      </c>
      <c r="R541" s="14">
        <v>3875</v>
      </c>
      <c r="S541" s="17" t="str">
        <f t="shared" si="16"/>
        <v>medium</v>
      </c>
      <c r="T541">
        <v>9983</v>
      </c>
      <c r="U541">
        <v>7</v>
      </c>
      <c r="V541" s="17" t="s">
        <v>43</v>
      </c>
      <c r="W541">
        <v>15</v>
      </c>
      <c r="X541">
        <v>3</v>
      </c>
      <c r="Y541">
        <v>4</v>
      </c>
      <c r="Z541">
        <v>1</v>
      </c>
      <c r="AA541">
        <v>4</v>
      </c>
      <c r="AB541">
        <v>2</v>
      </c>
      <c r="AC541">
        <v>3</v>
      </c>
      <c r="AD541" s="14">
        <v>2</v>
      </c>
      <c r="AE541" t="str">
        <f t="shared" si="17"/>
        <v>0-2 years</v>
      </c>
      <c r="AF541" s="14">
        <v>2</v>
      </c>
      <c r="AG541" s="14">
        <v>2</v>
      </c>
      <c r="AH541" s="14">
        <v>2</v>
      </c>
    </row>
    <row r="542" spans="1:34" x14ac:dyDescent="0.3">
      <c r="A542" s="14">
        <v>28</v>
      </c>
      <c r="B542" s="17" t="s">
        <v>35</v>
      </c>
      <c r="C542" t="s">
        <v>36</v>
      </c>
      <c r="D542">
        <v>654</v>
      </c>
      <c r="E542" s="17" t="s">
        <v>45</v>
      </c>
      <c r="F542">
        <v>1</v>
      </c>
      <c r="G542">
        <v>2</v>
      </c>
      <c r="H542" t="s">
        <v>38</v>
      </c>
      <c r="I542">
        <v>741</v>
      </c>
      <c r="J542">
        <v>1</v>
      </c>
      <c r="K542" s="17" t="s">
        <v>39</v>
      </c>
      <c r="L542">
        <v>67</v>
      </c>
      <c r="M542">
        <v>1</v>
      </c>
      <c r="N542">
        <v>1</v>
      </c>
      <c r="O542" s="17" t="s">
        <v>47</v>
      </c>
      <c r="P542" s="14">
        <v>2</v>
      </c>
      <c r="Q542" t="s">
        <v>41</v>
      </c>
      <c r="R542" s="14">
        <v>2216</v>
      </c>
      <c r="S542" s="17" t="str">
        <f t="shared" si="16"/>
        <v>low</v>
      </c>
      <c r="T542">
        <v>3872</v>
      </c>
      <c r="U542">
        <v>7</v>
      </c>
      <c r="V542" s="17" t="s">
        <v>35</v>
      </c>
      <c r="W542">
        <v>13</v>
      </c>
      <c r="X542">
        <v>3</v>
      </c>
      <c r="Y542">
        <v>4</v>
      </c>
      <c r="Z542">
        <v>0</v>
      </c>
      <c r="AA542">
        <v>10</v>
      </c>
      <c r="AB542">
        <v>4</v>
      </c>
      <c r="AC542">
        <v>3</v>
      </c>
      <c r="AD542" s="14">
        <v>7</v>
      </c>
      <c r="AE542" t="str">
        <f t="shared" si="17"/>
        <v>6-10 years</v>
      </c>
      <c r="AF542" s="14">
        <v>7</v>
      </c>
      <c r="AG542" s="14">
        <v>3</v>
      </c>
      <c r="AH542" s="14">
        <v>7</v>
      </c>
    </row>
    <row r="543" spans="1:34" x14ac:dyDescent="0.3">
      <c r="A543" s="14">
        <v>36</v>
      </c>
      <c r="B543" s="17" t="s">
        <v>43</v>
      </c>
      <c r="C543" t="s">
        <v>55</v>
      </c>
      <c r="D543">
        <v>427</v>
      </c>
      <c r="E543" s="17" t="s">
        <v>45</v>
      </c>
      <c r="F543">
        <v>8</v>
      </c>
      <c r="G543">
        <v>3</v>
      </c>
      <c r="H543" t="s">
        <v>38</v>
      </c>
      <c r="I543">
        <v>742</v>
      </c>
      <c r="J543">
        <v>1</v>
      </c>
      <c r="K543" s="17" t="s">
        <v>39</v>
      </c>
      <c r="L543">
        <v>63</v>
      </c>
      <c r="M543">
        <v>4</v>
      </c>
      <c r="N543">
        <v>3</v>
      </c>
      <c r="O543" s="17" t="s">
        <v>58</v>
      </c>
      <c r="P543" s="14">
        <v>1</v>
      </c>
      <c r="Q543" t="s">
        <v>48</v>
      </c>
      <c r="R543" s="14">
        <v>11713</v>
      </c>
      <c r="S543" s="17" t="str">
        <f t="shared" si="16"/>
        <v>high</v>
      </c>
      <c r="T543">
        <v>20335</v>
      </c>
      <c r="U543">
        <v>9</v>
      </c>
      <c r="V543" s="17" t="s">
        <v>43</v>
      </c>
      <c r="W543">
        <v>14</v>
      </c>
      <c r="X543">
        <v>3</v>
      </c>
      <c r="Y543">
        <v>1</v>
      </c>
      <c r="Z543">
        <v>1</v>
      </c>
      <c r="AA543">
        <v>10</v>
      </c>
      <c r="AB543">
        <v>2</v>
      </c>
      <c r="AC543">
        <v>3</v>
      </c>
      <c r="AD543" s="14">
        <v>8</v>
      </c>
      <c r="AE543" t="str">
        <f t="shared" si="17"/>
        <v>6-10 years</v>
      </c>
      <c r="AF543" s="14">
        <v>7</v>
      </c>
      <c r="AG543" s="14">
        <v>0</v>
      </c>
      <c r="AH543" s="14">
        <v>5</v>
      </c>
    </row>
    <row r="544" spans="1:34" x14ac:dyDescent="0.3">
      <c r="A544" s="14">
        <v>38</v>
      </c>
      <c r="B544" s="17" t="s">
        <v>43</v>
      </c>
      <c r="C544" t="s">
        <v>36</v>
      </c>
      <c r="D544">
        <v>168</v>
      </c>
      <c r="E544" s="17" t="s">
        <v>45</v>
      </c>
      <c r="F544">
        <v>1</v>
      </c>
      <c r="G544">
        <v>3</v>
      </c>
      <c r="H544" t="s">
        <v>38</v>
      </c>
      <c r="I544">
        <v>743</v>
      </c>
      <c r="J544">
        <v>3</v>
      </c>
      <c r="K544" s="17" t="s">
        <v>39</v>
      </c>
      <c r="L544">
        <v>81</v>
      </c>
      <c r="M544">
        <v>3</v>
      </c>
      <c r="N544">
        <v>3</v>
      </c>
      <c r="O544" s="17" t="s">
        <v>53</v>
      </c>
      <c r="P544" s="14">
        <v>3</v>
      </c>
      <c r="Q544" t="s">
        <v>41</v>
      </c>
      <c r="R544" s="14">
        <v>7861</v>
      </c>
      <c r="S544" s="17" t="str">
        <f t="shared" si="16"/>
        <v>high</v>
      </c>
      <c r="T544">
        <v>15397</v>
      </c>
      <c r="U544">
        <v>4</v>
      </c>
      <c r="V544" s="17" t="s">
        <v>35</v>
      </c>
      <c r="W544">
        <v>14</v>
      </c>
      <c r="X544">
        <v>3</v>
      </c>
      <c r="Y544">
        <v>4</v>
      </c>
      <c r="Z544">
        <v>0</v>
      </c>
      <c r="AA544">
        <v>10</v>
      </c>
      <c r="AB544">
        <v>4</v>
      </c>
      <c r="AC544">
        <v>4</v>
      </c>
      <c r="AD544" s="14">
        <v>1</v>
      </c>
      <c r="AE544" t="str">
        <f t="shared" si="17"/>
        <v>0-2 years</v>
      </c>
      <c r="AF544" s="14">
        <v>0</v>
      </c>
      <c r="AG544" s="14">
        <v>0</v>
      </c>
      <c r="AH544" s="14">
        <v>0</v>
      </c>
    </row>
    <row r="545" spans="1:34" x14ac:dyDescent="0.3">
      <c r="A545" s="14">
        <v>44</v>
      </c>
      <c r="B545" s="17" t="s">
        <v>43</v>
      </c>
      <c r="C545" t="s">
        <v>55</v>
      </c>
      <c r="D545">
        <v>381</v>
      </c>
      <c r="E545" s="17" t="s">
        <v>45</v>
      </c>
      <c r="F545">
        <v>24</v>
      </c>
      <c r="G545">
        <v>3</v>
      </c>
      <c r="H545" t="s">
        <v>51</v>
      </c>
      <c r="I545">
        <v>744</v>
      </c>
      <c r="J545">
        <v>1</v>
      </c>
      <c r="K545" s="17" t="s">
        <v>46</v>
      </c>
      <c r="L545">
        <v>49</v>
      </c>
      <c r="M545">
        <v>1</v>
      </c>
      <c r="N545">
        <v>1</v>
      </c>
      <c r="O545" s="17" t="s">
        <v>50</v>
      </c>
      <c r="P545" s="14">
        <v>3</v>
      </c>
      <c r="Q545" t="s">
        <v>41</v>
      </c>
      <c r="R545" s="14">
        <v>3708</v>
      </c>
      <c r="S545" s="17" t="str">
        <f t="shared" si="16"/>
        <v>medium</v>
      </c>
      <c r="T545">
        <v>2104</v>
      </c>
      <c r="U545">
        <v>2</v>
      </c>
      <c r="V545" s="17" t="s">
        <v>43</v>
      </c>
      <c r="W545">
        <v>14</v>
      </c>
      <c r="X545">
        <v>3</v>
      </c>
      <c r="Y545">
        <v>3</v>
      </c>
      <c r="Z545">
        <v>0</v>
      </c>
      <c r="AA545">
        <v>9</v>
      </c>
      <c r="AB545">
        <v>5</v>
      </c>
      <c r="AC545">
        <v>3</v>
      </c>
      <c r="AD545" s="14">
        <v>5</v>
      </c>
      <c r="AE545" t="str">
        <f t="shared" si="17"/>
        <v>3-5 years</v>
      </c>
      <c r="AF545" s="14">
        <v>2</v>
      </c>
      <c r="AG545" s="14">
        <v>1</v>
      </c>
      <c r="AH545" s="14">
        <v>4</v>
      </c>
    </row>
    <row r="546" spans="1:34" x14ac:dyDescent="0.3">
      <c r="A546" s="14">
        <v>47</v>
      </c>
      <c r="B546" s="17" t="s">
        <v>43</v>
      </c>
      <c r="C546" t="s">
        <v>44</v>
      </c>
      <c r="D546">
        <v>217</v>
      </c>
      <c r="E546" s="17" t="s">
        <v>37</v>
      </c>
      <c r="F546">
        <v>3</v>
      </c>
      <c r="G546">
        <v>3</v>
      </c>
      <c r="H546" t="s">
        <v>51</v>
      </c>
      <c r="I546">
        <v>746</v>
      </c>
      <c r="J546">
        <v>4</v>
      </c>
      <c r="K546" s="17" t="s">
        <v>39</v>
      </c>
      <c r="L546">
        <v>49</v>
      </c>
      <c r="M546">
        <v>3</v>
      </c>
      <c r="N546">
        <v>4</v>
      </c>
      <c r="O546" s="17" t="s">
        <v>40</v>
      </c>
      <c r="P546" s="14">
        <v>3</v>
      </c>
      <c r="Q546" t="s">
        <v>52</v>
      </c>
      <c r="R546" s="14">
        <v>13770</v>
      </c>
      <c r="S546" s="17" t="str">
        <f t="shared" si="16"/>
        <v>high</v>
      </c>
      <c r="T546">
        <v>10225</v>
      </c>
      <c r="U546">
        <v>9</v>
      </c>
      <c r="V546" s="17" t="s">
        <v>35</v>
      </c>
      <c r="W546">
        <v>12</v>
      </c>
      <c r="X546">
        <v>3</v>
      </c>
      <c r="Y546">
        <v>4</v>
      </c>
      <c r="Z546">
        <v>2</v>
      </c>
      <c r="AA546">
        <v>28</v>
      </c>
      <c r="AB546">
        <v>2</v>
      </c>
      <c r="AC546">
        <v>2</v>
      </c>
      <c r="AD546" s="14">
        <v>22</v>
      </c>
      <c r="AE546" t="str">
        <f t="shared" si="17"/>
        <v>10+ years</v>
      </c>
      <c r="AF546" s="14">
        <v>2</v>
      </c>
      <c r="AG546" s="14">
        <v>11</v>
      </c>
      <c r="AH546" s="14">
        <v>13</v>
      </c>
    </row>
    <row r="547" spans="1:34" x14ac:dyDescent="0.3">
      <c r="A547" s="14">
        <v>30</v>
      </c>
      <c r="B547" s="17" t="s">
        <v>43</v>
      </c>
      <c r="C547" t="s">
        <v>36</v>
      </c>
      <c r="D547">
        <v>501</v>
      </c>
      <c r="E547" s="17" t="s">
        <v>37</v>
      </c>
      <c r="F547">
        <v>27</v>
      </c>
      <c r="G547">
        <v>5</v>
      </c>
      <c r="H547" t="s">
        <v>59</v>
      </c>
      <c r="I547">
        <v>747</v>
      </c>
      <c r="J547">
        <v>3</v>
      </c>
      <c r="K547" s="17" t="s">
        <v>46</v>
      </c>
      <c r="L547">
        <v>99</v>
      </c>
      <c r="M547">
        <v>3</v>
      </c>
      <c r="N547">
        <v>2</v>
      </c>
      <c r="O547" s="17" t="s">
        <v>40</v>
      </c>
      <c r="P547" s="14">
        <v>4</v>
      </c>
      <c r="Q547" t="s">
        <v>52</v>
      </c>
      <c r="R547" s="14">
        <v>5304</v>
      </c>
      <c r="S547" s="17" t="str">
        <f t="shared" si="16"/>
        <v>medium</v>
      </c>
      <c r="T547">
        <v>25275</v>
      </c>
      <c r="U547">
        <v>7</v>
      </c>
      <c r="V547" s="17" t="s">
        <v>43</v>
      </c>
      <c r="W547">
        <v>23</v>
      </c>
      <c r="X547">
        <v>4</v>
      </c>
      <c r="Y547">
        <v>4</v>
      </c>
      <c r="Z547">
        <v>1</v>
      </c>
      <c r="AA547">
        <v>10</v>
      </c>
      <c r="AB547">
        <v>2</v>
      </c>
      <c r="AC547">
        <v>2</v>
      </c>
      <c r="AD547" s="14">
        <v>8</v>
      </c>
      <c r="AE547" t="str">
        <f t="shared" si="17"/>
        <v>6-10 years</v>
      </c>
      <c r="AF547" s="14">
        <v>7</v>
      </c>
      <c r="AG547" s="14">
        <v>7</v>
      </c>
      <c r="AH547" s="14">
        <v>7</v>
      </c>
    </row>
    <row r="548" spans="1:34" x14ac:dyDescent="0.3">
      <c r="A548" s="14">
        <v>29</v>
      </c>
      <c r="B548" s="17" t="s">
        <v>43</v>
      </c>
      <c r="C548" t="s">
        <v>36</v>
      </c>
      <c r="D548">
        <v>1396</v>
      </c>
      <c r="E548" s="17" t="s">
        <v>37</v>
      </c>
      <c r="F548">
        <v>10</v>
      </c>
      <c r="G548">
        <v>3</v>
      </c>
      <c r="H548" t="s">
        <v>38</v>
      </c>
      <c r="I548">
        <v>749</v>
      </c>
      <c r="J548">
        <v>3</v>
      </c>
      <c r="K548" s="17" t="s">
        <v>46</v>
      </c>
      <c r="L548">
        <v>99</v>
      </c>
      <c r="M548">
        <v>3</v>
      </c>
      <c r="N548">
        <v>1</v>
      </c>
      <c r="O548" s="17" t="s">
        <v>57</v>
      </c>
      <c r="P548" s="14">
        <v>3</v>
      </c>
      <c r="Q548" t="s">
        <v>41</v>
      </c>
      <c r="R548" s="14">
        <v>2642</v>
      </c>
      <c r="S548" s="17" t="str">
        <f t="shared" si="16"/>
        <v>low</v>
      </c>
      <c r="T548">
        <v>2755</v>
      </c>
      <c r="U548">
        <v>1</v>
      </c>
      <c r="V548" s="17" t="s">
        <v>43</v>
      </c>
      <c r="W548">
        <v>11</v>
      </c>
      <c r="X548">
        <v>3</v>
      </c>
      <c r="Y548">
        <v>3</v>
      </c>
      <c r="Z548">
        <v>0</v>
      </c>
      <c r="AA548">
        <v>1</v>
      </c>
      <c r="AB548">
        <v>6</v>
      </c>
      <c r="AC548">
        <v>3</v>
      </c>
      <c r="AD548" s="14">
        <v>1</v>
      </c>
      <c r="AE548" t="str">
        <f t="shared" si="17"/>
        <v>0-2 years</v>
      </c>
      <c r="AF548" s="14">
        <v>0</v>
      </c>
      <c r="AG548" s="14">
        <v>0</v>
      </c>
      <c r="AH548" s="14">
        <v>0</v>
      </c>
    </row>
    <row r="549" spans="1:34" x14ac:dyDescent="0.3">
      <c r="A549" s="14">
        <v>42</v>
      </c>
      <c r="B549" s="17" t="s">
        <v>35</v>
      </c>
      <c r="C549" t="s">
        <v>44</v>
      </c>
      <c r="D549">
        <v>933</v>
      </c>
      <c r="E549" s="17" t="s">
        <v>45</v>
      </c>
      <c r="F549">
        <v>19</v>
      </c>
      <c r="G549">
        <v>3</v>
      </c>
      <c r="H549" t="s">
        <v>51</v>
      </c>
      <c r="I549">
        <v>752</v>
      </c>
      <c r="J549">
        <v>3</v>
      </c>
      <c r="K549" s="17" t="s">
        <v>46</v>
      </c>
      <c r="L549">
        <v>57</v>
      </c>
      <c r="M549">
        <v>4</v>
      </c>
      <c r="N549">
        <v>1</v>
      </c>
      <c r="O549" s="17" t="s">
        <v>47</v>
      </c>
      <c r="P549" s="14">
        <v>3</v>
      </c>
      <c r="Q549" t="s">
        <v>52</v>
      </c>
      <c r="R549" s="14">
        <v>2759</v>
      </c>
      <c r="S549" s="17" t="str">
        <f t="shared" si="16"/>
        <v>low</v>
      </c>
      <c r="T549">
        <v>20366</v>
      </c>
      <c r="U549">
        <v>6</v>
      </c>
      <c r="V549" s="17" t="s">
        <v>35</v>
      </c>
      <c r="W549">
        <v>12</v>
      </c>
      <c r="X549">
        <v>3</v>
      </c>
      <c r="Y549">
        <v>4</v>
      </c>
      <c r="Z549">
        <v>0</v>
      </c>
      <c r="AA549">
        <v>7</v>
      </c>
      <c r="AB549">
        <v>2</v>
      </c>
      <c r="AC549">
        <v>3</v>
      </c>
      <c r="AD549" s="14">
        <v>2</v>
      </c>
      <c r="AE549" t="str">
        <f t="shared" si="17"/>
        <v>0-2 years</v>
      </c>
      <c r="AF549" s="14">
        <v>2</v>
      </c>
      <c r="AG549" s="14">
        <v>2</v>
      </c>
      <c r="AH549" s="14">
        <v>2</v>
      </c>
    </row>
    <row r="550" spans="1:34" x14ac:dyDescent="0.3">
      <c r="A550" s="14">
        <v>43</v>
      </c>
      <c r="B550" s="17" t="s">
        <v>43</v>
      </c>
      <c r="C550" t="s">
        <v>44</v>
      </c>
      <c r="D550">
        <v>775</v>
      </c>
      <c r="E550" s="17" t="s">
        <v>37</v>
      </c>
      <c r="F550">
        <v>15</v>
      </c>
      <c r="G550">
        <v>3</v>
      </c>
      <c r="H550" t="s">
        <v>38</v>
      </c>
      <c r="I550">
        <v>754</v>
      </c>
      <c r="J550">
        <v>4</v>
      </c>
      <c r="K550" s="17" t="s">
        <v>46</v>
      </c>
      <c r="L550">
        <v>47</v>
      </c>
      <c r="M550">
        <v>2</v>
      </c>
      <c r="N550">
        <v>2</v>
      </c>
      <c r="O550" s="17" t="s">
        <v>40</v>
      </c>
      <c r="P550" s="14">
        <v>4</v>
      </c>
      <c r="Q550" t="s">
        <v>48</v>
      </c>
      <c r="R550" s="14">
        <v>6804</v>
      </c>
      <c r="S550" s="17" t="str">
        <f t="shared" si="16"/>
        <v>medium</v>
      </c>
      <c r="T550">
        <v>23683</v>
      </c>
      <c r="U550">
        <v>3</v>
      </c>
      <c r="V550" s="17" t="s">
        <v>43</v>
      </c>
      <c r="W550">
        <v>18</v>
      </c>
      <c r="X550">
        <v>3</v>
      </c>
      <c r="Y550">
        <v>3</v>
      </c>
      <c r="Z550">
        <v>1</v>
      </c>
      <c r="AA550">
        <v>7</v>
      </c>
      <c r="AB550">
        <v>5</v>
      </c>
      <c r="AC550">
        <v>3</v>
      </c>
      <c r="AD550" s="14">
        <v>2</v>
      </c>
      <c r="AE550" t="str">
        <f t="shared" si="17"/>
        <v>0-2 years</v>
      </c>
      <c r="AF550" s="14">
        <v>2</v>
      </c>
      <c r="AG550" s="14">
        <v>2</v>
      </c>
      <c r="AH550" s="14">
        <v>2</v>
      </c>
    </row>
    <row r="551" spans="1:34" x14ac:dyDescent="0.3">
      <c r="A551" s="14">
        <v>34</v>
      </c>
      <c r="B551" s="17" t="s">
        <v>43</v>
      </c>
      <c r="C551" t="s">
        <v>36</v>
      </c>
      <c r="D551">
        <v>970</v>
      </c>
      <c r="E551" s="17" t="s">
        <v>45</v>
      </c>
      <c r="F551">
        <v>8</v>
      </c>
      <c r="G551">
        <v>2</v>
      </c>
      <c r="H551" t="s">
        <v>51</v>
      </c>
      <c r="I551">
        <v>757</v>
      </c>
      <c r="J551">
        <v>2</v>
      </c>
      <c r="K551" s="17" t="s">
        <v>39</v>
      </c>
      <c r="L551">
        <v>96</v>
      </c>
      <c r="M551">
        <v>3</v>
      </c>
      <c r="N551">
        <v>2</v>
      </c>
      <c r="O551" s="17" t="s">
        <v>54</v>
      </c>
      <c r="P551" s="14">
        <v>3</v>
      </c>
      <c r="Q551" t="s">
        <v>41</v>
      </c>
      <c r="R551" s="14">
        <v>6142</v>
      </c>
      <c r="S551" s="17" t="str">
        <f t="shared" si="16"/>
        <v>medium</v>
      </c>
      <c r="T551">
        <v>7360</v>
      </c>
      <c r="U551">
        <v>3</v>
      </c>
      <c r="V551" s="17" t="s">
        <v>43</v>
      </c>
      <c r="W551">
        <v>11</v>
      </c>
      <c r="X551">
        <v>3</v>
      </c>
      <c r="Y551">
        <v>4</v>
      </c>
      <c r="Z551">
        <v>0</v>
      </c>
      <c r="AA551">
        <v>10</v>
      </c>
      <c r="AB551">
        <v>2</v>
      </c>
      <c r="AC551">
        <v>3</v>
      </c>
      <c r="AD551" s="14">
        <v>5</v>
      </c>
      <c r="AE551" t="str">
        <f t="shared" si="17"/>
        <v>3-5 years</v>
      </c>
      <c r="AF551" s="14">
        <v>1</v>
      </c>
      <c r="AG551" s="14">
        <v>4</v>
      </c>
      <c r="AH551" s="14">
        <v>3</v>
      </c>
    </row>
    <row r="552" spans="1:34" x14ac:dyDescent="0.3">
      <c r="A552" s="14">
        <v>23</v>
      </c>
      <c r="B552" s="17" t="s">
        <v>43</v>
      </c>
      <c r="C552" t="s">
        <v>36</v>
      </c>
      <c r="D552">
        <v>650</v>
      </c>
      <c r="E552" s="17" t="s">
        <v>45</v>
      </c>
      <c r="F552">
        <v>9</v>
      </c>
      <c r="G552">
        <v>1</v>
      </c>
      <c r="H552" t="s">
        <v>51</v>
      </c>
      <c r="I552">
        <v>758</v>
      </c>
      <c r="J552">
        <v>2</v>
      </c>
      <c r="K552" s="17" t="s">
        <v>46</v>
      </c>
      <c r="L552">
        <v>37</v>
      </c>
      <c r="M552">
        <v>3</v>
      </c>
      <c r="N552">
        <v>1</v>
      </c>
      <c r="O552" s="17" t="s">
        <v>50</v>
      </c>
      <c r="P552" s="14">
        <v>1</v>
      </c>
      <c r="Q552" t="s">
        <v>48</v>
      </c>
      <c r="R552" s="14">
        <v>2500</v>
      </c>
      <c r="S552" s="17" t="str">
        <f t="shared" si="16"/>
        <v>low</v>
      </c>
      <c r="T552">
        <v>4344</v>
      </c>
      <c r="U552">
        <v>1</v>
      </c>
      <c r="V552" s="17" t="s">
        <v>43</v>
      </c>
      <c r="W552">
        <v>14</v>
      </c>
      <c r="X552">
        <v>3</v>
      </c>
      <c r="Y552">
        <v>4</v>
      </c>
      <c r="Z552">
        <v>1</v>
      </c>
      <c r="AA552">
        <v>5</v>
      </c>
      <c r="AB552">
        <v>2</v>
      </c>
      <c r="AC552">
        <v>4</v>
      </c>
      <c r="AD552" s="14">
        <v>4</v>
      </c>
      <c r="AE552" t="str">
        <f t="shared" si="17"/>
        <v>3-5 years</v>
      </c>
      <c r="AF552" s="14">
        <v>3</v>
      </c>
      <c r="AG552" s="14">
        <v>0</v>
      </c>
      <c r="AH552" s="14">
        <v>2</v>
      </c>
    </row>
    <row r="553" spans="1:34" x14ac:dyDescent="0.3">
      <c r="A553" s="14">
        <v>39</v>
      </c>
      <c r="B553" s="17" t="s">
        <v>43</v>
      </c>
      <c r="C553" t="s">
        <v>36</v>
      </c>
      <c r="D553">
        <v>141</v>
      </c>
      <c r="E553" s="17" t="s">
        <v>61</v>
      </c>
      <c r="F553">
        <v>3</v>
      </c>
      <c r="G553">
        <v>3</v>
      </c>
      <c r="H553" t="s">
        <v>61</v>
      </c>
      <c r="I553">
        <v>760</v>
      </c>
      <c r="J553">
        <v>3</v>
      </c>
      <c r="K553" s="17" t="s">
        <v>39</v>
      </c>
      <c r="L553">
        <v>44</v>
      </c>
      <c r="M553">
        <v>4</v>
      </c>
      <c r="N553">
        <v>2</v>
      </c>
      <c r="O553" s="17" t="s">
        <v>61</v>
      </c>
      <c r="P553" s="14">
        <v>2</v>
      </c>
      <c r="Q553" t="s">
        <v>48</v>
      </c>
      <c r="R553" s="14">
        <v>6389</v>
      </c>
      <c r="S553" s="17" t="str">
        <f t="shared" si="16"/>
        <v>medium</v>
      </c>
      <c r="T553">
        <v>18767</v>
      </c>
      <c r="U553">
        <v>9</v>
      </c>
      <c r="V553" s="17" t="s">
        <v>43</v>
      </c>
      <c r="W553">
        <v>15</v>
      </c>
      <c r="X553">
        <v>3</v>
      </c>
      <c r="Y553">
        <v>3</v>
      </c>
      <c r="Z553">
        <v>1</v>
      </c>
      <c r="AA553">
        <v>12</v>
      </c>
      <c r="AB553">
        <v>3</v>
      </c>
      <c r="AC553">
        <v>1</v>
      </c>
      <c r="AD553" s="14">
        <v>8</v>
      </c>
      <c r="AE553" t="str">
        <f t="shared" si="17"/>
        <v>6-10 years</v>
      </c>
      <c r="AF553" s="14">
        <v>3</v>
      </c>
      <c r="AG553" s="14">
        <v>3</v>
      </c>
      <c r="AH553" s="14">
        <v>6</v>
      </c>
    </row>
    <row r="554" spans="1:34" x14ac:dyDescent="0.3">
      <c r="A554" s="14">
        <v>56</v>
      </c>
      <c r="B554" s="17" t="s">
        <v>43</v>
      </c>
      <c r="C554" t="s">
        <v>36</v>
      </c>
      <c r="D554">
        <v>832</v>
      </c>
      <c r="E554" s="17" t="s">
        <v>45</v>
      </c>
      <c r="F554">
        <v>9</v>
      </c>
      <c r="G554">
        <v>3</v>
      </c>
      <c r="H554" t="s">
        <v>51</v>
      </c>
      <c r="I554">
        <v>762</v>
      </c>
      <c r="J554">
        <v>3</v>
      </c>
      <c r="K554" s="17" t="s">
        <v>46</v>
      </c>
      <c r="L554">
        <v>81</v>
      </c>
      <c r="M554">
        <v>3</v>
      </c>
      <c r="N554">
        <v>4</v>
      </c>
      <c r="O554" s="17" t="s">
        <v>54</v>
      </c>
      <c r="P554" s="14">
        <v>4</v>
      </c>
      <c r="Q554" t="s">
        <v>48</v>
      </c>
      <c r="R554" s="14">
        <v>11103</v>
      </c>
      <c r="S554" s="17" t="str">
        <f t="shared" si="16"/>
        <v>high</v>
      </c>
      <c r="T554">
        <v>20420</v>
      </c>
      <c r="U554">
        <v>7</v>
      </c>
      <c r="V554" s="17" t="s">
        <v>43</v>
      </c>
      <c r="W554">
        <v>11</v>
      </c>
      <c r="X554">
        <v>3</v>
      </c>
      <c r="Y554">
        <v>3</v>
      </c>
      <c r="Z554">
        <v>0</v>
      </c>
      <c r="AA554">
        <v>30</v>
      </c>
      <c r="AB554">
        <v>1</v>
      </c>
      <c r="AC554">
        <v>2</v>
      </c>
      <c r="AD554" s="14">
        <v>10</v>
      </c>
      <c r="AE554" t="str">
        <f t="shared" si="17"/>
        <v>6-10 years</v>
      </c>
      <c r="AF554" s="14">
        <v>7</v>
      </c>
      <c r="AG554" s="14">
        <v>1</v>
      </c>
      <c r="AH554" s="14">
        <v>1</v>
      </c>
    </row>
    <row r="555" spans="1:34" x14ac:dyDescent="0.3">
      <c r="A555" s="14">
        <v>40</v>
      </c>
      <c r="B555" s="17" t="s">
        <v>43</v>
      </c>
      <c r="C555" t="s">
        <v>36</v>
      </c>
      <c r="D555">
        <v>804</v>
      </c>
      <c r="E555" s="17" t="s">
        <v>45</v>
      </c>
      <c r="F555">
        <v>2</v>
      </c>
      <c r="G555">
        <v>1</v>
      </c>
      <c r="H555" t="s">
        <v>51</v>
      </c>
      <c r="I555">
        <v>763</v>
      </c>
      <c r="J555">
        <v>4</v>
      </c>
      <c r="K555" s="17" t="s">
        <v>39</v>
      </c>
      <c r="L555">
        <v>86</v>
      </c>
      <c r="M555">
        <v>2</v>
      </c>
      <c r="N555">
        <v>1</v>
      </c>
      <c r="O555" s="17" t="s">
        <v>47</v>
      </c>
      <c r="P555" s="14">
        <v>4</v>
      </c>
      <c r="Q555" t="s">
        <v>41</v>
      </c>
      <c r="R555" s="14">
        <v>2342</v>
      </c>
      <c r="S555" s="17" t="str">
        <f t="shared" si="16"/>
        <v>low</v>
      </c>
      <c r="T555">
        <v>22929</v>
      </c>
      <c r="U555">
        <v>0</v>
      </c>
      <c r="V555" s="17" t="s">
        <v>35</v>
      </c>
      <c r="W555">
        <v>20</v>
      </c>
      <c r="X555">
        <v>4</v>
      </c>
      <c r="Y555">
        <v>4</v>
      </c>
      <c r="Z555">
        <v>0</v>
      </c>
      <c r="AA555">
        <v>5</v>
      </c>
      <c r="AB555">
        <v>2</v>
      </c>
      <c r="AC555">
        <v>2</v>
      </c>
      <c r="AD555" s="14">
        <v>4</v>
      </c>
      <c r="AE555" t="str">
        <f t="shared" si="17"/>
        <v>3-5 years</v>
      </c>
      <c r="AF555" s="14">
        <v>2</v>
      </c>
      <c r="AG555" s="14">
        <v>2</v>
      </c>
      <c r="AH555" s="14">
        <v>3</v>
      </c>
    </row>
    <row r="556" spans="1:34" x14ac:dyDescent="0.3">
      <c r="A556" s="14">
        <v>27</v>
      </c>
      <c r="B556" s="17" t="s">
        <v>43</v>
      </c>
      <c r="C556" t="s">
        <v>36</v>
      </c>
      <c r="D556">
        <v>975</v>
      </c>
      <c r="E556" s="17" t="s">
        <v>45</v>
      </c>
      <c r="F556">
        <v>7</v>
      </c>
      <c r="G556">
        <v>3</v>
      </c>
      <c r="H556" t="s">
        <v>51</v>
      </c>
      <c r="I556">
        <v>764</v>
      </c>
      <c r="J556">
        <v>4</v>
      </c>
      <c r="K556" s="17" t="s">
        <v>39</v>
      </c>
      <c r="L556">
        <v>55</v>
      </c>
      <c r="M556">
        <v>2</v>
      </c>
      <c r="N556">
        <v>2</v>
      </c>
      <c r="O556" s="17" t="s">
        <v>54</v>
      </c>
      <c r="P556" s="14">
        <v>1</v>
      </c>
      <c r="Q556" t="s">
        <v>41</v>
      </c>
      <c r="R556" s="14">
        <v>6811</v>
      </c>
      <c r="S556" s="17" t="str">
        <f t="shared" si="16"/>
        <v>medium</v>
      </c>
      <c r="T556">
        <v>23398</v>
      </c>
      <c r="U556">
        <v>8</v>
      </c>
      <c r="V556" s="17" t="s">
        <v>43</v>
      </c>
      <c r="W556">
        <v>19</v>
      </c>
      <c r="X556">
        <v>3</v>
      </c>
      <c r="Y556">
        <v>1</v>
      </c>
      <c r="Z556">
        <v>0</v>
      </c>
      <c r="AA556">
        <v>9</v>
      </c>
      <c r="AB556">
        <v>2</v>
      </c>
      <c r="AC556">
        <v>1</v>
      </c>
      <c r="AD556" s="14">
        <v>7</v>
      </c>
      <c r="AE556" t="str">
        <f t="shared" si="17"/>
        <v>6-10 years</v>
      </c>
      <c r="AF556" s="14">
        <v>6</v>
      </c>
      <c r="AG556" s="14">
        <v>0</v>
      </c>
      <c r="AH556" s="14">
        <v>7</v>
      </c>
    </row>
    <row r="557" spans="1:34" x14ac:dyDescent="0.3">
      <c r="A557" s="14">
        <v>29</v>
      </c>
      <c r="B557" s="17" t="s">
        <v>43</v>
      </c>
      <c r="C557" t="s">
        <v>36</v>
      </c>
      <c r="D557">
        <v>1090</v>
      </c>
      <c r="E557" s="17" t="s">
        <v>37</v>
      </c>
      <c r="F557">
        <v>10</v>
      </c>
      <c r="G557">
        <v>3</v>
      </c>
      <c r="H557" t="s">
        <v>59</v>
      </c>
      <c r="I557">
        <v>766</v>
      </c>
      <c r="J557">
        <v>4</v>
      </c>
      <c r="K557" s="17" t="s">
        <v>46</v>
      </c>
      <c r="L557">
        <v>83</v>
      </c>
      <c r="M557">
        <v>3</v>
      </c>
      <c r="N557">
        <v>1</v>
      </c>
      <c r="O557" s="17" t="s">
        <v>57</v>
      </c>
      <c r="P557" s="14">
        <v>2</v>
      </c>
      <c r="Q557" t="s">
        <v>52</v>
      </c>
      <c r="R557" s="14">
        <v>2297</v>
      </c>
      <c r="S557" s="17" t="str">
        <f t="shared" si="16"/>
        <v>low</v>
      </c>
      <c r="T557">
        <v>17967</v>
      </c>
      <c r="U557">
        <v>1</v>
      </c>
      <c r="V557" s="17" t="s">
        <v>43</v>
      </c>
      <c r="W557">
        <v>14</v>
      </c>
      <c r="X557">
        <v>3</v>
      </c>
      <c r="Y557">
        <v>4</v>
      </c>
      <c r="Z557">
        <v>2</v>
      </c>
      <c r="AA557">
        <v>2</v>
      </c>
      <c r="AB557">
        <v>2</v>
      </c>
      <c r="AC557">
        <v>3</v>
      </c>
      <c r="AD557" s="14">
        <v>2</v>
      </c>
      <c r="AE557" t="str">
        <f t="shared" si="17"/>
        <v>0-2 years</v>
      </c>
      <c r="AF557" s="14">
        <v>2</v>
      </c>
      <c r="AG557" s="14">
        <v>2</v>
      </c>
      <c r="AH557" s="14">
        <v>2</v>
      </c>
    </row>
    <row r="558" spans="1:34" x14ac:dyDescent="0.3">
      <c r="A558" s="14">
        <v>53</v>
      </c>
      <c r="B558" s="17" t="s">
        <v>43</v>
      </c>
      <c r="C558" t="s">
        <v>36</v>
      </c>
      <c r="D558">
        <v>346</v>
      </c>
      <c r="E558" s="17" t="s">
        <v>45</v>
      </c>
      <c r="F558">
        <v>6</v>
      </c>
      <c r="G558">
        <v>3</v>
      </c>
      <c r="H558" t="s">
        <v>38</v>
      </c>
      <c r="I558">
        <v>769</v>
      </c>
      <c r="J558">
        <v>4</v>
      </c>
      <c r="K558" s="17" t="s">
        <v>46</v>
      </c>
      <c r="L558">
        <v>86</v>
      </c>
      <c r="M558">
        <v>3</v>
      </c>
      <c r="N558">
        <v>2</v>
      </c>
      <c r="O558" s="17" t="s">
        <v>50</v>
      </c>
      <c r="P558" s="14">
        <v>4</v>
      </c>
      <c r="Q558" t="s">
        <v>41</v>
      </c>
      <c r="R558" s="14">
        <v>2450</v>
      </c>
      <c r="S558" s="17" t="str">
        <f t="shared" si="16"/>
        <v>low</v>
      </c>
      <c r="T558">
        <v>10919</v>
      </c>
      <c r="U558">
        <v>2</v>
      </c>
      <c r="V558" s="17" t="s">
        <v>43</v>
      </c>
      <c r="W558">
        <v>17</v>
      </c>
      <c r="X558">
        <v>3</v>
      </c>
      <c r="Y558">
        <v>4</v>
      </c>
      <c r="Z558">
        <v>0</v>
      </c>
      <c r="AA558">
        <v>19</v>
      </c>
      <c r="AB558">
        <v>4</v>
      </c>
      <c r="AC558">
        <v>3</v>
      </c>
      <c r="AD558" s="14">
        <v>2</v>
      </c>
      <c r="AE558" t="str">
        <f t="shared" si="17"/>
        <v>0-2 years</v>
      </c>
      <c r="AF558" s="14">
        <v>2</v>
      </c>
      <c r="AG558" s="14">
        <v>2</v>
      </c>
      <c r="AH558" s="14">
        <v>2</v>
      </c>
    </row>
    <row r="559" spans="1:34" x14ac:dyDescent="0.3">
      <c r="A559" s="14">
        <v>35</v>
      </c>
      <c r="B559" s="17" t="s">
        <v>43</v>
      </c>
      <c r="C559" t="s">
        <v>55</v>
      </c>
      <c r="D559">
        <v>1225</v>
      </c>
      <c r="E559" s="17" t="s">
        <v>45</v>
      </c>
      <c r="F559">
        <v>2</v>
      </c>
      <c r="G559">
        <v>4</v>
      </c>
      <c r="H559" t="s">
        <v>38</v>
      </c>
      <c r="I559">
        <v>771</v>
      </c>
      <c r="J559">
        <v>4</v>
      </c>
      <c r="K559" s="17" t="s">
        <v>39</v>
      </c>
      <c r="L559">
        <v>61</v>
      </c>
      <c r="M559">
        <v>3</v>
      </c>
      <c r="N559">
        <v>2</v>
      </c>
      <c r="O559" s="17" t="s">
        <v>54</v>
      </c>
      <c r="P559" s="14">
        <v>1</v>
      </c>
      <c r="Q559" t="s">
        <v>52</v>
      </c>
      <c r="R559" s="14">
        <v>5093</v>
      </c>
      <c r="S559" s="17" t="str">
        <f t="shared" si="16"/>
        <v>medium</v>
      </c>
      <c r="T559">
        <v>4761</v>
      </c>
      <c r="U559">
        <v>2</v>
      </c>
      <c r="V559" s="17" t="s">
        <v>43</v>
      </c>
      <c r="W559">
        <v>11</v>
      </c>
      <c r="X559">
        <v>3</v>
      </c>
      <c r="Y559">
        <v>1</v>
      </c>
      <c r="Z559">
        <v>1</v>
      </c>
      <c r="AA559">
        <v>16</v>
      </c>
      <c r="AB559">
        <v>2</v>
      </c>
      <c r="AC559">
        <v>4</v>
      </c>
      <c r="AD559" s="14">
        <v>1</v>
      </c>
      <c r="AE559" t="str">
        <f t="shared" si="17"/>
        <v>0-2 years</v>
      </c>
      <c r="AF559" s="14">
        <v>0</v>
      </c>
      <c r="AG559" s="14">
        <v>0</v>
      </c>
      <c r="AH559" s="14">
        <v>0</v>
      </c>
    </row>
    <row r="560" spans="1:34" x14ac:dyDescent="0.3">
      <c r="A560" s="14">
        <v>32</v>
      </c>
      <c r="B560" s="17" t="s">
        <v>43</v>
      </c>
      <c r="C560" t="s">
        <v>44</v>
      </c>
      <c r="D560">
        <v>430</v>
      </c>
      <c r="E560" s="17" t="s">
        <v>45</v>
      </c>
      <c r="F560">
        <v>24</v>
      </c>
      <c r="G560">
        <v>4</v>
      </c>
      <c r="H560" t="s">
        <v>38</v>
      </c>
      <c r="I560">
        <v>772</v>
      </c>
      <c r="J560">
        <v>1</v>
      </c>
      <c r="K560" s="17" t="s">
        <v>46</v>
      </c>
      <c r="L560">
        <v>80</v>
      </c>
      <c r="M560">
        <v>3</v>
      </c>
      <c r="N560">
        <v>2</v>
      </c>
      <c r="O560" s="17" t="s">
        <v>50</v>
      </c>
      <c r="P560" s="14">
        <v>4</v>
      </c>
      <c r="Q560" t="s">
        <v>48</v>
      </c>
      <c r="R560" s="14">
        <v>5309</v>
      </c>
      <c r="S560" s="17" t="str">
        <f t="shared" si="16"/>
        <v>medium</v>
      </c>
      <c r="T560">
        <v>21146</v>
      </c>
      <c r="U560">
        <v>1</v>
      </c>
      <c r="V560" s="17" t="s">
        <v>43</v>
      </c>
      <c r="W560">
        <v>15</v>
      </c>
      <c r="X560">
        <v>3</v>
      </c>
      <c r="Y560">
        <v>4</v>
      </c>
      <c r="Z560">
        <v>2</v>
      </c>
      <c r="AA560">
        <v>10</v>
      </c>
      <c r="AB560">
        <v>2</v>
      </c>
      <c r="AC560">
        <v>3</v>
      </c>
      <c r="AD560" s="14">
        <v>10</v>
      </c>
      <c r="AE560" t="str">
        <f t="shared" si="17"/>
        <v>6-10 years</v>
      </c>
      <c r="AF560" s="14">
        <v>8</v>
      </c>
      <c r="AG560" s="14">
        <v>4</v>
      </c>
      <c r="AH560" s="14">
        <v>7</v>
      </c>
    </row>
    <row r="561" spans="1:34" x14ac:dyDescent="0.3">
      <c r="A561" s="14">
        <v>38</v>
      </c>
      <c r="B561" s="17" t="s">
        <v>43</v>
      </c>
      <c r="C561" t="s">
        <v>36</v>
      </c>
      <c r="D561">
        <v>268</v>
      </c>
      <c r="E561" s="17" t="s">
        <v>45</v>
      </c>
      <c r="F561">
        <v>2</v>
      </c>
      <c r="G561">
        <v>5</v>
      </c>
      <c r="H561" t="s">
        <v>51</v>
      </c>
      <c r="I561">
        <v>773</v>
      </c>
      <c r="J561">
        <v>4</v>
      </c>
      <c r="K561" s="17" t="s">
        <v>46</v>
      </c>
      <c r="L561">
        <v>92</v>
      </c>
      <c r="M561">
        <v>3</v>
      </c>
      <c r="N561">
        <v>1</v>
      </c>
      <c r="O561" s="17" t="s">
        <v>47</v>
      </c>
      <c r="P561" s="14">
        <v>3</v>
      </c>
      <c r="Q561" t="s">
        <v>48</v>
      </c>
      <c r="R561" s="14">
        <v>3057</v>
      </c>
      <c r="S561" s="17" t="str">
        <f t="shared" si="16"/>
        <v>medium</v>
      </c>
      <c r="T561">
        <v>20471</v>
      </c>
      <c r="U561">
        <v>6</v>
      </c>
      <c r="V561" s="17" t="s">
        <v>35</v>
      </c>
      <c r="W561">
        <v>13</v>
      </c>
      <c r="X561">
        <v>3</v>
      </c>
      <c r="Y561">
        <v>2</v>
      </c>
      <c r="Z561">
        <v>1</v>
      </c>
      <c r="AA561">
        <v>6</v>
      </c>
      <c r="AB561">
        <v>0</v>
      </c>
      <c r="AC561">
        <v>1</v>
      </c>
      <c r="AD561" s="14">
        <v>1</v>
      </c>
      <c r="AE561" t="str">
        <f t="shared" si="17"/>
        <v>0-2 years</v>
      </c>
      <c r="AF561" s="14">
        <v>0</v>
      </c>
      <c r="AG561" s="14">
        <v>0</v>
      </c>
      <c r="AH561" s="14">
        <v>1</v>
      </c>
    </row>
    <row r="562" spans="1:34" x14ac:dyDescent="0.3">
      <c r="A562" s="14">
        <v>34</v>
      </c>
      <c r="B562" s="17" t="s">
        <v>43</v>
      </c>
      <c r="C562" t="s">
        <v>36</v>
      </c>
      <c r="D562">
        <v>167</v>
      </c>
      <c r="E562" s="17" t="s">
        <v>45</v>
      </c>
      <c r="F562">
        <v>8</v>
      </c>
      <c r="G562">
        <v>5</v>
      </c>
      <c r="H562" t="s">
        <v>38</v>
      </c>
      <c r="I562">
        <v>775</v>
      </c>
      <c r="J562">
        <v>2</v>
      </c>
      <c r="K562" s="17" t="s">
        <v>39</v>
      </c>
      <c r="L562">
        <v>32</v>
      </c>
      <c r="M562">
        <v>3</v>
      </c>
      <c r="N562">
        <v>2</v>
      </c>
      <c r="O562" s="17" t="s">
        <v>53</v>
      </c>
      <c r="P562" s="14">
        <v>1</v>
      </c>
      <c r="Q562" t="s">
        <v>52</v>
      </c>
      <c r="R562" s="14">
        <v>5121</v>
      </c>
      <c r="S562" s="17" t="str">
        <f t="shared" si="16"/>
        <v>medium</v>
      </c>
      <c r="T562">
        <v>4187</v>
      </c>
      <c r="U562">
        <v>3</v>
      </c>
      <c r="V562" s="17" t="s">
        <v>43</v>
      </c>
      <c r="W562">
        <v>14</v>
      </c>
      <c r="X562">
        <v>3</v>
      </c>
      <c r="Y562">
        <v>3</v>
      </c>
      <c r="Z562">
        <v>1</v>
      </c>
      <c r="AA562">
        <v>7</v>
      </c>
      <c r="AB562">
        <v>3</v>
      </c>
      <c r="AC562">
        <v>3</v>
      </c>
      <c r="AD562" s="14">
        <v>0</v>
      </c>
      <c r="AE562" t="str">
        <f t="shared" si="17"/>
        <v>0-2 years</v>
      </c>
      <c r="AF562" s="14">
        <v>0</v>
      </c>
      <c r="AG562" s="14">
        <v>0</v>
      </c>
      <c r="AH562" s="14">
        <v>0</v>
      </c>
    </row>
    <row r="563" spans="1:34" x14ac:dyDescent="0.3">
      <c r="A563" s="14">
        <v>52</v>
      </c>
      <c r="B563" s="17" t="s">
        <v>43</v>
      </c>
      <c r="C563" t="s">
        <v>36</v>
      </c>
      <c r="D563">
        <v>621</v>
      </c>
      <c r="E563" s="17" t="s">
        <v>37</v>
      </c>
      <c r="F563">
        <v>3</v>
      </c>
      <c r="G563">
        <v>4</v>
      </c>
      <c r="H563" t="s">
        <v>59</v>
      </c>
      <c r="I563">
        <v>776</v>
      </c>
      <c r="J563">
        <v>3</v>
      </c>
      <c r="K563" s="17" t="s">
        <v>46</v>
      </c>
      <c r="L563">
        <v>31</v>
      </c>
      <c r="M563">
        <v>2</v>
      </c>
      <c r="N563">
        <v>4</v>
      </c>
      <c r="O563" s="17" t="s">
        <v>56</v>
      </c>
      <c r="P563" s="14">
        <v>1</v>
      </c>
      <c r="Q563" t="s">
        <v>48</v>
      </c>
      <c r="R563" s="14">
        <v>16856</v>
      </c>
      <c r="S563" s="17" t="str">
        <f t="shared" si="16"/>
        <v>high</v>
      </c>
      <c r="T563">
        <v>10084</v>
      </c>
      <c r="U563">
        <v>1</v>
      </c>
      <c r="V563" s="17" t="s">
        <v>43</v>
      </c>
      <c r="W563">
        <v>11</v>
      </c>
      <c r="X563">
        <v>3</v>
      </c>
      <c r="Y563">
        <v>1</v>
      </c>
      <c r="Z563">
        <v>0</v>
      </c>
      <c r="AA563">
        <v>34</v>
      </c>
      <c r="AB563">
        <v>3</v>
      </c>
      <c r="AC563">
        <v>4</v>
      </c>
      <c r="AD563" s="14">
        <v>34</v>
      </c>
      <c r="AE563" t="str">
        <f t="shared" si="17"/>
        <v>10+ years</v>
      </c>
      <c r="AF563" s="14">
        <v>6</v>
      </c>
      <c r="AG563" s="14">
        <v>1</v>
      </c>
      <c r="AH563" s="14">
        <v>16</v>
      </c>
    </row>
    <row r="564" spans="1:34" x14ac:dyDescent="0.3">
      <c r="A564" s="14">
        <v>33</v>
      </c>
      <c r="B564" s="17" t="s">
        <v>35</v>
      </c>
      <c r="C564" t="s">
        <v>36</v>
      </c>
      <c r="D564">
        <v>527</v>
      </c>
      <c r="E564" s="17" t="s">
        <v>45</v>
      </c>
      <c r="F564">
        <v>1</v>
      </c>
      <c r="G564">
        <v>4</v>
      </c>
      <c r="H564" t="s">
        <v>49</v>
      </c>
      <c r="I564">
        <v>780</v>
      </c>
      <c r="J564">
        <v>4</v>
      </c>
      <c r="K564" s="17" t="s">
        <v>46</v>
      </c>
      <c r="L564">
        <v>63</v>
      </c>
      <c r="M564">
        <v>3</v>
      </c>
      <c r="N564">
        <v>1</v>
      </c>
      <c r="O564" s="17" t="s">
        <v>47</v>
      </c>
      <c r="P564" s="14">
        <v>4</v>
      </c>
      <c r="Q564" t="s">
        <v>41</v>
      </c>
      <c r="R564" s="14">
        <v>2686</v>
      </c>
      <c r="S564" s="17" t="str">
        <f t="shared" si="16"/>
        <v>low</v>
      </c>
      <c r="T564">
        <v>5207</v>
      </c>
      <c r="U564">
        <v>1</v>
      </c>
      <c r="V564" s="17" t="s">
        <v>35</v>
      </c>
      <c r="W564">
        <v>13</v>
      </c>
      <c r="X564">
        <v>3</v>
      </c>
      <c r="Y564">
        <v>3</v>
      </c>
      <c r="Z564">
        <v>0</v>
      </c>
      <c r="AA564">
        <v>10</v>
      </c>
      <c r="AB564">
        <v>2</v>
      </c>
      <c r="AC564">
        <v>2</v>
      </c>
      <c r="AD564" s="14">
        <v>10</v>
      </c>
      <c r="AE564" t="str">
        <f t="shared" si="17"/>
        <v>6-10 years</v>
      </c>
      <c r="AF564" s="14">
        <v>9</v>
      </c>
      <c r="AG564" s="14">
        <v>7</v>
      </c>
      <c r="AH564" s="14">
        <v>8</v>
      </c>
    </row>
    <row r="565" spans="1:34" x14ac:dyDescent="0.3">
      <c r="A565" s="14">
        <v>25</v>
      </c>
      <c r="B565" s="17" t="s">
        <v>43</v>
      </c>
      <c r="C565" t="s">
        <v>36</v>
      </c>
      <c r="D565">
        <v>883</v>
      </c>
      <c r="E565" s="17" t="s">
        <v>37</v>
      </c>
      <c r="F565">
        <v>26</v>
      </c>
      <c r="G565">
        <v>1</v>
      </c>
      <c r="H565" t="s">
        <v>51</v>
      </c>
      <c r="I565">
        <v>781</v>
      </c>
      <c r="J565">
        <v>3</v>
      </c>
      <c r="K565" s="17" t="s">
        <v>39</v>
      </c>
      <c r="L565">
        <v>32</v>
      </c>
      <c r="M565">
        <v>3</v>
      </c>
      <c r="N565">
        <v>2</v>
      </c>
      <c r="O565" s="17" t="s">
        <v>40</v>
      </c>
      <c r="P565" s="14">
        <v>4</v>
      </c>
      <c r="Q565" t="s">
        <v>41</v>
      </c>
      <c r="R565" s="14">
        <v>6180</v>
      </c>
      <c r="S565" s="17" t="str">
        <f t="shared" si="16"/>
        <v>medium</v>
      </c>
      <c r="T565">
        <v>22807</v>
      </c>
      <c r="U565">
        <v>1</v>
      </c>
      <c r="V565" s="17" t="s">
        <v>43</v>
      </c>
      <c r="W565">
        <v>23</v>
      </c>
      <c r="X565">
        <v>4</v>
      </c>
      <c r="Y565">
        <v>2</v>
      </c>
      <c r="Z565">
        <v>0</v>
      </c>
      <c r="AA565">
        <v>6</v>
      </c>
      <c r="AB565">
        <v>5</v>
      </c>
      <c r="AC565">
        <v>2</v>
      </c>
      <c r="AD565" s="14">
        <v>6</v>
      </c>
      <c r="AE565" t="str">
        <f t="shared" si="17"/>
        <v>6-10 years</v>
      </c>
      <c r="AF565" s="14">
        <v>5</v>
      </c>
      <c r="AG565" s="14">
        <v>1</v>
      </c>
      <c r="AH565" s="14">
        <v>4</v>
      </c>
    </row>
    <row r="566" spans="1:34" x14ac:dyDescent="0.3">
      <c r="A566" s="14">
        <v>45</v>
      </c>
      <c r="B566" s="17" t="s">
        <v>43</v>
      </c>
      <c r="C566" t="s">
        <v>36</v>
      </c>
      <c r="D566">
        <v>954</v>
      </c>
      <c r="E566" s="17" t="s">
        <v>37</v>
      </c>
      <c r="F566">
        <v>2</v>
      </c>
      <c r="G566">
        <v>2</v>
      </c>
      <c r="H566" t="s">
        <v>60</v>
      </c>
      <c r="I566">
        <v>783</v>
      </c>
      <c r="J566">
        <v>2</v>
      </c>
      <c r="K566" s="17" t="s">
        <v>46</v>
      </c>
      <c r="L566">
        <v>46</v>
      </c>
      <c r="M566">
        <v>1</v>
      </c>
      <c r="N566">
        <v>2</v>
      </c>
      <c r="O566" s="17" t="s">
        <v>57</v>
      </c>
      <c r="P566" s="14">
        <v>3</v>
      </c>
      <c r="Q566" t="s">
        <v>41</v>
      </c>
      <c r="R566" s="14">
        <v>6632</v>
      </c>
      <c r="S566" s="17" t="str">
        <f t="shared" si="16"/>
        <v>medium</v>
      </c>
      <c r="T566">
        <v>12388</v>
      </c>
      <c r="U566">
        <v>0</v>
      </c>
      <c r="V566" s="17" t="s">
        <v>43</v>
      </c>
      <c r="W566">
        <v>13</v>
      </c>
      <c r="X566">
        <v>3</v>
      </c>
      <c r="Y566">
        <v>1</v>
      </c>
      <c r="Z566">
        <v>0</v>
      </c>
      <c r="AA566">
        <v>9</v>
      </c>
      <c r="AB566">
        <v>3</v>
      </c>
      <c r="AC566">
        <v>3</v>
      </c>
      <c r="AD566" s="14">
        <v>8</v>
      </c>
      <c r="AE566" t="str">
        <f t="shared" si="17"/>
        <v>6-10 years</v>
      </c>
      <c r="AF566" s="14">
        <v>7</v>
      </c>
      <c r="AG566" s="14">
        <v>3</v>
      </c>
      <c r="AH566" s="14">
        <v>1</v>
      </c>
    </row>
    <row r="567" spans="1:34" x14ac:dyDescent="0.3">
      <c r="A567" s="14">
        <v>23</v>
      </c>
      <c r="B567" s="17" t="s">
        <v>43</v>
      </c>
      <c r="C567" t="s">
        <v>36</v>
      </c>
      <c r="D567">
        <v>310</v>
      </c>
      <c r="E567" s="17" t="s">
        <v>45</v>
      </c>
      <c r="F567">
        <v>10</v>
      </c>
      <c r="G567">
        <v>1</v>
      </c>
      <c r="H567" t="s">
        <v>51</v>
      </c>
      <c r="I567">
        <v>784</v>
      </c>
      <c r="J567">
        <v>1</v>
      </c>
      <c r="K567" s="17" t="s">
        <v>46</v>
      </c>
      <c r="L567">
        <v>79</v>
      </c>
      <c r="M567">
        <v>4</v>
      </c>
      <c r="N567">
        <v>1</v>
      </c>
      <c r="O567" s="17" t="s">
        <v>47</v>
      </c>
      <c r="P567" s="14">
        <v>3</v>
      </c>
      <c r="Q567" t="s">
        <v>41</v>
      </c>
      <c r="R567" s="14">
        <v>3505</v>
      </c>
      <c r="S567" s="17" t="str">
        <f t="shared" si="16"/>
        <v>medium</v>
      </c>
      <c r="T567">
        <v>19630</v>
      </c>
      <c r="U567">
        <v>1</v>
      </c>
      <c r="V567" s="17" t="s">
        <v>43</v>
      </c>
      <c r="W567">
        <v>18</v>
      </c>
      <c r="X567">
        <v>3</v>
      </c>
      <c r="Y567">
        <v>4</v>
      </c>
      <c r="Z567">
        <v>0</v>
      </c>
      <c r="AA567">
        <v>2</v>
      </c>
      <c r="AB567">
        <v>3</v>
      </c>
      <c r="AC567">
        <v>3</v>
      </c>
      <c r="AD567" s="14">
        <v>2</v>
      </c>
      <c r="AE567" t="str">
        <f t="shared" si="17"/>
        <v>0-2 years</v>
      </c>
      <c r="AF567" s="14">
        <v>2</v>
      </c>
      <c r="AG567" s="14">
        <v>0</v>
      </c>
      <c r="AH567" s="14">
        <v>2</v>
      </c>
    </row>
    <row r="568" spans="1:34" x14ac:dyDescent="0.3">
      <c r="A568" s="14">
        <v>47</v>
      </c>
      <c r="B568" s="17" t="s">
        <v>35</v>
      </c>
      <c r="C568" t="s">
        <v>44</v>
      </c>
      <c r="D568">
        <v>719</v>
      </c>
      <c r="E568" s="17" t="s">
        <v>37</v>
      </c>
      <c r="F568">
        <v>27</v>
      </c>
      <c r="G568">
        <v>2</v>
      </c>
      <c r="H568" t="s">
        <v>38</v>
      </c>
      <c r="I568">
        <v>785</v>
      </c>
      <c r="J568">
        <v>2</v>
      </c>
      <c r="K568" s="17" t="s">
        <v>39</v>
      </c>
      <c r="L568">
        <v>77</v>
      </c>
      <c r="M568">
        <v>4</v>
      </c>
      <c r="N568">
        <v>2</v>
      </c>
      <c r="O568" s="17" t="s">
        <v>40</v>
      </c>
      <c r="P568" s="14">
        <v>3</v>
      </c>
      <c r="Q568" t="s">
        <v>41</v>
      </c>
      <c r="R568" s="14">
        <v>6397</v>
      </c>
      <c r="S568" s="17" t="str">
        <f t="shared" si="16"/>
        <v>medium</v>
      </c>
      <c r="T568">
        <v>10339</v>
      </c>
      <c r="U568">
        <v>4</v>
      </c>
      <c r="V568" s="17" t="s">
        <v>35</v>
      </c>
      <c r="W568">
        <v>12</v>
      </c>
      <c r="X568">
        <v>3</v>
      </c>
      <c r="Y568">
        <v>4</v>
      </c>
      <c r="Z568">
        <v>0</v>
      </c>
      <c r="AA568">
        <v>8</v>
      </c>
      <c r="AB568">
        <v>2</v>
      </c>
      <c r="AC568">
        <v>3</v>
      </c>
      <c r="AD568" s="14">
        <v>5</v>
      </c>
      <c r="AE568" t="str">
        <f t="shared" si="17"/>
        <v>3-5 years</v>
      </c>
      <c r="AF568" s="14">
        <v>4</v>
      </c>
      <c r="AG568" s="14">
        <v>1</v>
      </c>
      <c r="AH568" s="14">
        <v>3</v>
      </c>
    </row>
    <row r="569" spans="1:34" x14ac:dyDescent="0.3">
      <c r="A569" s="14">
        <v>34</v>
      </c>
      <c r="B569" s="17" t="s">
        <v>43</v>
      </c>
      <c r="C569" t="s">
        <v>36</v>
      </c>
      <c r="D569">
        <v>304</v>
      </c>
      <c r="E569" s="17" t="s">
        <v>37</v>
      </c>
      <c r="F569">
        <v>2</v>
      </c>
      <c r="G569">
        <v>3</v>
      </c>
      <c r="H569" t="s">
        <v>49</v>
      </c>
      <c r="I569">
        <v>786</v>
      </c>
      <c r="J569">
        <v>4</v>
      </c>
      <c r="K569" s="17" t="s">
        <v>46</v>
      </c>
      <c r="L569">
        <v>60</v>
      </c>
      <c r="M569">
        <v>3</v>
      </c>
      <c r="N569">
        <v>2</v>
      </c>
      <c r="O569" s="17" t="s">
        <v>40</v>
      </c>
      <c r="P569" s="14">
        <v>4</v>
      </c>
      <c r="Q569" t="s">
        <v>41</v>
      </c>
      <c r="R569" s="14">
        <v>6274</v>
      </c>
      <c r="S569" s="17" t="str">
        <f t="shared" si="16"/>
        <v>medium</v>
      </c>
      <c r="T569">
        <v>18686</v>
      </c>
      <c r="U569">
        <v>1</v>
      </c>
      <c r="V569" s="17" t="s">
        <v>43</v>
      </c>
      <c r="W569">
        <v>22</v>
      </c>
      <c r="X569">
        <v>4</v>
      </c>
      <c r="Y569">
        <v>3</v>
      </c>
      <c r="Z569">
        <v>0</v>
      </c>
      <c r="AA569">
        <v>6</v>
      </c>
      <c r="AB569">
        <v>5</v>
      </c>
      <c r="AC569">
        <v>3</v>
      </c>
      <c r="AD569" s="14">
        <v>6</v>
      </c>
      <c r="AE569" t="str">
        <f t="shared" si="17"/>
        <v>6-10 years</v>
      </c>
      <c r="AF569" s="14">
        <v>5</v>
      </c>
      <c r="AG569" s="14">
        <v>1</v>
      </c>
      <c r="AH569" s="14">
        <v>4</v>
      </c>
    </row>
    <row r="570" spans="1:34" x14ac:dyDescent="0.3">
      <c r="A570" s="14">
        <v>55</v>
      </c>
      <c r="B570" s="17" t="s">
        <v>35</v>
      </c>
      <c r="C570" t="s">
        <v>36</v>
      </c>
      <c r="D570">
        <v>725</v>
      </c>
      <c r="E570" s="17" t="s">
        <v>45</v>
      </c>
      <c r="F570">
        <v>2</v>
      </c>
      <c r="G570">
        <v>3</v>
      </c>
      <c r="H570" t="s">
        <v>51</v>
      </c>
      <c r="I570">
        <v>787</v>
      </c>
      <c r="J570">
        <v>4</v>
      </c>
      <c r="K570" s="17" t="s">
        <v>46</v>
      </c>
      <c r="L570">
        <v>78</v>
      </c>
      <c r="M570">
        <v>3</v>
      </c>
      <c r="N570">
        <v>5</v>
      </c>
      <c r="O570" s="17" t="s">
        <v>56</v>
      </c>
      <c r="P570" s="14">
        <v>1</v>
      </c>
      <c r="Q570" t="s">
        <v>48</v>
      </c>
      <c r="R570" s="14">
        <v>19859</v>
      </c>
      <c r="S570" s="17" t="str">
        <f t="shared" si="16"/>
        <v>high</v>
      </c>
      <c r="T570">
        <v>21199</v>
      </c>
      <c r="U570">
        <v>5</v>
      </c>
      <c r="V570" s="17" t="s">
        <v>35</v>
      </c>
      <c r="W570">
        <v>13</v>
      </c>
      <c r="X570">
        <v>3</v>
      </c>
      <c r="Y570">
        <v>4</v>
      </c>
      <c r="Z570">
        <v>1</v>
      </c>
      <c r="AA570">
        <v>24</v>
      </c>
      <c r="AB570">
        <v>2</v>
      </c>
      <c r="AC570">
        <v>3</v>
      </c>
      <c r="AD570" s="14">
        <v>5</v>
      </c>
      <c r="AE570" t="str">
        <f t="shared" si="17"/>
        <v>3-5 years</v>
      </c>
      <c r="AF570" s="14">
        <v>2</v>
      </c>
      <c r="AG570" s="14">
        <v>1</v>
      </c>
      <c r="AH570" s="14">
        <v>4</v>
      </c>
    </row>
    <row r="571" spans="1:34" x14ac:dyDescent="0.3">
      <c r="A571" s="14">
        <v>36</v>
      </c>
      <c r="B571" s="17" t="s">
        <v>43</v>
      </c>
      <c r="C571" t="s">
        <v>55</v>
      </c>
      <c r="D571">
        <v>1434</v>
      </c>
      <c r="E571" s="17" t="s">
        <v>37</v>
      </c>
      <c r="F571">
        <v>8</v>
      </c>
      <c r="G571">
        <v>4</v>
      </c>
      <c r="H571" t="s">
        <v>38</v>
      </c>
      <c r="I571">
        <v>789</v>
      </c>
      <c r="J571">
        <v>1</v>
      </c>
      <c r="K571" s="17" t="s">
        <v>46</v>
      </c>
      <c r="L571">
        <v>76</v>
      </c>
      <c r="M571">
        <v>2</v>
      </c>
      <c r="N571">
        <v>3</v>
      </c>
      <c r="O571" s="17" t="s">
        <v>40</v>
      </c>
      <c r="P571" s="14">
        <v>1</v>
      </c>
      <c r="Q571" t="s">
        <v>41</v>
      </c>
      <c r="R571" s="14">
        <v>7587</v>
      </c>
      <c r="S571" s="17" t="str">
        <f t="shared" si="16"/>
        <v>high</v>
      </c>
      <c r="T571">
        <v>14229</v>
      </c>
      <c r="U571">
        <v>1</v>
      </c>
      <c r="V571" s="17" t="s">
        <v>43</v>
      </c>
      <c r="W571">
        <v>15</v>
      </c>
      <c r="X571">
        <v>3</v>
      </c>
      <c r="Y571">
        <v>2</v>
      </c>
      <c r="Z571">
        <v>0</v>
      </c>
      <c r="AA571">
        <v>10</v>
      </c>
      <c r="AB571">
        <v>1</v>
      </c>
      <c r="AC571">
        <v>3</v>
      </c>
      <c r="AD571" s="14">
        <v>10</v>
      </c>
      <c r="AE571" t="str">
        <f t="shared" si="17"/>
        <v>6-10 years</v>
      </c>
      <c r="AF571" s="14">
        <v>7</v>
      </c>
      <c r="AG571" s="14">
        <v>0</v>
      </c>
      <c r="AH571" s="14">
        <v>9</v>
      </c>
    </row>
    <row r="572" spans="1:34" x14ac:dyDescent="0.3">
      <c r="A572" s="14">
        <v>52</v>
      </c>
      <c r="B572" s="17" t="s">
        <v>43</v>
      </c>
      <c r="C572" t="s">
        <v>55</v>
      </c>
      <c r="D572">
        <v>715</v>
      </c>
      <c r="E572" s="17" t="s">
        <v>45</v>
      </c>
      <c r="F572">
        <v>19</v>
      </c>
      <c r="G572">
        <v>4</v>
      </c>
      <c r="H572" t="s">
        <v>51</v>
      </c>
      <c r="I572">
        <v>791</v>
      </c>
      <c r="J572">
        <v>4</v>
      </c>
      <c r="K572" s="17" t="s">
        <v>46</v>
      </c>
      <c r="L572">
        <v>41</v>
      </c>
      <c r="M572">
        <v>3</v>
      </c>
      <c r="N572">
        <v>1</v>
      </c>
      <c r="O572" s="17" t="s">
        <v>47</v>
      </c>
      <c r="P572" s="14">
        <v>4</v>
      </c>
      <c r="Q572" t="s">
        <v>48</v>
      </c>
      <c r="R572" s="14">
        <v>4258</v>
      </c>
      <c r="S572" s="17" t="str">
        <f t="shared" si="16"/>
        <v>medium</v>
      </c>
      <c r="T572">
        <v>26589</v>
      </c>
      <c r="U572">
        <v>0</v>
      </c>
      <c r="V572" s="17" t="s">
        <v>43</v>
      </c>
      <c r="W572">
        <v>18</v>
      </c>
      <c r="X572">
        <v>3</v>
      </c>
      <c r="Y572">
        <v>1</v>
      </c>
      <c r="Z572">
        <v>1</v>
      </c>
      <c r="AA572">
        <v>5</v>
      </c>
      <c r="AB572">
        <v>3</v>
      </c>
      <c r="AC572">
        <v>3</v>
      </c>
      <c r="AD572" s="14">
        <v>4</v>
      </c>
      <c r="AE572" t="str">
        <f t="shared" si="17"/>
        <v>3-5 years</v>
      </c>
      <c r="AF572" s="14">
        <v>3</v>
      </c>
      <c r="AG572" s="14">
        <v>1</v>
      </c>
      <c r="AH572" s="14">
        <v>2</v>
      </c>
    </row>
    <row r="573" spans="1:34" x14ac:dyDescent="0.3">
      <c r="A573" s="14">
        <v>26</v>
      </c>
      <c r="B573" s="17" t="s">
        <v>43</v>
      </c>
      <c r="C573" t="s">
        <v>44</v>
      </c>
      <c r="D573">
        <v>575</v>
      </c>
      <c r="E573" s="17" t="s">
        <v>45</v>
      </c>
      <c r="F573">
        <v>1</v>
      </c>
      <c r="G573">
        <v>2</v>
      </c>
      <c r="H573" t="s">
        <v>38</v>
      </c>
      <c r="I573">
        <v>792</v>
      </c>
      <c r="J573">
        <v>1</v>
      </c>
      <c r="K573" s="17" t="s">
        <v>39</v>
      </c>
      <c r="L573">
        <v>71</v>
      </c>
      <c r="M573">
        <v>1</v>
      </c>
      <c r="N573">
        <v>1</v>
      </c>
      <c r="O573" s="17" t="s">
        <v>50</v>
      </c>
      <c r="P573" s="14">
        <v>4</v>
      </c>
      <c r="Q573" t="s">
        <v>52</v>
      </c>
      <c r="R573" s="14">
        <v>4364</v>
      </c>
      <c r="S573" s="17" t="str">
        <f t="shared" si="16"/>
        <v>medium</v>
      </c>
      <c r="T573">
        <v>5288</v>
      </c>
      <c r="U573">
        <v>3</v>
      </c>
      <c r="V573" s="17" t="s">
        <v>43</v>
      </c>
      <c r="W573">
        <v>14</v>
      </c>
      <c r="X573">
        <v>3</v>
      </c>
      <c r="Y573">
        <v>1</v>
      </c>
      <c r="Z573">
        <v>1</v>
      </c>
      <c r="AA573">
        <v>5</v>
      </c>
      <c r="AB573">
        <v>2</v>
      </c>
      <c r="AC573">
        <v>3</v>
      </c>
      <c r="AD573" s="14">
        <v>2</v>
      </c>
      <c r="AE573" t="str">
        <f t="shared" si="17"/>
        <v>0-2 years</v>
      </c>
      <c r="AF573" s="14">
        <v>2</v>
      </c>
      <c r="AG573" s="14">
        <v>2</v>
      </c>
      <c r="AH573" s="14">
        <v>0</v>
      </c>
    </row>
    <row r="574" spans="1:34" x14ac:dyDescent="0.3">
      <c r="A574" s="14">
        <v>29</v>
      </c>
      <c r="B574" s="17" t="s">
        <v>43</v>
      </c>
      <c r="C574" t="s">
        <v>36</v>
      </c>
      <c r="D574">
        <v>657</v>
      </c>
      <c r="E574" s="17" t="s">
        <v>45</v>
      </c>
      <c r="F574">
        <v>27</v>
      </c>
      <c r="G574">
        <v>3</v>
      </c>
      <c r="H574" t="s">
        <v>51</v>
      </c>
      <c r="I574">
        <v>793</v>
      </c>
      <c r="J574">
        <v>2</v>
      </c>
      <c r="K574" s="17" t="s">
        <v>39</v>
      </c>
      <c r="L574">
        <v>66</v>
      </c>
      <c r="M574">
        <v>3</v>
      </c>
      <c r="N574">
        <v>2</v>
      </c>
      <c r="O574" s="17" t="s">
        <v>54</v>
      </c>
      <c r="P574" s="14">
        <v>3</v>
      </c>
      <c r="Q574" t="s">
        <v>48</v>
      </c>
      <c r="R574" s="14">
        <v>4335</v>
      </c>
      <c r="S574" s="17" t="str">
        <f t="shared" si="16"/>
        <v>medium</v>
      </c>
      <c r="T574">
        <v>25549</v>
      </c>
      <c r="U574">
        <v>4</v>
      </c>
      <c r="V574" s="17" t="s">
        <v>43</v>
      </c>
      <c r="W574">
        <v>12</v>
      </c>
      <c r="X574">
        <v>3</v>
      </c>
      <c r="Y574">
        <v>1</v>
      </c>
      <c r="Z574">
        <v>1</v>
      </c>
      <c r="AA574">
        <v>11</v>
      </c>
      <c r="AB574">
        <v>3</v>
      </c>
      <c r="AC574">
        <v>2</v>
      </c>
      <c r="AD574" s="14">
        <v>8</v>
      </c>
      <c r="AE574" t="str">
        <f t="shared" si="17"/>
        <v>6-10 years</v>
      </c>
      <c r="AF574" s="14">
        <v>7</v>
      </c>
      <c r="AG574" s="14">
        <v>1</v>
      </c>
      <c r="AH574" s="14">
        <v>1</v>
      </c>
    </row>
    <row r="575" spans="1:34" x14ac:dyDescent="0.3">
      <c r="A575" s="14">
        <v>26</v>
      </c>
      <c r="B575" s="17" t="s">
        <v>35</v>
      </c>
      <c r="C575" t="s">
        <v>36</v>
      </c>
      <c r="D575">
        <v>1146</v>
      </c>
      <c r="E575" s="17" t="s">
        <v>37</v>
      </c>
      <c r="F575">
        <v>8</v>
      </c>
      <c r="G575">
        <v>3</v>
      </c>
      <c r="H575" t="s">
        <v>60</v>
      </c>
      <c r="I575">
        <v>796</v>
      </c>
      <c r="J575">
        <v>4</v>
      </c>
      <c r="K575" s="17" t="s">
        <v>46</v>
      </c>
      <c r="L575">
        <v>38</v>
      </c>
      <c r="M575">
        <v>2</v>
      </c>
      <c r="N575">
        <v>2</v>
      </c>
      <c r="O575" s="17" t="s">
        <v>40</v>
      </c>
      <c r="P575" s="14">
        <v>1</v>
      </c>
      <c r="Q575" t="s">
        <v>41</v>
      </c>
      <c r="R575" s="14">
        <v>5326</v>
      </c>
      <c r="S575" s="17" t="str">
        <f t="shared" si="16"/>
        <v>medium</v>
      </c>
      <c r="T575">
        <v>3064</v>
      </c>
      <c r="U575">
        <v>6</v>
      </c>
      <c r="V575" s="17" t="s">
        <v>43</v>
      </c>
      <c r="W575">
        <v>17</v>
      </c>
      <c r="X575">
        <v>3</v>
      </c>
      <c r="Y575">
        <v>3</v>
      </c>
      <c r="Z575">
        <v>0</v>
      </c>
      <c r="AA575">
        <v>6</v>
      </c>
      <c r="AB575">
        <v>2</v>
      </c>
      <c r="AC575">
        <v>2</v>
      </c>
      <c r="AD575" s="14">
        <v>4</v>
      </c>
      <c r="AE575" t="str">
        <f t="shared" si="17"/>
        <v>3-5 years</v>
      </c>
      <c r="AF575" s="14">
        <v>3</v>
      </c>
      <c r="AG575" s="14">
        <v>1</v>
      </c>
      <c r="AH575" s="14">
        <v>2</v>
      </c>
    </row>
    <row r="576" spans="1:34" x14ac:dyDescent="0.3">
      <c r="A576" s="14">
        <v>34</v>
      </c>
      <c r="B576" s="17" t="s">
        <v>43</v>
      </c>
      <c r="C576" t="s">
        <v>36</v>
      </c>
      <c r="D576">
        <v>182</v>
      </c>
      <c r="E576" s="17" t="s">
        <v>45</v>
      </c>
      <c r="F576">
        <v>1</v>
      </c>
      <c r="G576">
        <v>4</v>
      </c>
      <c r="H576" t="s">
        <v>38</v>
      </c>
      <c r="I576">
        <v>797</v>
      </c>
      <c r="J576">
        <v>2</v>
      </c>
      <c r="K576" s="17" t="s">
        <v>39</v>
      </c>
      <c r="L576">
        <v>72</v>
      </c>
      <c r="M576">
        <v>4</v>
      </c>
      <c r="N576">
        <v>1</v>
      </c>
      <c r="O576" s="17" t="s">
        <v>47</v>
      </c>
      <c r="P576" s="14">
        <v>4</v>
      </c>
      <c r="Q576" t="s">
        <v>41</v>
      </c>
      <c r="R576" s="14">
        <v>3280</v>
      </c>
      <c r="S576" s="17" t="str">
        <f t="shared" si="16"/>
        <v>medium</v>
      </c>
      <c r="T576">
        <v>13551</v>
      </c>
      <c r="U576">
        <v>2</v>
      </c>
      <c r="V576" s="17" t="s">
        <v>43</v>
      </c>
      <c r="W576">
        <v>16</v>
      </c>
      <c r="X576">
        <v>3</v>
      </c>
      <c r="Y576">
        <v>3</v>
      </c>
      <c r="Z576">
        <v>0</v>
      </c>
      <c r="AA576">
        <v>10</v>
      </c>
      <c r="AB576">
        <v>2</v>
      </c>
      <c r="AC576">
        <v>3</v>
      </c>
      <c r="AD576" s="14">
        <v>4</v>
      </c>
      <c r="AE576" t="str">
        <f t="shared" si="17"/>
        <v>3-5 years</v>
      </c>
      <c r="AF576" s="14">
        <v>2</v>
      </c>
      <c r="AG576" s="14">
        <v>1</v>
      </c>
      <c r="AH576" s="14">
        <v>3</v>
      </c>
    </row>
    <row r="577" spans="1:34" x14ac:dyDescent="0.3">
      <c r="A577" s="14">
        <v>54</v>
      </c>
      <c r="B577" s="17" t="s">
        <v>43</v>
      </c>
      <c r="C577" t="s">
        <v>36</v>
      </c>
      <c r="D577">
        <v>376</v>
      </c>
      <c r="E577" s="17" t="s">
        <v>45</v>
      </c>
      <c r="F577">
        <v>19</v>
      </c>
      <c r="G577">
        <v>4</v>
      </c>
      <c r="H577" t="s">
        <v>51</v>
      </c>
      <c r="I577">
        <v>799</v>
      </c>
      <c r="J577">
        <v>4</v>
      </c>
      <c r="K577" s="17" t="s">
        <v>39</v>
      </c>
      <c r="L577">
        <v>95</v>
      </c>
      <c r="M577">
        <v>3</v>
      </c>
      <c r="N577">
        <v>2</v>
      </c>
      <c r="O577" s="17" t="s">
        <v>53</v>
      </c>
      <c r="P577" s="14">
        <v>1</v>
      </c>
      <c r="Q577" t="s">
        <v>52</v>
      </c>
      <c r="R577" s="14">
        <v>5485</v>
      </c>
      <c r="S577" s="17" t="str">
        <f t="shared" si="16"/>
        <v>medium</v>
      </c>
      <c r="T577">
        <v>22670</v>
      </c>
      <c r="U577">
        <v>9</v>
      </c>
      <c r="V577" s="17" t="s">
        <v>35</v>
      </c>
      <c r="W577">
        <v>11</v>
      </c>
      <c r="X577">
        <v>3</v>
      </c>
      <c r="Y577">
        <v>2</v>
      </c>
      <c r="Z577">
        <v>2</v>
      </c>
      <c r="AA577">
        <v>9</v>
      </c>
      <c r="AB577">
        <v>4</v>
      </c>
      <c r="AC577">
        <v>3</v>
      </c>
      <c r="AD577" s="14">
        <v>5</v>
      </c>
      <c r="AE577" t="str">
        <f t="shared" si="17"/>
        <v>3-5 years</v>
      </c>
      <c r="AF577" s="14">
        <v>3</v>
      </c>
      <c r="AG577" s="14">
        <v>1</v>
      </c>
      <c r="AH577" s="14">
        <v>4</v>
      </c>
    </row>
    <row r="578" spans="1:34" x14ac:dyDescent="0.3">
      <c r="A578" s="14">
        <v>27</v>
      </c>
      <c r="B578" s="17" t="s">
        <v>43</v>
      </c>
      <c r="C578" t="s">
        <v>44</v>
      </c>
      <c r="D578">
        <v>829</v>
      </c>
      <c r="E578" s="17" t="s">
        <v>37</v>
      </c>
      <c r="F578">
        <v>8</v>
      </c>
      <c r="G578">
        <v>1</v>
      </c>
      <c r="H578" t="s">
        <v>59</v>
      </c>
      <c r="I578">
        <v>800</v>
      </c>
      <c r="J578">
        <v>3</v>
      </c>
      <c r="K578" s="17" t="s">
        <v>46</v>
      </c>
      <c r="L578">
        <v>84</v>
      </c>
      <c r="M578">
        <v>3</v>
      </c>
      <c r="N578">
        <v>2</v>
      </c>
      <c r="O578" s="17" t="s">
        <v>40</v>
      </c>
      <c r="P578" s="14">
        <v>4</v>
      </c>
      <c r="Q578" t="s">
        <v>48</v>
      </c>
      <c r="R578" s="14">
        <v>4342</v>
      </c>
      <c r="S578" s="17" t="str">
        <f t="shared" ref="S578:S641" si="18">IF(R578&lt;=3000, "low",IF(R578&lt;=7000,"medium","high"))</f>
        <v>medium</v>
      </c>
      <c r="T578">
        <v>24008</v>
      </c>
      <c r="U578">
        <v>0</v>
      </c>
      <c r="V578" s="17" t="s">
        <v>43</v>
      </c>
      <c r="W578">
        <v>19</v>
      </c>
      <c r="X578">
        <v>3</v>
      </c>
      <c r="Y578">
        <v>2</v>
      </c>
      <c r="Z578">
        <v>1</v>
      </c>
      <c r="AA578">
        <v>5</v>
      </c>
      <c r="AB578">
        <v>3</v>
      </c>
      <c r="AC578">
        <v>3</v>
      </c>
      <c r="AD578" s="14">
        <v>4</v>
      </c>
      <c r="AE578" t="str">
        <f t="shared" ref="AE578:AE641" si="19">IF(AD578&lt;=2,"0-2 years", IF(AD578&lt;=5,"3-5 years", IF(AD578&lt;=10,"6-10 years","10+ years")))</f>
        <v>3-5 years</v>
      </c>
      <c r="AF578" s="14">
        <v>2</v>
      </c>
      <c r="AG578" s="14">
        <v>1</v>
      </c>
      <c r="AH578" s="14">
        <v>1</v>
      </c>
    </row>
    <row r="579" spans="1:34" x14ac:dyDescent="0.3">
      <c r="A579" s="14">
        <v>37</v>
      </c>
      <c r="B579" s="17" t="s">
        <v>43</v>
      </c>
      <c r="C579" t="s">
        <v>36</v>
      </c>
      <c r="D579">
        <v>571</v>
      </c>
      <c r="E579" s="17" t="s">
        <v>45</v>
      </c>
      <c r="F579">
        <v>10</v>
      </c>
      <c r="G579">
        <v>1</v>
      </c>
      <c r="H579" t="s">
        <v>38</v>
      </c>
      <c r="I579">
        <v>802</v>
      </c>
      <c r="J579">
        <v>4</v>
      </c>
      <c r="K579" s="17" t="s">
        <v>39</v>
      </c>
      <c r="L579">
        <v>82</v>
      </c>
      <c r="M579">
        <v>3</v>
      </c>
      <c r="N579">
        <v>1</v>
      </c>
      <c r="O579" s="17" t="s">
        <v>47</v>
      </c>
      <c r="P579" s="14">
        <v>1</v>
      </c>
      <c r="Q579" t="s">
        <v>52</v>
      </c>
      <c r="R579" s="14">
        <v>2782</v>
      </c>
      <c r="S579" s="17" t="str">
        <f t="shared" si="18"/>
        <v>low</v>
      </c>
      <c r="T579">
        <v>19905</v>
      </c>
      <c r="U579">
        <v>0</v>
      </c>
      <c r="V579" s="17" t="s">
        <v>35</v>
      </c>
      <c r="W579">
        <v>13</v>
      </c>
      <c r="X579">
        <v>3</v>
      </c>
      <c r="Y579">
        <v>2</v>
      </c>
      <c r="Z579">
        <v>2</v>
      </c>
      <c r="AA579">
        <v>6</v>
      </c>
      <c r="AB579">
        <v>3</v>
      </c>
      <c r="AC579">
        <v>2</v>
      </c>
      <c r="AD579" s="14">
        <v>5</v>
      </c>
      <c r="AE579" t="str">
        <f t="shared" si="19"/>
        <v>3-5 years</v>
      </c>
      <c r="AF579" s="14">
        <v>3</v>
      </c>
      <c r="AG579" s="14">
        <v>4</v>
      </c>
      <c r="AH579" s="14">
        <v>3</v>
      </c>
    </row>
    <row r="580" spans="1:34" x14ac:dyDescent="0.3">
      <c r="A580" s="14">
        <v>38</v>
      </c>
      <c r="B580" s="17" t="s">
        <v>43</v>
      </c>
      <c r="C580" t="s">
        <v>44</v>
      </c>
      <c r="D580">
        <v>240</v>
      </c>
      <c r="E580" s="17" t="s">
        <v>45</v>
      </c>
      <c r="F580">
        <v>2</v>
      </c>
      <c r="G580">
        <v>4</v>
      </c>
      <c r="H580" t="s">
        <v>38</v>
      </c>
      <c r="I580">
        <v>803</v>
      </c>
      <c r="J580">
        <v>1</v>
      </c>
      <c r="K580" s="17" t="s">
        <v>39</v>
      </c>
      <c r="L580">
        <v>75</v>
      </c>
      <c r="M580">
        <v>4</v>
      </c>
      <c r="N580">
        <v>2</v>
      </c>
      <c r="O580" s="17" t="s">
        <v>53</v>
      </c>
      <c r="P580" s="14">
        <v>1</v>
      </c>
      <c r="Q580" t="s">
        <v>41</v>
      </c>
      <c r="R580" s="14">
        <v>5980</v>
      </c>
      <c r="S580" s="17" t="str">
        <f t="shared" si="18"/>
        <v>medium</v>
      </c>
      <c r="T580">
        <v>26085</v>
      </c>
      <c r="U580">
        <v>6</v>
      </c>
      <c r="V580" s="17" t="s">
        <v>35</v>
      </c>
      <c r="W580">
        <v>12</v>
      </c>
      <c r="X580">
        <v>3</v>
      </c>
      <c r="Y580">
        <v>4</v>
      </c>
      <c r="Z580">
        <v>0</v>
      </c>
      <c r="AA580">
        <v>17</v>
      </c>
      <c r="AB580">
        <v>2</v>
      </c>
      <c r="AC580">
        <v>3</v>
      </c>
      <c r="AD580" s="14">
        <v>15</v>
      </c>
      <c r="AE580" t="str">
        <f t="shared" si="19"/>
        <v>10+ years</v>
      </c>
      <c r="AF580" s="14">
        <v>7</v>
      </c>
      <c r="AG580" s="14">
        <v>4</v>
      </c>
      <c r="AH580" s="14">
        <v>12</v>
      </c>
    </row>
    <row r="581" spans="1:34" x14ac:dyDescent="0.3">
      <c r="A581" s="14">
        <v>34</v>
      </c>
      <c r="B581" s="17" t="s">
        <v>43</v>
      </c>
      <c r="C581" t="s">
        <v>36</v>
      </c>
      <c r="D581">
        <v>121</v>
      </c>
      <c r="E581" s="17" t="s">
        <v>45</v>
      </c>
      <c r="F581">
        <v>2</v>
      </c>
      <c r="G581">
        <v>4</v>
      </c>
      <c r="H581" t="s">
        <v>51</v>
      </c>
      <c r="I581">
        <v>804</v>
      </c>
      <c r="J581">
        <v>3</v>
      </c>
      <c r="K581" s="17" t="s">
        <v>39</v>
      </c>
      <c r="L581">
        <v>86</v>
      </c>
      <c r="M581">
        <v>2</v>
      </c>
      <c r="N581">
        <v>1</v>
      </c>
      <c r="O581" s="17" t="s">
        <v>47</v>
      </c>
      <c r="P581" s="14">
        <v>1</v>
      </c>
      <c r="Q581" t="s">
        <v>41</v>
      </c>
      <c r="R581" s="14">
        <v>4381</v>
      </c>
      <c r="S581" s="17" t="str">
        <f t="shared" si="18"/>
        <v>medium</v>
      </c>
      <c r="T581">
        <v>7530</v>
      </c>
      <c r="U581">
        <v>1</v>
      </c>
      <c r="V581" s="17" t="s">
        <v>43</v>
      </c>
      <c r="W581">
        <v>11</v>
      </c>
      <c r="X581">
        <v>3</v>
      </c>
      <c r="Y581">
        <v>3</v>
      </c>
      <c r="Z581">
        <v>0</v>
      </c>
      <c r="AA581">
        <v>6</v>
      </c>
      <c r="AB581">
        <v>3</v>
      </c>
      <c r="AC581">
        <v>3</v>
      </c>
      <c r="AD581" s="14">
        <v>6</v>
      </c>
      <c r="AE581" t="str">
        <f t="shared" si="19"/>
        <v>6-10 years</v>
      </c>
      <c r="AF581" s="14">
        <v>5</v>
      </c>
      <c r="AG581" s="14">
        <v>1</v>
      </c>
      <c r="AH581" s="14">
        <v>3</v>
      </c>
    </row>
    <row r="582" spans="1:34" x14ac:dyDescent="0.3">
      <c r="A582" s="14">
        <v>35</v>
      </c>
      <c r="B582" s="17" t="s">
        <v>43</v>
      </c>
      <c r="C582" t="s">
        <v>36</v>
      </c>
      <c r="D582">
        <v>384</v>
      </c>
      <c r="E582" s="17" t="s">
        <v>37</v>
      </c>
      <c r="F582">
        <v>8</v>
      </c>
      <c r="G582">
        <v>4</v>
      </c>
      <c r="H582" t="s">
        <v>38</v>
      </c>
      <c r="I582">
        <v>805</v>
      </c>
      <c r="J582">
        <v>1</v>
      </c>
      <c r="K582" s="17" t="s">
        <v>39</v>
      </c>
      <c r="L582">
        <v>72</v>
      </c>
      <c r="M582">
        <v>3</v>
      </c>
      <c r="N582">
        <v>1</v>
      </c>
      <c r="O582" s="17" t="s">
        <v>57</v>
      </c>
      <c r="P582" s="14">
        <v>4</v>
      </c>
      <c r="Q582" t="s">
        <v>48</v>
      </c>
      <c r="R582" s="14">
        <v>2572</v>
      </c>
      <c r="S582" s="17" t="str">
        <f t="shared" si="18"/>
        <v>low</v>
      </c>
      <c r="T582">
        <v>20317</v>
      </c>
      <c r="U582">
        <v>1</v>
      </c>
      <c r="V582" s="17" t="s">
        <v>43</v>
      </c>
      <c r="W582">
        <v>16</v>
      </c>
      <c r="X582">
        <v>3</v>
      </c>
      <c r="Y582">
        <v>2</v>
      </c>
      <c r="Z582">
        <v>1</v>
      </c>
      <c r="AA582">
        <v>3</v>
      </c>
      <c r="AB582">
        <v>1</v>
      </c>
      <c r="AC582">
        <v>2</v>
      </c>
      <c r="AD582" s="14">
        <v>3</v>
      </c>
      <c r="AE582" t="str">
        <f t="shared" si="19"/>
        <v>3-5 years</v>
      </c>
      <c r="AF582" s="14">
        <v>2</v>
      </c>
      <c r="AG582" s="14">
        <v>0</v>
      </c>
      <c r="AH582" s="14">
        <v>2</v>
      </c>
    </row>
    <row r="583" spans="1:34" x14ac:dyDescent="0.3">
      <c r="A583" s="14">
        <v>30</v>
      </c>
      <c r="B583" s="17" t="s">
        <v>43</v>
      </c>
      <c r="C583" t="s">
        <v>36</v>
      </c>
      <c r="D583">
        <v>921</v>
      </c>
      <c r="E583" s="17" t="s">
        <v>45</v>
      </c>
      <c r="F583">
        <v>1</v>
      </c>
      <c r="G583">
        <v>3</v>
      </c>
      <c r="H583" t="s">
        <v>38</v>
      </c>
      <c r="I583">
        <v>806</v>
      </c>
      <c r="J583">
        <v>4</v>
      </c>
      <c r="K583" s="17" t="s">
        <v>46</v>
      </c>
      <c r="L583">
        <v>38</v>
      </c>
      <c r="M583">
        <v>1</v>
      </c>
      <c r="N583">
        <v>1</v>
      </c>
      <c r="O583" s="17" t="s">
        <v>50</v>
      </c>
      <c r="P583" s="14">
        <v>3</v>
      </c>
      <c r="Q583" t="s">
        <v>48</v>
      </c>
      <c r="R583" s="14">
        <v>3833</v>
      </c>
      <c r="S583" s="17" t="str">
        <f t="shared" si="18"/>
        <v>medium</v>
      </c>
      <c r="T583">
        <v>24375</v>
      </c>
      <c r="U583">
        <v>3</v>
      </c>
      <c r="V583" s="17" t="s">
        <v>43</v>
      </c>
      <c r="W583">
        <v>21</v>
      </c>
      <c r="X583">
        <v>4</v>
      </c>
      <c r="Y583">
        <v>3</v>
      </c>
      <c r="Z583">
        <v>2</v>
      </c>
      <c r="AA583">
        <v>7</v>
      </c>
      <c r="AB583">
        <v>2</v>
      </c>
      <c r="AC583">
        <v>3</v>
      </c>
      <c r="AD583" s="14">
        <v>2</v>
      </c>
      <c r="AE583" t="str">
        <f t="shared" si="19"/>
        <v>0-2 years</v>
      </c>
      <c r="AF583" s="14">
        <v>2</v>
      </c>
      <c r="AG583" s="14">
        <v>0</v>
      </c>
      <c r="AH583" s="14">
        <v>2</v>
      </c>
    </row>
    <row r="584" spans="1:34" x14ac:dyDescent="0.3">
      <c r="A584" s="14">
        <v>40</v>
      </c>
      <c r="B584" s="17" t="s">
        <v>43</v>
      </c>
      <c r="C584" t="s">
        <v>44</v>
      </c>
      <c r="D584">
        <v>791</v>
      </c>
      <c r="E584" s="17" t="s">
        <v>45</v>
      </c>
      <c r="F584">
        <v>2</v>
      </c>
      <c r="G584">
        <v>2</v>
      </c>
      <c r="H584" t="s">
        <v>51</v>
      </c>
      <c r="I584">
        <v>807</v>
      </c>
      <c r="J584">
        <v>3</v>
      </c>
      <c r="K584" s="17" t="s">
        <v>39</v>
      </c>
      <c r="L584">
        <v>38</v>
      </c>
      <c r="M584">
        <v>4</v>
      </c>
      <c r="N584">
        <v>2</v>
      </c>
      <c r="O584" s="17" t="s">
        <v>54</v>
      </c>
      <c r="P584" s="14">
        <v>2</v>
      </c>
      <c r="Q584" t="s">
        <v>48</v>
      </c>
      <c r="R584" s="14">
        <v>4244</v>
      </c>
      <c r="S584" s="17" t="str">
        <f t="shared" si="18"/>
        <v>medium</v>
      </c>
      <c r="T584">
        <v>9931</v>
      </c>
      <c r="U584">
        <v>1</v>
      </c>
      <c r="V584" s="17" t="s">
        <v>43</v>
      </c>
      <c r="W584">
        <v>24</v>
      </c>
      <c r="X584">
        <v>4</v>
      </c>
      <c r="Y584">
        <v>4</v>
      </c>
      <c r="Z584">
        <v>1</v>
      </c>
      <c r="AA584">
        <v>8</v>
      </c>
      <c r="AB584">
        <v>2</v>
      </c>
      <c r="AC584">
        <v>3</v>
      </c>
      <c r="AD584" s="14">
        <v>8</v>
      </c>
      <c r="AE584" t="str">
        <f t="shared" si="19"/>
        <v>6-10 years</v>
      </c>
      <c r="AF584" s="14">
        <v>7</v>
      </c>
      <c r="AG584" s="14">
        <v>3</v>
      </c>
      <c r="AH584" s="14">
        <v>7</v>
      </c>
    </row>
    <row r="585" spans="1:34" x14ac:dyDescent="0.3">
      <c r="A585" s="14">
        <v>34</v>
      </c>
      <c r="B585" s="17" t="s">
        <v>43</v>
      </c>
      <c r="C585" t="s">
        <v>36</v>
      </c>
      <c r="D585">
        <v>1111</v>
      </c>
      <c r="E585" s="17" t="s">
        <v>37</v>
      </c>
      <c r="F585">
        <v>8</v>
      </c>
      <c r="G585">
        <v>2</v>
      </c>
      <c r="H585" t="s">
        <v>38</v>
      </c>
      <c r="I585">
        <v>808</v>
      </c>
      <c r="J585">
        <v>3</v>
      </c>
      <c r="K585" s="17" t="s">
        <v>39</v>
      </c>
      <c r="L585">
        <v>93</v>
      </c>
      <c r="M585">
        <v>3</v>
      </c>
      <c r="N585">
        <v>2</v>
      </c>
      <c r="O585" s="17" t="s">
        <v>40</v>
      </c>
      <c r="P585" s="14">
        <v>1</v>
      </c>
      <c r="Q585" t="s">
        <v>48</v>
      </c>
      <c r="R585" s="14">
        <v>6500</v>
      </c>
      <c r="S585" s="17" t="str">
        <f t="shared" si="18"/>
        <v>medium</v>
      </c>
      <c r="T585">
        <v>13305</v>
      </c>
      <c r="U585">
        <v>5</v>
      </c>
      <c r="V585" s="17" t="s">
        <v>43</v>
      </c>
      <c r="W585">
        <v>17</v>
      </c>
      <c r="X585">
        <v>3</v>
      </c>
      <c r="Y585">
        <v>2</v>
      </c>
      <c r="Z585">
        <v>1</v>
      </c>
      <c r="AA585">
        <v>6</v>
      </c>
      <c r="AB585">
        <v>1</v>
      </c>
      <c r="AC585">
        <v>3</v>
      </c>
      <c r="AD585" s="14">
        <v>3</v>
      </c>
      <c r="AE585" t="str">
        <f t="shared" si="19"/>
        <v>3-5 years</v>
      </c>
      <c r="AF585" s="14">
        <v>2</v>
      </c>
      <c r="AG585" s="14">
        <v>1</v>
      </c>
      <c r="AH585" s="14">
        <v>2</v>
      </c>
    </row>
    <row r="586" spans="1:34" x14ac:dyDescent="0.3">
      <c r="A586" s="14">
        <v>42</v>
      </c>
      <c r="B586" s="17" t="s">
        <v>43</v>
      </c>
      <c r="C586" t="s">
        <v>44</v>
      </c>
      <c r="D586">
        <v>570</v>
      </c>
      <c r="E586" s="17" t="s">
        <v>45</v>
      </c>
      <c r="F586">
        <v>8</v>
      </c>
      <c r="G586">
        <v>3</v>
      </c>
      <c r="H586" t="s">
        <v>38</v>
      </c>
      <c r="I586">
        <v>809</v>
      </c>
      <c r="J586">
        <v>2</v>
      </c>
      <c r="K586" s="17" t="s">
        <v>46</v>
      </c>
      <c r="L586">
        <v>66</v>
      </c>
      <c r="M586">
        <v>3</v>
      </c>
      <c r="N586">
        <v>5</v>
      </c>
      <c r="O586" s="17" t="s">
        <v>56</v>
      </c>
      <c r="P586" s="14">
        <v>4</v>
      </c>
      <c r="Q586" t="s">
        <v>52</v>
      </c>
      <c r="R586" s="14">
        <v>18430</v>
      </c>
      <c r="S586" s="17" t="str">
        <f t="shared" si="18"/>
        <v>high</v>
      </c>
      <c r="T586">
        <v>16225</v>
      </c>
      <c r="U586">
        <v>1</v>
      </c>
      <c r="V586" s="17" t="s">
        <v>43</v>
      </c>
      <c r="W586">
        <v>13</v>
      </c>
      <c r="X586">
        <v>3</v>
      </c>
      <c r="Y586">
        <v>2</v>
      </c>
      <c r="Z586">
        <v>1</v>
      </c>
      <c r="AA586">
        <v>24</v>
      </c>
      <c r="AB586">
        <v>4</v>
      </c>
      <c r="AC586">
        <v>2</v>
      </c>
      <c r="AD586" s="14">
        <v>24</v>
      </c>
      <c r="AE586" t="str">
        <f t="shared" si="19"/>
        <v>10+ years</v>
      </c>
      <c r="AF586" s="14">
        <v>7</v>
      </c>
      <c r="AG586" s="14">
        <v>14</v>
      </c>
      <c r="AH586" s="14">
        <v>9</v>
      </c>
    </row>
    <row r="587" spans="1:34" x14ac:dyDescent="0.3">
      <c r="A587" s="14">
        <v>23</v>
      </c>
      <c r="B587" s="17" t="s">
        <v>35</v>
      </c>
      <c r="C587" t="s">
        <v>36</v>
      </c>
      <c r="D587">
        <v>1243</v>
      </c>
      <c r="E587" s="17" t="s">
        <v>45</v>
      </c>
      <c r="F587">
        <v>6</v>
      </c>
      <c r="G587">
        <v>3</v>
      </c>
      <c r="H587" t="s">
        <v>38</v>
      </c>
      <c r="I587">
        <v>811</v>
      </c>
      <c r="J587">
        <v>3</v>
      </c>
      <c r="K587" s="17" t="s">
        <v>46</v>
      </c>
      <c r="L587">
        <v>63</v>
      </c>
      <c r="M587">
        <v>4</v>
      </c>
      <c r="N587">
        <v>1</v>
      </c>
      <c r="O587" s="17" t="s">
        <v>50</v>
      </c>
      <c r="P587" s="14">
        <v>1</v>
      </c>
      <c r="Q587" t="s">
        <v>48</v>
      </c>
      <c r="R587" s="14">
        <v>1601</v>
      </c>
      <c r="S587" s="17" t="str">
        <f t="shared" si="18"/>
        <v>low</v>
      </c>
      <c r="T587">
        <v>3445</v>
      </c>
      <c r="U587">
        <v>1</v>
      </c>
      <c r="V587" s="17" t="s">
        <v>35</v>
      </c>
      <c r="W587">
        <v>21</v>
      </c>
      <c r="X587">
        <v>4</v>
      </c>
      <c r="Y587">
        <v>3</v>
      </c>
      <c r="Z587">
        <v>2</v>
      </c>
      <c r="AA587">
        <v>1</v>
      </c>
      <c r="AB587">
        <v>2</v>
      </c>
      <c r="AC587">
        <v>3</v>
      </c>
      <c r="AD587" s="14">
        <v>0</v>
      </c>
      <c r="AE587" t="str">
        <f t="shared" si="19"/>
        <v>0-2 years</v>
      </c>
      <c r="AF587" s="14">
        <v>0</v>
      </c>
      <c r="AG587" s="14">
        <v>0</v>
      </c>
      <c r="AH587" s="14">
        <v>0</v>
      </c>
    </row>
    <row r="588" spans="1:34" x14ac:dyDescent="0.3">
      <c r="A588" s="14">
        <v>24</v>
      </c>
      <c r="B588" s="17" t="s">
        <v>43</v>
      </c>
      <c r="C588" t="s">
        <v>55</v>
      </c>
      <c r="D588">
        <v>1092</v>
      </c>
      <c r="E588" s="17" t="s">
        <v>45</v>
      </c>
      <c r="F588">
        <v>9</v>
      </c>
      <c r="G588">
        <v>3</v>
      </c>
      <c r="H588" t="s">
        <v>38</v>
      </c>
      <c r="I588">
        <v>812</v>
      </c>
      <c r="J588">
        <v>3</v>
      </c>
      <c r="K588" s="17" t="s">
        <v>46</v>
      </c>
      <c r="L588">
        <v>60</v>
      </c>
      <c r="M588">
        <v>2</v>
      </c>
      <c r="N588">
        <v>1</v>
      </c>
      <c r="O588" s="17" t="s">
        <v>50</v>
      </c>
      <c r="P588" s="14">
        <v>2</v>
      </c>
      <c r="Q588" t="s">
        <v>52</v>
      </c>
      <c r="R588" s="14">
        <v>2694</v>
      </c>
      <c r="S588" s="17" t="str">
        <f t="shared" si="18"/>
        <v>low</v>
      </c>
      <c r="T588">
        <v>26551</v>
      </c>
      <c r="U588">
        <v>1</v>
      </c>
      <c r="V588" s="17" t="s">
        <v>43</v>
      </c>
      <c r="W588">
        <v>11</v>
      </c>
      <c r="X588">
        <v>3</v>
      </c>
      <c r="Y588">
        <v>3</v>
      </c>
      <c r="Z588">
        <v>3</v>
      </c>
      <c r="AA588">
        <v>1</v>
      </c>
      <c r="AB588">
        <v>4</v>
      </c>
      <c r="AC588">
        <v>3</v>
      </c>
      <c r="AD588" s="14">
        <v>1</v>
      </c>
      <c r="AE588" t="str">
        <f t="shared" si="19"/>
        <v>0-2 years</v>
      </c>
      <c r="AF588" s="14">
        <v>0</v>
      </c>
      <c r="AG588" s="14">
        <v>0</v>
      </c>
      <c r="AH588" s="14">
        <v>0</v>
      </c>
    </row>
    <row r="589" spans="1:34" x14ac:dyDescent="0.3">
      <c r="A589" s="14">
        <v>52</v>
      </c>
      <c r="B589" s="17" t="s">
        <v>43</v>
      </c>
      <c r="C589" t="s">
        <v>36</v>
      </c>
      <c r="D589">
        <v>1325</v>
      </c>
      <c r="E589" s="17" t="s">
        <v>45</v>
      </c>
      <c r="F589">
        <v>11</v>
      </c>
      <c r="G589">
        <v>4</v>
      </c>
      <c r="H589" t="s">
        <v>38</v>
      </c>
      <c r="I589">
        <v>813</v>
      </c>
      <c r="J589">
        <v>4</v>
      </c>
      <c r="K589" s="17" t="s">
        <v>39</v>
      </c>
      <c r="L589">
        <v>82</v>
      </c>
      <c r="M589">
        <v>3</v>
      </c>
      <c r="N589">
        <v>2</v>
      </c>
      <c r="O589" s="17" t="s">
        <v>50</v>
      </c>
      <c r="P589" s="14">
        <v>3</v>
      </c>
      <c r="Q589" t="s">
        <v>48</v>
      </c>
      <c r="R589" s="14">
        <v>3149</v>
      </c>
      <c r="S589" s="17" t="str">
        <f t="shared" si="18"/>
        <v>medium</v>
      </c>
      <c r="T589">
        <v>21821</v>
      </c>
      <c r="U589">
        <v>8</v>
      </c>
      <c r="V589" s="17" t="s">
        <v>43</v>
      </c>
      <c r="W589">
        <v>20</v>
      </c>
      <c r="X589">
        <v>4</v>
      </c>
      <c r="Y589">
        <v>2</v>
      </c>
      <c r="Z589">
        <v>1</v>
      </c>
      <c r="AA589">
        <v>9</v>
      </c>
      <c r="AB589">
        <v>3</v>
      </c>
      <c r="AC589">
        <v>3</v>
      </c>
      <c r="AD589" s="14">
        <v>5</v>
      </c>
      <c r="AE589" t="str">
        <f t="shared" si="19"/>
        <v>3-5 years</v>
      </c>
      <c r="AF589" s="14">
        <v>2</v>
      </c>
      <c r="AG589" s="14">
        <v>1</v>
      </c>
      <c r="AH589" s="14">
        <v>4</v>
      </c>
    </row>
    <row r="590" spans="1:34" x14ac:dyDescent="0.3">
      <c r="A590" s="14">
        <v>50</v>
      </c>
      <c r="B590" s="17" t="s">
        <v>43</v>
      </c>
      <c r="C590" t="s">
        <v>36</v>
      </c>
      <c r="D590">
        <v>691</v>
      </c>
      <c r="E590" s="17" t="s">
        <v>45</v>
      </c>
      <c r="F590">
        <v>2</v>
      </c>
      <c r="G590">
        <v>3</v>
      </c>
      <c r="H590" t="s">
        <v>51</v>
      </c>
      <c r="I590">
        <v>815</v>
      </c>
      <c r="J590">
        <v>3</v>
      </c>
      <c r="K590" s="17" t="s">
        <v>46</v>
      </c>
      <c r="L590">
        <v>64</v>
      </c>
      <c r="M590">
        <v>3</v>
      </c>
      <c r="N590">
        <v>4</v>
      </c>
      <c r="O590" s="17" t="s">
        <v>58</v>
      </c>
      <c r="P590" s="14">
        <v>3</v>
      </c>
      <c r="Q590" t="s">
        <v>48</v>
      </c>
      <c r="R590" s="14">
        <v>17639</v>
      </c>
      <c r="S590" s="17" t="str">
        <f t="shared" si="18"/>
        <v>high</v>
      </c>
      <c r="T590">
        <v>6881</v>
      </c>
      <c r="U590">
        <v>5</v>
      </c>
      <c r="V590" s="17" t="s">
        <v>43</v>
      </c>
      <c r="W590">
        <v>16</v>
      </c>
      <c r="X590">
        <v>3</v>
      </c>
      <c r="Y590">
        <v>4</v>
      </c>
      <c r="Z590">
        <v>0</v>
      </c>
      <c r="AA590">
        <v>30</v>
      </c>
      <c r="AB590">
        <v>3</v>
      </c>
      <c r="AC590">
        <v>3</v>
      </c>
      <c r="AD590" s="14">
        <v>4</v>
      </c>
      <c r="AE590" t="str">
        <f t="shared" si="19"/>
        <v>3-5 years</v>
      </c>
      <c r="AF590" s="14">
        <v>3</v>
      </c>
      <c r="AG590" s="14">
        <v>0</v>
      </c>
      <c r="AH590" s="14">
        <v>3</v>
      </c>
    </row>
    <row r="591" spans="1:34" x14ac:dyDescent="0.3">
      <c r="A591" s="14">
        <v>29</v>
      </c>
      <c r="B591" s="17" t="s">
        <v>35</v>
      </c>
      <c r="C591" t="s">
        <v>36</v>
      </c>
      <c r="D591">
        <v>805</v>
      </c>
      <c r="E591" s="17" t="s">
        <v>45</v>
      </c>
      <c r="F591">
        <v>1</v>
      </c>
      <c r="G591">
        <v>2</v>
      </c>
      <c r="H591" t="s">
        <v>38</v>
      </c>
      <c r="I591">
        <v>816</v>
      </c>
      <c r="J591">
        <v>2</v>
      </c>
      <c r="K591" s="17" t="s">
        <v>39</v>
      </c>
      <c r="L591">
        <v>36</v>
      </c>
      <c r="M591">
        <v>2</v>
      </c>
      <c r="N591">
        <v>1</v>
      </c>
      <c r="O591" s="17" t="s">
        <v>50</v>
      </c>
      <c r="P591" s="14">
        <v>1</v>
      </c>
      <c r="Q591" t="s">
        <v>48</v>
      </c>
      <c r="R591" s="14">
        <v>2319</v>
      </c>
      <c r="S591" s="17" t="str">
        <f t="shared" si="18"/>
        <v>low</v>
      </c>
      <c r="T591">
        <v>6689</v>
      </c>
      <c r="U591">
        <v>1</v>
      </c>
      <c r="V591" s="17" t="s">
        <v>35</v>
      </c>
      <c r="W591">
        <v>11</v>
      </c>
      <c r="X591">
        <v>3</v>
      </c>
      <c r="Y591">
        <v>4</v>
      </c>
      <c r="Z591">
        <v>1</v>
      </c>
      <c r="AA591">
        <v>1</v>
      </c>
      <c r="AB591">
        <v>1</v>
      </c>
      <c r="AC591">
        <v>3</v>
      </c>
      <c r="AD591" s="14">
        <v>1</v>
      </c>
      <c r="AE591" t="str">
        <f t="shared" si="19"/>
        <v>0-2 years</v>
      </c>
      <c r="AF591" s="14">
        <v>0</v>
      </c>
      <c r="AG591" s="14">
        <v>0</v>
      </c>
      <c r="AH591" s="14">
        <v>0</v>
      </c>
    </row>
    <row r="592" spans="1:34" x14ac:dyDescent="0.3">
      <c r="A592" s="14">
        <v>33</v>
      </c>
      <c r="B592" s="17" t="s">
        <v>43</v>
      </c>
      <c r="C592" t="s">
        <v>36</v>
      </c>
      <c r="D592">
        <v>213</v>
      </c>
      <c r="E592" s="17" t="s">
        <v>45</v>
      </c>
      <c r="F592">
        <v>7</v>
      </c>
      <c r="G592">
        <v>3</v>
      </c>
      <c r="H592" t="s">
        <v>51</v>
      </c>
      <c r="I592">
        <v>817</v>
      </c>
      <c r="J592">
        <v>3</v>
      </c>
      <c r="K592" s="17" t="s">
        <v>46</v>
      </c>
      <c r="L592">
        <v>49</v>
      </c>
      <c r="M592">
        <v>3</v>
      </c>
      <c r="N592">
        <v>3</v>
      </c>
      <c r="O592" s="17" t="s">
        <v>58</v>
      </c>
      <c r="P592" s="14">
        <v>3</v>
      </c>
      <c r="Q592" t="s">
        <v>48</v>
      </c>
      <c r="R592" s="14">
        <v>11691</v>
      </c>
      <c r="S592" s="17" t="str">
        <f t="shared" si="18"/>
        <v>high</v>
      </c>
      <c r="T592">
        <v>25995</v>
      </c>
      <c r="U592">
        <v>0</v>
      </c>
      <c r="V592" s="17" t="s">
        <v>43</v>
      </c>
      <c r="W592">
        <v>11</v>
      </c>
      <c r="X592">
        <v>3</v>
      </c>
      <c r="Y592">
        <v>4</v>
      </c>
      <c r="Z592">
        <v>0</v>
      </c>
      <c r="AA592">
        <v>14</v>
      </c>
      <c r="AB592">
        <v>3</v>
      </c>
      <c r="AC592">
        <v>4</v>
      </c>
      <c r="AD592" s="14">
        <v>13</v>
      </c>
      <c r="AE592" t="str">
        <f t="shared" si="19"/>
        <v>10+ years</v>
      </c>
      <c r="AF592" s="14">
        <v>9</v>
      </c>
      <c r="AG592" s="14">
        <v>3</v>
      </c>
      <c r="AH592" s="14">
        <v>7</v>
      </c>
    </row>
    <row r="593" spans="1:34" x14ac:dyDescent="0.3">
      <c r="A593" s="14">
        <v>33</v>
      </c>
      <c r="B593" s="17" t="s">
        <v>35</v>
      </c>
      <c r="C593" t="s">
        <v>36</v>
      </c>
      <c r="D593">
        <v>118</v>
      </c>
      <c r="E593" s="17" t="s">
        <v>37</v>
      </c>
      <c r="F593">
        <v>16</v>
      </c>
      <c r="G593">
        <v>3</v>
      </c>
      <c r="H593" t="s">
        <v>59</v>
      </c>
      <c r="I593">
        <v>819</v>
      </c>
      <c r="J593">
        <v>1</v>
      </c>
      <c r="K593" s="17" t="s">
        <v>39</v>
      </c>
      <c r="L593">
        <v>69</v>
      </c>
      <c r="M593">
        <v>3</v>
      </c>
      <c r="N593">
        <v>2</v>
      </c>
      <c r="O593" s="17" t="s">
        <v>40</v>
      </c>
      <c r="P593" s="14">
        <v>1</v>
      </c>
      <c r="Q593" t="s">
        <v>41</v>
      </c>
      <c r="R593" s="14">
        <v>5324</v>
      </c>
      <c r="S593" s="17" t="str">
        <f t="shared" si="18"/>
        <v>medium</v>
      </c>
      <c r="T593">
        <v>26507</v>
      </c>
      <c r="U593">
        <v>5</v>
      </c>
      <c r="V593" s="17" t="s">
        <v>43</v>
      </c>
      <c r="W593">
        <v>15</v>
      </c>
      <c r="X593">
        <v>3</v>
      </c>
      <c r="Y593">
        <v>3</v>
      </c>
      <c r="Z593">
        <v>0</v>
      </c>
      <c r="AA593">
        <v>6</v>
      </c>
      <c r="AB593">
        <v>3</v>
      </c>
      <c r="AC593">
        <v>3</v>
      </c>
      <c r="AD593" s="14">
        <v>3</v>
      </c>
      <c r="AE593" t="str">
        <f t="shared" si="19"/>
        <v>3-5 years</v>
      </c>
      <c r="AF593" s="14">
        <v>2</v>
      </c>
      <c r="AG593" s="14">
        <v>0</v>
      </c>
      <c r="AH593" s="14">
        <v>2</v>
      </c>
    </row>
    <row r="594" spans="1:34" x14ac:dyDescent="0.3">
      <c r="A594" s="14">
        <v>47</v>
      </c>
      <c r="B594" s="17" t="s">
        <v>43</v>
      </c>
      <c r="C594" t="s">
        <v>36</v>
      </c>
      <c r="D594">
        <v>202</v>
      </c>
      <c r="E594" s="17" t="s">
        <v>45</v>
      </c>
      <c r="F594">
        <v>2</v>
      </c>
      <c r="G594">
        <v>2</v>
      </c>
      <c r="H594" t="s">
        <v>49</v>
      </c>
      <c r="I594">
        <v>820</v>
      </c>
      <c r="J594">
        <v>3</v>
      </c>
      <c r="K594" s="17" t="s">
        <v>39</v>
      </c>
      <c r="L594">
        <v>33</v>
      </c>
      <c r="M594">
        <v>3</v>
      </c>
      <c r="N594">
        <v>4</v>
      </c>
      <c r="O594" s="17" t="s">
        <v>56</v>
      </c>
      <c r="P594" s="14">
        <v>4</v>
      </c>
      <c r="Q594" t="s">
        <v>48</v>
      </c>
      <c r="R594" s="14">
        <v>16752</v>
      </c>
      <c r="S594" s="17" t="str">
        <f t="shared" si="18"/>
        <v>high</v>
      </c>
      <c r="T594">
        <v>12982</v>
      </c>
      <c r="U594">
        <v>1</v>
      </c>
      <c r="V594" s="17" t="s">
        <v>35</v>
      </c>
      <c r="W594">
        <v>11</v>
      </c>
      <c r="X594">
        <v>3</v>
      </c>
      <c r="Y594">
        <v>3</v>
      </c>
      <c r="Z594">
        <v>1</v>
      </c>
      <c r="AA594">
        <v>26</v>
      </c>
      <c r="AB594">
        <v>3</v>
      </c>
      <c r="AC594">
        <v>2</v>
      </c>
      <c r="AD594" s="14">
        <v>26</v>
      </c>
      <c r="AE594" t="str">
        <f t="shared" si="19"/>
        <v>10+ years</v>
      </c>
      <c r="AF594" s="14">
        <v>14</v>
      </c>
      <c r="AG594" s="14">
        <v>3</v>
      </c>
      <c r="AH594" s="14">
        <v>0</v>
      </c>
    </row>
    <row r="595" spans="1:34" x14ac:dyDescent="0.3">
      <c r="A595" s="14">
        <v>36</v>
      </c>
      <c r="B595" s="17" t="s">
        <v>43</v>
      </c>
      <c r="C595" t="s">
        <v>36</v>
      </c>
      <c r="D595">
        <v>676</v>
      </c>
      <c r="E595" s="17" t="s">
        <v>45</v>
      </c>
      <c r="F595">
        <v>1</v>
      </c>
      <c r="G595">
        <v>3</v>
      </c>
      <c r="H595" t="s">
        <v>49</v>
      </c>
      <c r="I595">
        <v>823</v>
      </c>
      <c r="J595">
        <v>3</v>
      </c>
      <c r="K595" s="17" t="s">
        <v>39</v>
      </c>
      <c r="L595">
        <v>35</v>
      </c>
      <c r="M595">
        <v>3</v>
      </c>
      <c r="N595">
        <v>2</v>
      </c>
      <c r="O595" s="17" t="s">
        <v>53</v>
      </c>
      <c r="P595" s="14">
        <v>2</v>
      </c>
      <c r="Q595" t="s">
        <v>48</v>
      </c>
      <c r="R595" s="14">
        <v>5228</v>
      </c>
      <c r="S595" s="17" t="str">
        <f t="shared" si="18"/>
        <v>medium</v>
      </c>
      <c r="T595">
        <v>23361</v>
      </c>
      <c r="U595">
        <v>0</v>
      </c>
      <c r="V595" s="17" t="s">
        <v>43</v>
      </c>
      <c r="W595">
        <v>15</v>
      </c>
      <c r="X595">
        <v>3</v>
      </c>
      <c r="Y595">
        <v>1</v>
      </c>
      <c r="Z595">
        <v>1</v>
      </c>
      <c r="AA595">
        <v>10</v>
      </c>
      <c r="AB595">
        <v>2</v>
      </c>
      <c r="AC595">
        <v>3</v>
      </c>
      <c r="AD595" s="14">
        <v>9</v>
      </c>
      <c r="AE595" t="str">
        <f t="shared" si="19"/>
        <v>6-10 years</v>
      </c>
      <c r="AF595" s="14">
        <v>7</v>
      </c>
      <c r="AG595" s="14">
        <v>0</v>
      </c>
      <c r="AH595" s="14">
        <v>5</v>
      </c>
    </row>
    <row r="596" spans="1:34" x14ac:dyDescent="0.3">
      <c r="A596" s="14">
        <v>29</v>
      </c>
      <c r="B596" s="17" t="s">
        <v>43</v>
      </c>
      <c r="C596" t="s">
        <v>36</v>
      </c>
      <c r="D596">
        <v>1252</v>
      </c>
      <c r="E596" s="17" t="s">
        <v>45</v>
      </c>
      <c r="F596">
        <v>23</v>
      </c>
      <c r="G596">
        <v>2</v>
      </c>
      <c r="H596" t="s">
        <v>38</v>
      </c>
      <c r="I596">
        <v>824</v>
      </c>
      <c r="J596">
        <v>3</v>
      </c>
      <c r="K596" s="17" t="s">
        <v>46</v>
      </c>
      <c r="L596">
        <v>81</v>
      </c>
      <c r="M596">
        <v>4</v>
      </c>
      <c r="N596">
        <v>1</v>
      </c>
      <c r="O596" s="17" t="s">
        <v>47</v>
      </c>
      <c r="P596" s="14">
        <v>3</v>
      </c>
      <c r="Q596" t="s">
        <v>48</v>
      </c>
      <c r="R596" s="14">
        <v>2700</v>
      </c>
      <c r="S596" s="17" t="str">
        <f t="shared" si="18"/>
        <v>low</v>
      </c>
      <c r="T596">
        <v>23779</v>
      </c>
      <c r="U596">
        <v>1</v>
      </c>
      <c r="V596" s="17" t="s">
        <v>43</v>
      </c>
      <c r="W596">
        <v>24</v>
      </c>
      <c r="X596">
        <v>4</v>
      </c>
      <c r="Y596">
        <v>3</v>
      </c>
      <c r="Z596">
        <v>1</v>
      </c>
      <c r="AA596">
        <v>10</v>
      </c>
      <c r="AB596">
        <v>3</v>
      </c>
      <c r="AC596">
        <v>3</v>
      </c>
      <c r="AD596" s="14">
        <v>10</v>
      </c>
      <c r="AE596" t="str">
        <f t="shared" si="19"/>
        <v>6-10 years</v>
      </c>
      <c r="AF596" s="14">
        <v>7</v>
      </c>
      <c r="AG596" s="14">
        <v>0</v>
      </c>
      <c r="AH596" s="14">
        <v>7</v>
      </c>
    </row>
    <row r="597" spans="1:34" x14ac:dyDescent="0.3">
      <c r="A597" s="14">
        <v>58</v>
      </c>
      <c r="B597" s="17" t="s">
        <v>35</v>
      </c>
      <c r="C597" t="s">
        <v>36</v>
      </c>
      <c r="D597">
        <v>286</v>
      </c>
      <c r="E597" s="17" t="s">
        <v>45</v>
      </c>
      <c r="F597">
        <v>2</v>
      </c>
      <c r="G597">
        <v>4</v>
      </c>
      <c r="H597" t="s">
        <v>38</v>
      </c>
      <c r="I597">
        <v>825</v>
      </c>
      <c r="J597">
        <v>4</v>
      </c>
      <c r="K597" s="17" t="s">
        <v>46</v>
      </c>
      <c r="L597">
        <v>31</v>
      </c>
      <c r="M597">
        <v>3</v>
      </c>
      <c r="N597">
        <v>5</v>
      </c>
      <c r="O597" s="17" t="s">
        <v>58</v>
      </c>
      <c r="P597" s="14">
        <v>2</v>
      </c>
      <c r="Q597" t="s">
        <v>41</v>
      </c>
      <c r="R597" s="14">
        <v>19246</v>
      </c>
      <c r="S597" s="17" t="str">
        <f t="shared" si="18"/>
        <v>high</v>
      </c>
      <c r="T597">
        <v>25761</v>
      </c>
      <c r="U597">
        <v>7</v>
      </c>
      <c r="V597" s="17" t="s">
        <v>35</v>
      </c>
      <c r="W597">
        <v>12</v>
      </c>
      <c r="X597">
        <v>3</v>
      </c>
      <c r="Y597">
        <v>4</v>
      </c>
      <c r="Z597">
        <v>0</v>
      </c>
      <c r="AA597">
        <v>40</v>
      </c>
      <c r="AB597">
        <v>2</v>
      </c>
      <c r="AC597">
        <v>3</v>
      </c>
      <c r="AD597" s="14">
        <v>31</v>
      </c>
      <c r="AE597" t="str">
        <f t="shared" si="19"/>
        <v>10+ years</v>
      </c>
      <c r="AF597" s="14">
        <v>15</v>
      </c>
      <c r="AG597" s="14">
        <v>13</v>
      </c>
      <c r="AH597" s="14">
        <v>8</v>
      </c>
    </row>
    <row r="598" spans="1:34" x14ac:dyDescent="0.3">
      <c r="A598" s="14">
        <v>35</v>
      </c>
      <c r="B598" s="17" t="s">
        <v>43</v>
      </c>
      <c r="C598" t="s">
        <v>36</v>
      </c>
      <c r="D598">
        <v>1258</v>
      </c>
      <c r="E598" s="17" t="s">
        <v>45</v>
      </c>
      <c r="F598">
        <v>1</v>
      </c>
      <c r="G598">
        <v>4</v>
      </c>
      <c r="H598" t="s">
        <v>38</v>
      </c>
      <c r="I598">
        <v>826</v>
      </c>
      <c r="J598">
        <v>4</v>
      </c>
      <c r="K598" s="17" t="s">
        <v>39</v>
      </c>
      <c r="L598">
        <v>40</v>
      </c>
      <c r="M598">
        <v>4</v>
      </c>
      <c r="N598">
        <v>1</v>
      </c>
      <c r="O598" s="17" t="s">
        <v>47</v>
      </c>
      <c r="P598" s="14">
        <v>3</v>
      </c>
      <c r="Q598" t="s">
        <v>41</v>
      </c>
      <c r="R598" s="14">
        <v>2506</v>
      </c>
      <c r="S598" s="17" t="str">
        <f t="shared" si="18"/>
        <v>low</v>
      </c>
      <c r="T598">
        <v>13301</v>
      </c>
      <c r="U598">
        <v>3</v>
      </c>
      <c r="V598" s="17" t="s">
        <v>43</v>
      </c>
      <c r="W598">
        <v>13</v>
      </c>
      <c r="X598">
        <v>3</v>
      </c>
      <c r="Y598">
        <v>3</v>
      </c>
      <c r="Z598">
        <v>0</v>
      </c>
      <c r="AA598">
        <v>7</v>
      </c>
      <c r="AB598">
        <v>0</v>
      </c>
      <c r="AC598">
        <v>3</v>
      </c>
      <c r="AD598" s="14">
        <v>2</v>
      </c>
      <c r="AE598" t="str">
        <f t="shared" si="19"/>
        <v>0-2 years</v>
      </c>
      <c r="AF598" s="14">
        <v>2</v>
      </c>
      <c r="AG598" s="14">
        <v>2</v>
      </c>
      <c r="AH598" s="14">
        <v>2</v>
      </c>
    </row>
    <row r="599" spans="1:34" x14ac:dyDescent="0.3">
      <c r="A599" s="14">
        <v>42</v>
      </c>
      <c r="B599" s="17" t="s">
        <v>43</v>
      </c>
      <c r="C599" t="s">
        <v>36</v>
      </c>
      <c r="D599">
        <v>932</v>
      </c>
      <c r="E599" s="17" t="s">
        <v>45</v>
      </c>
      <c r="F599">
        <v>1</v>
      </c>
      <c r="G599">
        <v>2</v>
      </c>
      <c r="H599" t="s">
        <v>38</v>
      </c>
      <c r="I599">
        <v>827</v>
      </c>
      <c r="J599">
        <v>4</v>
      </c>
      <c r="K599" s="17" t="s">
        <v>39</v>
      </c>
      <c r="L599">
        <v>43</v>
      </c>
      <c r="M599">
        <v>2</v>
      </c>
      <c r="N599">
        <v>2</v>
      </c>
      <c r="O599" s="17" t="s">
        <v>53</v>
      </c>
      <c r="P599" s="14">
        <v>4</v>
      </c>
      <c r="Q599" t="s">
        <v>48</v>
      </c>
      <c r="R599" s="14">
        <v>6062</v>
      </c>
      <c r="S599" s="17" t="str">
        <f t="shared" si="18"/>
        <v>medium</v>
      </c>
      <c r="T599">
        <v>4051</v>
      </c>
      <c r="U599">
        <v>9</v>
      </c>
      <c r="V599" s="17" t="s">
        <v>35</v>
      </c>
      <c r="W599">
        <v>13</v>
      </c>
      <c r="X599">
        <v>3</v>
      </c>
      <c r="Y599">
        <v>4</v>
      </c>
      <c r="Z599">
        <v>1</v>
      </c>
      <c r="AA599">
        <v>8</v>
      </c>
      <c r="AB599">
        <v>4</v>
      </c>
      <c r="AC599">
        <v>3</v>
      </c>
      <c r="AD599" s="14">
        <v>4</v>
      </c>
      <c r="AE599" t="str">
        <f t="shared" si="19"/>
        <v>3-5 years</v>
      </c>
      <c r="AF599" s="14">
        <v>3</v>
      </c>
      <c r="AG599" s="14">
        <v>0</v>
      </c>
      <c r="AH599" s="14">
        <v>2</v>
      </c>
    </row>
    <row r="600" spans="1:34" x14ac:dyDescent="0.3">
      <c r="A600" s="14">
        <v>28</v>
      </c>
      <c r="B600" s="17" t="s">
        <v>35</v>
      </c>
      <c r="C600" t="s">
        <v>36</v>
      </c>
      <c r="D600">
        <v>890</v>
      </c>
      <c r="E600" s="17" t="s">
        <v>45</v>
      </c>
      <c r="F600">
        <v>2</v>
      </c>
      <c r="G600">
        <v>4</v>
      </c>
      <c r="H600" t="s">
        <v>51</v>
      </c>
      <c r="I600">
        <v>828</v>
      </c>
      <c r="J600">
        <v>3</v>
      </c>
      <c r="K600" s="17" t="s">
        <v>46</v>
      </c>
      <c r="L600">
        <v>46</v>
      </c>
      <c r="M600">
        <v>3</v>
      </c>
      <c r="N600">
        <v>1</v>
      </c>
      <c r="O600" s="17" t="s">
        <v>47</v>
      </c>
      <c r="P600" s="14">
        <v>3</v>
      </c>
      <c r="Q600" t="s">
        <v>41</v>
      </c>
      <c r="R600" s="14">
        <v>4382</v>
      </c>
      <c r="S600" s="17" t="str">
        <f t="shared" si="18"/>
        <v>medium</v>
      </c>
      <c r="T600">
        <v>16374</v>
      </c>
      <c r="U600">
        <v>6</v>
      </c>
      <c r="V600" s="17" t="s">
        <v>43</v>
      </c>
      <c r="W600">
        <v>17</v>
      </c>
      <c r="X600">
        <v>3</v>
      </c>
      <c r="Y600">
        <v>4</v>
      </c>
      <c r="Z600">
        <v>0</v>
      </c>
      <c r="AA600">
        <v>5</v>
      </c>
      <c r="AB600">
        <v>3</v>
      </c>
      <c r="AC600">
        <v>2</v>
      </c>
      <c r="AD600" s="14">
        <v>2</v>
      </c>
      <c r="AE600" t="str">
        <f t="shared" si="19"/>
        <v>0-2 years</v>
      </c>
      <c r="AF600" s="14">
        <v>2</v>
      </c>
      <c r="AG600" s="14">
        <v>2</v>
      </c>
      <c r="AH600" s="14">
        <v>1</v>
      </c>
    </row>
    <row r="601" spans="1:34" x14ac:dyDescent="0.3">
      <c r="A601" s="14">
        <v>36</v>
      </c>
      <c r="B601" s="17" t="s">
        <v>43</v>
      </c>
      <c r="C601" t="s">
        <v>36</v>
      </c>
      <c r="D601">
        <v>1041</v>
      </c>
      <c r="E601" s="17" t="s">
        <v>61</v>
      </c>
      <c r="F601">
        <v>13</v>
      </c>
      <c r="G601">
        <v>3</v>
      </c>
      <c r="H601" t="s">
        <v>61</v>
      </c>
      <c r="I601">
        <v>829</v>
      </c>
      <c r="J601">
        <v>3</v>
      </c>
      <c r="K601" s="17" t="s">
        <v>46</v>
      </c>
      <c r="L601">
        <v>36</v>
      </c>
      <c r="M601">
        <v>3</v>
      </c>
      <c r="N601">
        <v>1</v>
      </c>
      <c r="O601" s="17" t="s">
        <v>61</v>
      </c>
      <c r="P601" s="14">
        <v>2</v>
      </c>
      <c r="Q601" t="s">
        <v>48</v>
      </c>
      <c r="R601" s="14">
        <v>2143</v>
      </c>
      <c r="S601" s="17" t="str">
        <f t="shared" si="18"/>
        <v>low</v>
      </c>
      <c r="T601">
        <v>25527</v>
      </c>
      <c r="U601">
        <v>4</v>
      </c>
      <c r="V601" s="17" t="s">
        <v>43</v>
      </c>
      <c r="W601">
        <v>13</v>
      </c>
      <c r="X601">
        <v>3</v>
      </c>
      <c r="Y601">
        <v>2</v>
      </c>
      <c r="Z601">
        <v>1</v>
      </c>
      <c r="AA601">
        <v>8</v>
      </c>
      <c r="AB601">
        <v>2</v>
      </c>
      <c r="AC601">
        <v>3</v>
      </c>
      <c r="AD601" s="14">
        <v>5</v>
      </c>
      <c r="AE601" t="str">
        <f t="shared" si="19"/>
        <v>3-5 years</v>
      </c>
      <c r="AF601" s="14">
        <v>2</v>
      </c>
      <c r="AG601" s="14">
        <v>0</v>
      </c>
      <c r="AH601" s="14">
        <v>4</v>
      </c>
    </row>
    <row r="602" spans="1:34" x14ac:dyDescent="0.3">
      <c r="A602" s="14">
        <v>32</v>
      </c>
      <c r="B602" s="17" t="s">
        <v>43</v>
      </c>
      <c r="C602" t="s">
        <v>36</v>
      </c>
      <c r="D602">
        <v>859</v>
      </c>
      <c r="E602" s="17" t="s">
        <v>45</v>
      </c>
      <c r="F602">
        <v>4</v>
      </c>
      <c r="G602">
        <v>3</v>
      </c>
      <c r="H602" t="s">
        <v>38</v>
      </c>
      <c r="I602">
        <v>830</v>
      </c>
      <c r="J602">
        <v>3</v>
      </c>
      <c r="K602" s="17" t="s">
        <v>39</v>
      </c>
      <c r="L602">
        <v>98</v>
      </c>
      <c r="M602">
        <v>2</v>
      </c>
      <c r="N602">
        <v>2</v>
      </c>
      <c r="O602" s="17" t="s">
        <v>53</v>
      </c>
      <c r="P602" s="14">
        <v>3</v>
      </c>
      <c r="Q602" t="s">
        <v>48</v>
      </c>
      <c r="R602" s="14">
        <v>6162</v>
      </c>
      <c r="S602" s="17" t="str">
        <f t="shared" si="18"/>
        <v>medium</v>
      </c>
      <c r="T602">
        <v>19124</v>
      </c>
      <c r="U602">
        <v>1</v>
      </c>
      <c r="V602" s="17" t="s">
        <v>43</v>
      </c>
      <c r="W602">
        <v>12</v>
      </c>
      <c r="X602">
        <v>3</v>
      </c>
      <c r="Y602">
        <v>3</v>
      </c>
      <c r="Z602">
        <v>1</v>
      </c>
      <c r="AA602">
        <v>14</v>
      </c>
      <c r="AB602">
        <v>3</v>
      </c>
      <c r="AC602">
        <v>3</v>
      </c>
      <c r="AD602" s="14">
        <v>14</v>
      </c>
      <c r="AE602" t="str">
        <f t="shared" si="19"/>
        <v>10+ years</v>
      </c>
      <c r="AF602" s="14">
        <v>13</v>
      </c>
      <c r="AG602" s="14">
        <v>6</v>
      </c>
      <c r="AH602" s="14">
        <v>8</v>
      </c>
    </row>
    <row r="603" spans="1:34" x14ac:dyDescent="0.3">
      <c r="A603" s="14">
        <v>40</v>
      </c>
      <c r="B603" s="17" t="s">
        <v>43</v>
      </c>
      <c r="C603" t="s">
        <v>44</v>
      </c>
      <c r="D603">
        <v>720</v>
      </c>
      <c r="E603" s="17" t="s">
        <v>45</v>
      </c>
      <c r="F603">
        <v>16</v>
      </c>
      <c r="G603">
        <v>4</v>
      </c>
      <c r="H603" t="s">
        <v>51</v>
      </c>
      <c r="I603">
        <v>832</v>
      </c>
      <c r="J603">
        <v>1</v>
      </c>
      <c r="K603" s="17" t="s">
        <v>46</v>
      </c>
      <c r="L603">
        <v>51</v>
      </c>
      <c r="M603">
        <v>2</v>
      </c>
      <c r="N603">
        <v>2</v>
      </c>
      <c r="O603" s="17" t="s">
        <v>50</v>
      </c>
      <c r="P603" s="14">
        <v>3</v>
      </c>
      <c r="Q603" t="s">
        <v>41</v>
      </c>
      <c r="R603" s="14">
        <v>5094</v>
      </c>
      <c r="S603" s="17" t="str">
        <f t="shared" si="18"/>
        <v>medium</v>
      </c>
      <c r="T603">
        <v>11983</v>
      </c>
      <c r="U603">
        <v>6</v>
      </c>
      <c r="V603" s="17" t="s">
        <v>43</v>
      </c>
      <c r="W603">
        <v>14</v>
      </c>
      <c r="X603">
        <v>3</v>
      </c>
      <c r="Y603">
        <v>4</v>
      </c>
      <c r="Z603">
        <v>0</v>
      </c>
      <c r="AA603">
        <v>10</v>
      </c>
      <c r="AB603">
        <v>6</v>
      </c>
      <c r="AC603">
        <v>3</v>
      </c>
      <c r="AD603" s="14">
        <v>1</v>
      </c>
      <c r="AE603" t="str">
        <f t="shared" si="19"/>
        <v>0-2 years</v>
      </c>
      <c r="AF603" s="14">
        <v>0</v>
      </c>
      <c r="AG603" s="14">
        <v>0</v>
      </c>
      <c r="AH603" s="14">
        <v>0</v>
      </c>
    </row>
    <row r="604" spans="1:34" x14ac:dyDescent="0.3">
      <c r="A604" s="14">
        <v>30</v>
      </c>
      <c r="B604" s="17" t="s">
        <v>43</v>
      </c>
      <c r="C604" t="s">
        <v>36</v>
      </c>
      <c r="D604">
        <v>946</v>
      </c>
      <c r="E604" s="17" t="s">
        <v>45</v>
      </c>
      <c r="F604">
        <v>2</v>
      </c>
      <c r="G604">
        <v>3</v>
      </c>
      <c r="H604" t="s">
        <v>51</v>
      </c>
      <c r="I604">
        <v>833</v>
      </c>
      <c r="J604">
        <v>3</v>
      </c>
      <c r="K604" s="17" t="s">
        <v>39</v>
      </c>
      <c r="L604">
        <v>52</v>
      </c>
      <c r="M604">
        <v>2</v>
      </c>
      <c r="N604">
        <v>2</v>
      </c>
      <c r="O604" s="17" t="s">
        <v>53</v>
      </c>
      <c r="P604" s="14">
        <v>4</v>
      </c>
      <c r="Q604" t="s">
        <v>41</v>
      </c>
      <c r="R604" s="14">
        <v>6877</v>
      </c>
      <c r="S604" s="17" t="str">
        <f t="shared" si="18"/>
        <v>medium</v>
      </c>
      <c r="T604">
        <v>20234</v>
      </c>
      <c r="U604">
        <v>5</v>
      </c>
      <c r="V604" s="17" t="s">
        <v>35</v>
      </c>
      <c r="W604">
        <v>24</v>
      </c>
      <c r="X604">
        <v>4</v>
      </c>
      <c r="Y604">
        <v>2</v>
      </c>
      <c r="Z604">
        <v>0</v>
      </c>
      <c r="AA604">
        <v>12</v>
      </c>
      <c r="AB604">
        <v>4</v>
      </c>
      <c r="AC604">
        <v>2</v>
      </c>
      <c r="AD604" s="14">
        <v>0</v>
      </c>
      <c r="AE604" t="str">
        <f t="shared" si="19"/>
        <v>0-2 years</v>
      </c>
      <c r="AF604" s="14">
        <v>0</v>
      </c>
      <c r="AG604" s="14">
        <v>0</v>
      </c>
      <c r="AH604" s="14">
        <v>0</v>
      </c>
    </row>
    <row r="605" spans="1:34" x14ac:dyDescent="0.3">
      <c r="A605" s="14">
        <v>45</v>
      </c>
      <c r="B605" s="17" t="s">
        <v>43</v>
      </c>
      <c r="C605" t="s">
        <v>36</v>
      </c>
      <c r="D605">
        <v>252</v>
      </c>
      <c r="E605" s="17" t="s">
        <v>45</v>
      </c>
      <c r="F605">
        <v>2</v>
      </c>
      <c r="G605">
        <v>3</v>
      </c>
      <c r="H605" t="s">
        <v>38</v>
      </c>
      <c r="I605">
        <v>834</v>
      </c>
      <c r="J605">
        <v>2</v>
      </c>
      <c r="K605" s="17" t="s">
        <v>39</v>
      </c>
      <c r="L605">
        <v>95</v>
      </c>
      <c r="M605">
        <v>2</v>
      </c>
      <c r="N605">
        <v>1</v>
      </c>
      <c r="O605" s="17" t="s">
        <v>47</v>
      </c>
      <c r="P605" s="14">
        <v>3</v>
      </c>
      <c r="Q605" t="s">
        <v>41</v>
      </c>
      <c r="R605" s="14">
        <v>2274</v>
      </c>
      <c r="S605" s="17" t="str">
        <f t="shared" si="18"/>
        <v>low</v>
      </c>
      <c r="T605">
        <v>6153</v>
      </c>
      <c r="U605">
        <v>1</v>
      </c>
      <c r="V605" s="17" t="s">
        <v>43</v>
      </c>
      <c r="W605">
        <v>14</v>
      </c>
      <c r="X605">
        <v>3</v>
      </c>
      <c r="Y605">
        <v>4</v>
      </c>
      <c r="Z605">
        <v>0</v>
      </c>
      <c r="AA605">
        <v>1</v>
      </c>
      <c r="AB605">
        <v>3</v>
      </c>
      <c r="AC605">
        <v>3</v>
      </c>
      <c r="AD605" s="14">
        <v>1</v>
      </c>
      <c r="AE605" t="str">
        <f t="shared" si="19"/>
        <v>0-2 years</v>
      </c>
      <c r="AF605" s="14">
        <v>0</v>
      </c>
      <c r="AG605" s="14">
        <v>0</v>
      </c>
      <c r="AH605" s="14">
        <v>0</v>
      </c>
    </row>
    <row r="606" spans="1:34" x14ac:dyDescent="0.3">
      <c r="A606" s="14">
        <v>42</v>
      </c>
      <c r="B606" s="17" t="s">
        <v>43</v>
      </c>
      <c r="C606" t="s">
        <v>36</v>
      </c>
      <c r="D606">
        <v>933</v>
      </c>
      <c r="E606" s="17" t="s">
        <v>45</v>
      </c>
      <c r="F606">
        <v>29</v>
      </c>
      <c r="G606">
        <v>3</v>
      </c>
      <c r="H606" t="s">
        <v>38</v>
      </c>
      <c r="I606">
        <v>836</v>
      </c>
      <c r="J606">
        <v>2</v>
      </c>
      <c r="K606" s="17" t="s">
        <v>46</v>
      </c>
      <c r="L606">
        <v>98</v>
      </c>
      <c r="M606">
        <v>3</v>
      </c>
      <c r="N606">
        <v>2</v>
      </c>
      <c r="O606" s="17" t="s">
        <v>53</v>
      </c>
      <c r="P606" s="14">
        <v>2</v>
      </c>
      <c r="Q606" t="s">
        <v>48</v>
      </c>
      <c r="R606" s="14">
        <v>4434</v>
      </c>
      <c r="S606" s="17" t="str">
        <f t="shared" si="18"/>
        <v>medium</v>
      </c>
      <c r="T606">
        <v>11806</v>
      </c>
      <c r="U606">
        <v>1</v>
      </c>
      <c r="V606" s="17" t="s">
        <v>43</v>
      </c>
      <c r="W606">
        <v>13</v>
      </c>
      <c r="X606">
        <v>3</v>
      </c>
      <c r="Y606">
        <v>4</v>
      </c>
      <c r="Z606">
        <v>1</v>
      </c>
      <c r="AA606">
        <v>10</v>
      </c>
      <c r="AB606">
        <v>3</v>
      </c>
      <c r="AC606">
        <v>2</v>
      </c>
      <c r="AD606" s="14">
        <v>9</v>
      </c>
      <c r="AE606" t="str">
        <f t="shared" si="19"/>
        <v>6-10 years</v>
      </c>
      <c r="AF606" s="14">
        <v>8</v>
      </c>
      <c r="AG606" s="14">
        <v>7</v>
      </c>
      <c r="AH606" s="14">
        <v>8</v>
      </c>
    </row>
    <row r="607" spans="1:34" x14ac:dyDescent="0.3">
      <c r="A607" s="14">
        <v>38</v>
      </c>
      <c r="B607" s="17" t="s">
        <v>43</v>
      </c>
      <c r="C607" t="s">
        <v>44</v>
      </c>
      <c r="D607">
        <v>471</v>
      </c>
      <c r="E607" s="17" t="s">
        <v>45</v>
      </c>
      <c r="F607">
        <v>12</v>
      </c>
      <c r="G607">
        <v>3</v>
      </c>
      <c r="H607" t="s">
        <v>38</v>
      </c>
      <c r="I607">
        <v>837</v>
      </c>
      <c r="J607">
        <v>1</v>
      </c>
      <c r="K607" s="17" t="s">
        <v>46</v>
      </c>
      <c r="L607">
        <v>45</v>
      </c>
      <c r="M607">
        <v>2</v>
      </c>
      <c r="N607">
        <v>2</v>
      </c>
      <c r="O607" s="17" t="s">
        <v>54</v>
      </c>
      <c r="P607" s="14">
        <v>1</v>
      </c>
      <c r="Q607" t="s">
        <v>52</v>
      </c>
      <c r="R607" s="14">
        <v>6288</v>
      </c>
      <c r="S607" s="17" t="str">
        <f t="shared" si="18"/>
        <v>medium</v>
      </c>
      <c r="T607">
        <v>4284</v>
      </c>
      <c r="U607">
        <v>2</v>
      </c>
      <c r="V607" s="17" t="s">
        <v>43</v>
      </c>
      <c r="W607">
        <v>15</v>
      </c>
      <c r="X607">
        <v>3</v>
      </c>
      <c r="Y607">
        <v>3</v>
      </c>
      <c r="Z607">
        <v>1</v>
      </c>
      <c r="AA607">
        <v>13</v>
      </c>
      <c r="AB607">
        <v>3</v>
      </c>
      <c r="AC607">
        <v>2</v>
      </c>
      <c r="AD607" s="14">
        <v>4</v>
      </c>
      <c r="AE607" t="str">
        <f t="shared" si="19"/>
        <v>3-5 years</v>
      </c>
      <c r="AF607" s="14">
        <v>3</v>
      </c>
      <c r="AG607" s="14">
        <v>1</v>
      </c>
      <c r="AH607" s="14">
        <v>2</v>
      </c>
    </row>
    <row r="608" spans="1:34" x14ac:dyDescent="0.3">
      <c r="A608" s="14">
        <v>34</v>
      </c>
      <c r="B608" s="17" t="s">
        <v>43</v>
      </c>
      <c r="C608" t="s">
        <v>44</v>
      </c>
      <c r="D608">
        <v>702</v>
      </c>
      <c r="E608" s="17" t="s">
        <v>45</v>
      </c>
      <c r="F608">
        <v>16</v>
      </c>
      <c r="G608">
        <v>4</v>
      </c>
      <c r="H608" t="s">
        <v>38</v>
      </c>
      <c r="I608">
        <v>838</v>
      </c>
      <c r="J608">
        <v>3</v>
      </c>
      <c r="K608" s="17" t="s">
        <v>39</v>
      </c>
      <c r="L608">
        <v>100</v>
      </c>
      <c r="M608">
        <v>2</v>
      </c>
      <c r="N608">
        <v>1</v>
      </c>
      <c r="O608" s="17" t="s">
        <v>47</v>
      </c>
      <c r="P608" s="14">
        <v>4</v>
      </c>
      <c r="Q608" t="s">
        <v>41</v>
      </c>
      <c r="R608" s="14">
        <v>2553</v>
      </c>
      <c r="S608" s="17" t="str">
        <f t="shared" si="18"/>
        <v>low</v>
      </c>
      <c r="T608">
        <v>8306</v>
      </c>
      <c r="U608">
        <v>1</v>
      </c>
      <c r="V608" s="17" t="s">
        <v>43</v>
      </c>
      <c r="W608">
        <v>16</v>
      </c>
      <c r="X608">
        <v>3</v>
      </c>
      <c r="Y608">
        <v>3</v>
      </c>
      <c r="Z608">
        <v>0</v>
      </c>
      <c r="AA608">
        <v>6</v>
      </c>
      <c r="AB608">
        <v>3</v>
      </c>
      <c r="AC608">
        <v>3</v>
      </c>
      <c r="AD608" s="14">
        <v>5</v>
      </c>
      <c r="AE608" t="str">
        <f t="shared" si="19"/>
        <v>3-5 years</v>
      </c>
      <c r="AF608" s="14">
        <v>2</v>
      </c>
      <c r="AG608" s="14">
        <v>1</v>
      </c>
      <c r="AH608" s="14">
        <v>3</v>
      </c>
    </row>
    <row r="609" spans="1:34" x14ac:dyDescent="0.3">
      <c r="A609" s="14">
        <v>49</v>
      </c>
      <c r="B609" s="17" t="s">
        <v>35</v>
      </c>
      <c r="C609" t="s">
        <v>36</v>
      </c>
      <c r="D609">
        <v>1184</v>
      </c>
      <c r="E609" s="17" t="s">
        <v>37</v>
      </c>
      <c r="F609">
        <v>11</v>
      </c>
      <c r="G609">
        <v>3</v>
      </c>
      <c r="H609" t="s">
        <v>59</v>
      </c>
      <c r="I609">
        <v>840</v>
      </c>
      <c r="J609">
        <v>3</v>
      </c>
      <c r="K609" s="17" t="s">
        <v>39</v>
      </c>
      <c r="L609">
        <v>43</v>
      </c>
      <c r="M609">
        <v>3</v>
      </c>
      <c r="N609">
        <v>3</v>
      </c>
      <c r="O609" s="17" t="s">
        <v>40</v>
      </c>
      <c r="P609" s="14">
        <v>4</v>
      </c>
      <c r="Q609" t="s">
        <v>48</v>
      </c>
      <c r="R609" s="14">
        <v>7654</v>
      </c>
      <c r="S609" s="17" t="str">
        <f t="shared" si="18"/>
        <v>high</v>
      </c>
      <c r="T609">
        <v>5860</v>
      </c>
      <c r="U609">
        <v>1</v>
      </c>
      <c r="V609" s="17" t="s">
        <v>43</v>
      </c>
      <c r="W609">
        <v>18</v>
      </c>
      <c r="X609">
        <v>3</v>
      </c>
      <c r="Y609">
        <v>1</v>
      </c>
      <c r="Z609">
        <v>2</v>
      </c>
      <c r="AA609">
        <v>9</v>
      </c>
      <c r="AB609">
        <v>3</v>
      </c>
      <c r="AC609">
        <v>4</v>
      </c>
      <c r="AD609" s="14">
        <v>9</v>
      </c>
      <c r="AE609" t="str">
        <f t="shared" si="19"/>
        <v>6-10 years</v>
      </c>
      <c r="AF609" s="14">
        <v>8</v>
      </c>
      <c r="AG609" s="14">
        <v>7</v>
      </c>
      <c r="AH609" s="14">
        <v>7</v>
      </c>
    </row>
    <row r="610" spans="1:34" x14ac:dyDescent="0.3">
      <c r="A610" s="14">
        <v>55</v>
      </c>
      <c r="B610" s="17" t="s">
        <v>35</v>
      </c>
      <c r="C610" t="s">
        <v>36</v>
      </c>
      <c r="D610">
        <v>436</v>
      </c>
      <c r="E610" s="17" t="s">
        <v>37</v>
      </c>
      <c r="F610">
        <v>2</v>
      </c>
      <c r="G610">
        <v>1</v>
      </c>
      <c r="H610" t="s">
        <v>51</v>
      </c>
      <c r="I610">
        <v>842</v>
      </c>
      <c r="J610">
        <v>3</v>
      </c>
      <c r="K610" s="17" t="s">
        <v>46</v>
      </c>
      <c r="L610">
        <v>37</v>
      </c>
      <c r="M610">
        <v>3</v>
      </c>
      <c r="N610">
        <v>2</v>
      </c>
      <c r="O610" s="17" t="s">
        <v>40</v>
      </c>
      <c r="P610" s="14">
        <v>4</v>
      </c>
      <c r="Q610" t="s">
        <v>41</v>
      </c>
      <c r="R610" s="14">
        <v>5160</v>
      </c>
      <c r="S610" s="17" t="str">
        <f t="shared" si="18"/>
        <v>medium</v>
      </c>
      <c r="T610">
        <v>21519</v>
      </c>
      <c r="U610">
        <v>4</v>
      </c>
      <c r="V610" s="17" t="s">
        <v>43</v>
      </c>
      <c r="W610">
        <v>16</v>
      </c>
      <c r="X610">
        <v>3</v>
      </c>
      <c r="Y610">
        <v>3</v>
      </c>
      <c r="Z610">
        <v>0</v>
      </c>
      <c r="AA610">
        <v>12</v>
      </c>
      <c r="AB610">
        <v>3</v>
      </c>
      <c r="AC610">
        <v>2</v>
      </c>
      <c r="AD610" s="14">
        <v>9</v>
      </c>
      <c r="AE610" t="str">
        <f t="shared" si="19"/>
        <v>6-10 years</v>
      </c>
      <c r="AF610" s="14">
        <v>7</v>
      </c>
      <c r="AG610" s="14">
        <v>7</v>
      </c>
      <c r="AH610" s="14">
        <v>3</v>
      </c>
    </row>
    <row r="611" spans="1:34" x14ac:dyDescent="0.3">
      <c r="A611" s="14">
        <v>43</v>
      </c>
      <c r="B611" s="17" t="s">
        <v>43</v>
      </c>
      <c r="C611" t="s">
        <v>36</v>
      </c>
      <c r="D611">
        <v>589</v>
      </c>
      <c r="E611" s="17" t="s">
        <v>45</v>
      </c>
      <c r="F611">
        <v>14</v>
      </c>
      <c r="G611">
        <v>2</v>
      </c>
      <c r="H611" t="s">
        <v>38</v>
      </c>
      <c r="I611">
        <v>843</v>
      </c>
      <c r="J611">
        <v>2</v>
      </c>
      <c r="K611" s="17" t="s">
        <v>46</v>
      </c>
      <c r="L611">
        <v>94</v>
      </c>
      <c r="M611">
        <v>3</v>
      </c>
      <c r="N611">
        <v>4</v>
      </c>
      <c r="O611" s="17" t="s">
        <v>58</v>
      </c>
      <c r="P611" s="14">
        <v>1</v>
      </c>
      <c r="Q611" t="s">
        <v>48</v>
      </c>
      <c r="R611" s="14">
        <v>17159</v>
      </c>
      <c r="S611" s="17" t="str">
        <f t="shared" si="18"/>
        <v>high</v>
      </c>
      <c r="T611">
        <v>5200</v>
      </c>
      <c r="U611">
        <v>6</v>
      </c>
      <c r="V611" s="17" t="s">
        <v>43</v>
      </c>
      <c r="W611">
        <v>24</v>
      </c>
      <c r="X611">
        <v>4</v>
      </c>
      <c r="Y611">
        <v>3</v>
      </c>
      <c r="Z611">
        <v>1</v>
      </c>
      <c r="AA611">
        <v>22</v>
      </c>
      <c r="AB611">
        <v>3</v>
      </c>
      <c r="AC611">
        <v>3</v>
      </c>
      <c r="AD611" s="14">
        <v>4</v>
      </c>
      <c r="AE611" t="str">
        <f t="shared" si="19"/>
        <v>3-5 years</v>
      </c>
      <c r="AF611" s="14">
        <v>1</v>
      </c>
      <c r="AG611" s="14">
        <v>1</v>
      </c>
      <c r="AH611" s="14">
        <v>0</v>
      </c>
    </row>
    <row r="612" spans="1:34" x14ac:dyDescent="0.3">
      <c r="A612" s="14">
        <v>27</v>
      </c>
      <c r="B612" s="17" t="s">
        <v>43</v>
      </c>
      <c r="C612" t="s">
        <v>36</v>
      </c>
      <c r="D612">
        <v>269</v>
      </c>
      <c r="E612" s="17" t="s">
        <v>45</v>
      </c>
      <c r="F612">
        <v>5</v>
      </c>
      <c r="G612">
        <v>1</v>
      </c>
      <c r="H612" t="s">
        <v>60</v>
      </c>
      <c r="I612">
        <v>844</v>
      </c>
      <c r="J612">
        <v>3</v>
      </c>
      <c r="K612" s="17" t="s">
        <v>46</v>
      </c>
      <c r="L612">
        <v>42</v>
      </c>
      <c r="M612">
        <v>2</v>
      </c>
      <c r="N612">
        <v>3</v>
      </c>
      <c r="O612" s="17" t="s">
        <v>58</v>
      </c>
      <c r="P612" s="14">
        <v>4</v>
      </c>
      <c r="Q612" t="s">
        <v>52</v>
      </c>
      <c r="R612" s="14">
        <v>12808</v>
      </c>
      <c r="S612" s="17" t="str">
        <f t="shared" si="18"/>
        <v>high</v>
      </c>
      <c r="T612">
        <v>8842</v>
      </c>
      <c r="U612">
        <v>1</v>
      </c>
      <c r="V612" s="17" t="s">
        <v>35</v>
      </c>
      <c r="W612">
        <v>16</v>
      </c>
      <c r="X612">
        <v>3</v>
      </c>
      <c r="Y612">
        <v>2</v>
      </c>
      <c r="Z612">
        <v>1</v>
      </c>
      <c r="AA612">
        <v>9</v>
      </c>
      <c r="AB612">
        <v>3</v>
      </c>
      <c r="AC612">
        <v>3</v>
      </c>
      <c r="AD612" s="14">
        <v>9</v>
      </c>
      <c r="AE612" t="str">
        <f t="shared" si="19"/>
        <v>6-10 years</v>
      </c>
      <c r="AF612" s="14">
        <v>8</v>
      </c>
      <c r="AG612" s="14">
        <v>0</v>
      </c>
      <c r="AH612" s="14">
        <v>8</v>
      </c>
    </row>
    <row r="613" spans="1:34" x14ac:dyDescent="0.3">
      <c r="A613" s="14">
        <v>35</v>
      </c>
      <c r="B613" s="17" t="s">
        <v>43</v>
      </c>
      <c r="C613" t="s">
        <v>36</v>
      </c>
      <c r="D613">
        <v>950</v>
      </c>
      <c r="E613" s="17" t="s">
        <v>45</v>
      </c>
      <c r="F613">
        <v>7</v>
      </c>
      <c r="G613">
        <v>3</v>
      </c>
      <c r="H613" t="s">
        <v>49</v>
      </c>
      <c r="I613">
        <v>845</v>
      </c>
      <c r="J613">
        <v>3</v>
      </c>
      <c r="K613" s="17" t="s">
        <v>46</v>
      </c>
      <c r="L613">
        <v>59</v>
      </c>
      <c r="M613">
        <v>3</v>
      </c>
      <c r="N613">
        <v>3</v>
      </c>
      <c r="O613" s="17" t="s">
        <v>53</v>
      </c>
      <c r="P613" s="14">
        <v>3</v>
      </c>
      <c r="Q613" t="s">
        <v>41</v>
      </c>
      <c r="R613" s="14">
        <v>10221</v>
      </c>
      <c r="S613" s="17" t="str">
        <f t="shared" si="18"/>
        <v>high</v>
      </c>
      <c r="T613">
        <v>18869</v>
      </c>
      <c r="U613">
        <v>3</v>
      </c>
      <c r="V613" s="17" t="s">
        <v>43</v>
      </c>
      <c r="W613">
        <v>21</v>
      </c>
      <c r="X613">
        <v>4</v>
      </c>
      <c r="Y613">
        <v>2</v>
      </c>
      <c r="Z613">
        <v>0</v>
      </c>
      <c r="AA613">
        <v>17</v>
      </c>
      <c r="AB613">
        <v>3</v>
      </c>
      <c r="AC613">
        <v>4</v>
      </c>
      <c r="AD613" s="14">
        <v>8</v>
      </c>
      <c r="AE613" t="str">
        <f t="shared" si="19"/>
        <v>6-10 years</v>
      </c>
      <c r="AF613" s="14">
        <v>5</v>
      </c>
      <c r="AG613" s="14">
        <v>1</v>
      </c>
      <c r="AH613" s="14">
        <v>6</v>
      </c>
    </row>
    <row r="614" spans="1:34" x14ac:dyDescent="0.3">
      <c r="A614" s="14">
        <v>28</v>
      </c>
      <c r="B614" s="17" t="s">
        <v>43</v>
      </c>
      <c r="C614" t="s">
        <v>36</v>
      </c>
      <c r="D614">
        <v>760</v>
      </c>
      <c r="E614" s="17" t="s">
        <v>37</v>
      </c>
      <c r="F614">
        <v>2</v>
      </c>
      <c r="G614">
        <v>4</v>
      </c>
      <c r="H614" t="s">
        <v>59</v>
      </c>
      <c r="I614">
        <v>846</v>
      </c>
      <c r="J614">
        <v>2</v>
      </c>
      <c r="K614" s="17" t="s">
        <v>39</v>
      </c>
      <c r="L614">
        <v>81</v>
      </c>
      <c r="M614">
        <v>3</v>
      </c>
      <c r="N614">
        <v>2</v>
      </c>
      <c r="O614" s="17" t="s">
        <v>40</v>
      </c>
      <c r="P614" s="14">
        <v>2</v>
      </c>
      <c r="Q614" t="s">
        <v>48</v>
      </c>
      <c r="R614" s="14">
        <v>4779</v>
      </c>
      <c r="S614" s="17" t="str">
        <f t="shared" si="18"/>
        <v>medium</v>
      </c>
      <c r="T614">
        <v>3698</v>
      </c>
      <c r="U614">
        <v>1</v>
      </c>
      <c r="V614" s="17" t="s">
        <v>35</v>
      </c>
      <c r="W614">
        <v>20</v>
      </c>
      <c r="X614">
        <v>4</v>
      </c>
      <c r="Y614">
        <v>1</v>
      </c>
      <c r="Z614">
        <v>0</v>
      </c>
      <c r="AA614">
        <v>8</v>
      </c>
      <c r="AB614">
        <v>2</v>
      </c>
      <c r="AC614">
        <v>3</v>
      </c>
      <c r="AD614" s="14">
        <v>8</v>
      </c>
      <c r="AE614" t="str">
        <f t="shared" si="19"/>
        <v>6-10 years</v>
      </c>
      <c r="AF614" s="14">
        <v>7</v>
      </c>
      <c r="AG614" s="14">
        <v>7</v>
      </c>
      <c r="AH614" s="14">
        <v>5</v>
      </c>
    </row>
    <row r="615" spans="1:34" x14ac:dyDescent="0.3">
      <c r="A615" s="14">
        <v>34</v>
      </c>
      <c r="B615" s="17" t="s">
        <v>43</v>
      </c>
      <c r="C615" t="s">
        <v>36</v>
      </c>
      <c r="D615">
        <v>829</v>
      </c>
      <c r="E615" s="17" t="s">
        <v>61</v>
      </c>
      <c r="F615">
        <v>3</v>
      </c>
      <c r="G615">
        <v>2</v>
      </c>
      <c r="H615" t="s">
        <v>61</v>
      </c>
      <c r="I615">
        <v>847</v>
      </c>
      <c r="J615">
        <v>3</v>
      </c>
      <c r="K615" s="17" t="s">
        <v>46</v>
      </c>
      <c r="L615">
        <v>88</v>
      </c>
      <c r="M615">
        <v>3</v>
      </c>
      <c r="N615">
        <v>1</v>
      </c>
      <c r="O615" s="17" t="s">
        <v>61</v>
      </c>
      <c r="P615" s="14">
        <v>4</v>
      </c>
      <c r="Q615" t="s">
        <v>48</v>
      </c>
      <c r="R615" s="14">
        <v>3737</v>
      </c>
      <c r="S615" s="17" t="str">
        <f t="shared" si="18"/>
        <v>medium</v>
      </c>
      <c r="T615">
        <v>2243</v>
      </c>
      <c r="U615">
        <v>0</v>
      </c>
      <c r="V615" s="17" t="s">
        <v>43</v>
      </c>
      <c r="W615">
        <v>19</v>
      </c>
      <c r="X615">
        <v>3</v>
      </c>
      <c r="Y615">
        <v>3</v>
      </c>
      <c r="Z615">
        <v>1</v>
      </c>
      <c r="AA615">
        <v>4</v>
      </c>
      <c r="AB615">
        <v>1</v>
      </c>
      <c r="AC615">
        <v>1</v>
      </c>
      <c r="AD615" s="14">
        <v>3</v>
      </c>
      <c r="AE615" t="str">
        <f t="shared" si="19"/>
        <v>3-5 years</v>
      </c>
      <c r="AF615" s="14">
        <v>2</v>
      </c>
      <c r="AG615" s="14">
        <v>0</v>
      </c>
      <c r="AH615" s="14">
        <v>2</v>
      </c>
    </row>
    <row r="616" spans="1:34" x14ac:dyDescent="0.3">
      <c r="A616" s="14">
        <v>26</v>
      </c>
      <c r="B616" s="17" t="s">
        <v>35</v>
      </c>
      <c r="C616" t="s">
        <v>44</v>
      </c>
      <c r="D616">
        <v>887</v>
      </c>
      <c r="E616" s="17" t="s">
        <v>45</v>
      </c>
      <c r="F616">
        <v>5</v>
      </c>
      <c r="G616">
        <v>2</v>
      </c>
      <c r="H616" t="s">
        <v>51</v>
      </c>
      <c r="I616">
        <v>848</v>
      </c>
      <c r="J616">
        <v>3</v>
      </c>
      <c r="K616" s="17" t="s">
        <v>39</v>
      </c>
      <c r="L616">
        <v>88</v>
      </c>
      <c r="M616">
        <v>2</v>
      </c>
      <c r="N616">
        <v>1</v>
      </c>
      <c r="O616" s="17" t="s">
        <v>47</v>
      </c>
      <c r="P616" s="14">
        <v>3</v>
      </c>
      <c r="Q616" t="s">
        <v>48</v>
      </c>
      <c r="R616" s="14">
        <v>2366</v>
      </c>
      <c r="S616" s="17" t="str">
        <f t="shared" si="18"/>
        <v>low</v>
      </c>
      <c r="T616">
        <v>20898</v>
      </c>
      <c r="U616">
        <v>1</v>
      </c>
      <c r="V616" s="17" t="s">
        <v>35</v>
      </c>
      <c r="W616">
        <v>14</v>
      </c>
      <c r="X616">
        <v>3</v>
      </c>
      <c r="Y616">
        <v>1</v>
      </c>
      <c r="Z616">
        <v>1</v>
      </c>
      <c r="AA616">
        <v>8</v>
      </c>
      <c r="AB616">
        <v>2</v>
      </c>
      <c r="AC616">
        <v>3</v>
      </c>
      <c r="AD616" s="14">
        <v>8</v>
      </c>
      <c r="AE616" t="str">
        <f t="shared" si="19"/>
        <v>6-10 years</v>
      </c>
      <c r="AF616" s="14">
        <v>7</v>
      </c>
      <c r="AG616" s="14">
        <v>1</v>
      </c>
      <c r="AH616" s="14">
        <v>7</v>
      </c>
    </row>
    <row r="617" spans="1:34" x14ac:dyDescent="0.3">
      <c r="A617" s="14">
        <v>27</v>
      </c>
      <c r="B617" s="17" t="s">
        <v>43</v>
      </c>
      <c r="C617" t="s">
        <v>55</v>
      </c>
      <c r="D617">
        <v>443</v>
      </c>
      <c r="E617" s="17" t="s">
        <v>45</v>
      </c>
      <c r="F617">
        <v>3</v>
      </c>
      <c r="G617">
        <v>3</v>
      </c>
      <c r="H617" t="s">
        <v>51</v>
      </c>
      <c r="I617">
        <v>850</v>
      </c>
      <c r="J617">
        <v>4</v>
      </c>
      <c r="K617" s="17" t="s">
        <v>46</v>
      </c>
      <c r="L617">
        <v>50</v>
      </c>
      <c r="M617">
        <v>3</v>
      </c>
      <c r="N617">
        <v>1</v>
      </c>
      <c r="O617" s="17" t="s">
        <v>47</v>
      </c>
      <c r="P617" s="14">
        <v>4</v>
      </c>
      <c r="Q617" t="s">
        <v>48</v>
      </c>
      <c r="R617" s="14">
        <v>1706</v>
      </c>
      <c r="S617" s="17" t="str">
        <f t="shared" si="18"/>
        <v>low</v>
      </c>
      <c r="T617">
        <v>16571</v>
      </c>
      <c r="U617">
        <v>1</v>
      </c>
      <c r="V617" s="17" t="s">
        <v>43</v>
      </c>
      <c r="W617">
        <v>11</v>
      </c>
      <c r="X617">
        <v>3</v>
      </c>
      <c r="Y617">
        <v>3</v>
      </c>
      <c r="Z617">
        <v>3</v>
      </c>
      <c r="AA617">
        <v>0</v>
      </c>
      <c r="AB617">
        <v>6</v>
      </c>
      <c r="AC617">
        <v>2</v>
      </c>
      <c r="AD617" s="14">
        <v>0</v>
      </c>
      <c r="AE617" t="str">
        <f t="shared" si="19"/>
        <v>0-2 years</v>
      </c>
      <c r="AF617" s="14">
        <v>0</v>
      </c>
      <c r="AG617" s="14">
        <v>0</v>
      </c>
      <c r="AH617" s="14">
        <v>0</v>
      </c>
    </row>
    <row r="618" spans="1:34" x14ac:dyDescent="0.3">
      <c r="A618" s="14">
        <v>51</v>
      </c>
      <c r="B618" s="17" t="s">
        <v>43</v>
      </c>
      <c r="C618" t="s">
        <v>36</v>
      </c>
      <c r="D618">
        <v>1318</v>
      </c>
      <c r="E618" s="17" t="s">
        <v>37</v>
      </c>
      <c r="F618">
        <v>26</v>
      </c>
      <c r="G618">
        <v>4</v>
      </c>
      <c r="H618" t="s">
        <v>59</v>
      </c>
      <c r="I618">
        <v>851</v>
      </c>
      <c r="J618">
        <v>1</v>
      </c>
      <c r="K618" s="17" t="s">
        <v>39</v>
      </c>
      <c r="L618">
        <v>66</v>
      </c>
      <c r="M618">
        <v>3</v>
      </c>
      <c r="N618">
        <v>4</v>
      </c>
      <c r="O618" s="17" t="s">
        <v>56</v>
      </c>
      <c r="P618" s="14">
        <v>3</v>
      </c>
      <c r="Q618" t="s">
        <v>48</v>
      </c>
      <c r="R618" s="14">
        <v>16307</v>
      </c>
      <c r="S618" s="17" t="str">
        <f t="shared" si="18"/>
        <v>high</v>
      </c>
      <c r="T618">
        <v>5594</v>
      </c>
      <c r="U618">
        <v>2</v>
      </c>
      <c r="V618" s="17" t="s">
        <v>43</v>
      </c>
      <c r="W618">
        <v>14</v>
      </c>
      <c r="X618">
        <v>3</v>
      </c>
      <c r="Y618">
        <v>3</v>
      </c>
      <c r="Z618">
        <v>1</v>
      </c>
      <c r="AA618">
        <v>29</v>
      </c>
      <c r="AB618">
        <v>2</v>
      </c>
      <c r="AC618">
        <v>2</v>
      </c>
      <c r="AD618" s="14">
        <v>20</v>
      </c>
      <c r="AE618" t="str">
        <f t="shared" si="19"/>
        <v>10+ years</v>
      </c>
      <c r="AF618" s="14">
        <v>6</v>
      </c>
      <c r="AG618" s="14">
        <v>4</v>
      </c>
      <c r="AH618" s="14">
        <v>17</v>
      </c>
    </row>
    <row r="619" spans="1:34" x14ac:dyDescent="0.3">
      <c r="A619" s="14">
        <v>44</v>
      </c>
      <c r="B619" s="17" t="s">
        <v>43</v>
      </c>
      <c r="C619" t="s">
        <v>36</v>
      </c>
      <c r="D619">
        <v>625</v>
      </c>
      <c r="E619" s="17" t="s">
        <v>45</v>
      </c>
      <c r="F619">
        <v>4</v>
      </c>
      <c r="G619">
        <v>3</v>
      </c>
      <c r="H619" t="s">
        <v>51</v>
      </c>
      <c r="I619">
        <v>852</v>
      </c>
      <c r="J619">
        <v>4</v>
      </c>
      <c r="K619" s="17" t="s">
        <v>46</v>
      </c>
      <c r="L619">
        <v>50</v>
      </c>
      <c r="M619">
        <v>3</v>
      </c>
      <c r="N619">
        <v>2</v>
      </c>
      <c r="O619" s="17" t="s">
        <v>54</v>
      </c>
      <c r="P619" s="14">
        <v>2</v>
      </c>
      <c r="Q619" t="s">
        <v>41</v>
      </c>
      <c r="R619" s="14">
        <v>5933</v>
      </c>
      <c r="S619" s="17" t="str">
        <f t="shared" si="18"/>
        <v>medium</v>
      </c>
      <c r="T619">
        <v>5197</v>
      </c>
      <c r="U619">
        <v>9</v>
      </c>
      <c r="V619" s="17" t="s">
        <v>43</v>
      </c>
      <c r="W619">
        <v>12</v>
      </c>
      <c r="X619">
        <v>3</v>
      </c>
      <c r="Y619">
        <v>4</v>
      </c>
      <c r="Z619">
        <v>0</v>
      </c>
      <c r="AA619">
        <v>10</v>
      </c>
      <c r="AB619">
        <v>2</v>
      </c>
      <c r="AC619">
        <v>2</v>
      </c>
      <c r="AD619" s="14">
        <v>5</v>
      </c>
      <c r="AE619" t="str">
        <f t="shared" si="19"/>
        <v>3-5 years</v>
      </c>
      <c r="AF619" s="14">
        <v>2</v>
      </c>
      <c r="AG619" s="14">
        <v>2</v>
      </c>
      <c r="AH619" s="14">
        <v>3</v>
      </c>
    </row>
    <row r="620" spans="1:34" x14ac:dyDescent="0.3">
      <c r="A620" s="14">
        <v>25</v>
      </c>
      <c r="B620" s="17" t="s">
        <v>43</v>
      </c>
      <c r="C620" t="s">
        <v>36</v>
      </c>
      <c r="D620">
        <v>180</v>
      </c>
      <c r="E620" s="17" t="s">
        <v>45</v>
      </c>
      <c r="F620">
        <v>2</v>
      </c>
      <c r="G620">
        <v>1</v>
      </c>
      <c r="H620" t="s">
        <v>51</v>
      </c>
      <c r="I620">
        <v>854</v>
      </c>
      <c r="J620">
        <v>1</v>
      </c>
      <c r="K620" s="17" t="s">
        <v>46</v>
      </c>
      <c r="L620">
        <v>65</v>
      </c>
      <c r="M620">
        <v>4</v>
      </c>
      <c r="N620">
        <v>1</v>
      </c>
      <c r="O620" s="17" t="s">
        <v>47</v>
      </c>
      <c r="P620" s="14">
        <v>1</v>
      </c>
      <c r="Q620" t="s">
        <v>41</v>
      </c>
      <c r="R620" s="14">
        <v>3424</v>
      </c>
      <c r="S620" s="17" t="str">
        <f t="shared" si="18"/>
        <v>medium</v>
      </c>
      <c r="T620">
        <v>21632</v>
      </c>
      <c r="U620">
        <v>7</v>
      </c>
      <c r="V620" s="17" t="s">
        <v>43</v>
      </c>
      <c r="W620">
        <v>13</v>
      </c>
      <c r="X620">
        <v>3</v>
      </c>
      <c r="Y620">
        <v>3</v>
      </c>
      <c r="Z620">
        <v>0</v>
      </c>
      <c r="AA620">
        <v>6</v>
      </c>
      <c r="AB620">
        <v>3</v>
      </c>
      <c r="AC620">
        <v>2</v>
      </c>
      <c r="AD620" s="14">
        <v>4</v>
      </c>
      <c r="AE620" t="str">
        <f t="shared" si="19"/>
        <v>3-5 years</v>
      </c>
      <c r="AF620" s="14">
        <v>3</v>
      </c>
      <c r="AG620" s="14">
        <v>0</v>
      </c>
      <c r="AH620" s="14">
        <v>1</v>
      </c>
    </row>
    <row r="621" spans="1:34" x14ac:dyDescent="0.3">
      <c r="A621" s="14">
        <v>33</v>
      </c>
      <c r="B621" s="17" t="s">
        <v>43</v>
      </c>
      <c r="C621" t="s">
        <v>36</v>
      </c>
      <c r="D621">
        <v>586</v>
      </c>
      <c r="E621" s="17" t="s">
        <v>37</v>
      </c>
      <c r="F621">
        <v>1</v>
      </c>
      <c r="G621">
        <v>3</v>
      </c>
      <c r="H621" t="s">
        <v>51</v>
      </c>
      <c r="I621">
        <v>855</v>
      </c>
      <c r="J621">
        <v>1</v>
      </c>
      <c r="K621" s="17" t="s">
        <v>46</v>
      </c>
      <c r="L621">
        <v>48</v>
      </c>
      <c r="M621">
        <v>4</v>
      </c>
      <c r="N621">
        <v>2</v>
      </c>
      <c r="O621" s="17" t="s">
        <v>40</v>
      </c>
      <c r="P621" s="14">
        <v>1</v>
      </c>
      <c r="Q621" t="s">
        <v>52</v>
      </c>
      <c r="R621" s="14">
        <v>4037</v>
      </c>
      <c r="S621" s="17" t="str">
        <f t="shared" si="18"/>
        <v>medium</v>
      </c>
      <c r="T621">
        <v>21816</v>
      </c>
      <c r="U621">
        <v>1</v>
      </c>
      <c r="V621" s="17" t="s">
        <v>43</v>
      </c>
      <c r="W621">
        <v>22</v>
      </c>
      <c r="X621">
        <v>4</v>
      </c>
      <c r="Y621">
        <v>1</v>
      </c>
      <c r="Z621">
        <v>1</v>
      </c>
      <c r="AA621">
        <v>9</v>
      </c>
      <c r="AB621">
        <v>5</v>
      </c>
      <c r="AC621">
        <v>3</v>
      </c>
      <c r="AD621" s="14">
        <v>9</v>
      </c>
      <c r="AE621" t="str">
        <f t="shared" si="19"/>
        <v>6-10 years</v>
      </c>
      <c r="AF621" s="14">
        <v>8</v>
      </c>
      <c r="AG621" s="14">
        <v>0</v>
      </c>
      <c r="AH621" s="14">
        <v>8</v>
      </c>
    </row>
    <row r="622" spans="1:34" x14ac:dyDescent="0.3">
      <c r="A622" s="14">
        <v>35</v>
      </c>
      <c r="B622" s="17" t="s">
        <v>43</v>
      </c>
      <c r="C622" t="s">
        <v>36</v>
      </c>
      <c r="D622">
        <v>1343</v>
      </c>
      <c r="E622" s="17" t="s">
        <v>45</v>
      </c>
      <c r="F622">
        <v>27</v>
      </c>
      <c r="G622">
        <v>1</v>
      </c>
      <c r="H622" t="s">
        <v>51</v>
      </c>
      <c r="I622">
        <v>856</v>
      </c>
      <c r="J622">
        <v>3</v>
      </c>
      <c r="K622" s="17" t="s">
        <v>39</v>
      </c>
      <c r="L622">
        <v>53</v>
      </c>
      <c r="M622">
        <v>2</v>
      </c>
      <c r="N622">
        <v>1</v>
      </c>
      <c r="O622" s="17" t="s">
        <v>47</v>
      </c>
      <c r="P622" s="14">
        <v>1</v>
      </c>
      <c r="Q622" t="s">
        <v>41</v>
      </c>
      <c r="R622" s="14">
        <v>2559</v>
      </c>
      <c r="S622" s="17" t="str">
        <f t="shared" si="18"/>
        <v>low</v>
      </c>
      <c r="T622">
        <v>17852</v>
      </c>
      <c r="U622">
        <v>1</v>
      </c>
      <c r="V622" s="17" t="s">
        <v>43</v>
      </c>
      <c r="W622">
        <v>11</v>
      </c>
      <c r="X622">
        <v>3</v>
      </c>
      <c r="Y622">
        <v>4</v>
      </c>
      <c r="Z622">
        <v>0</v>
      </c>
      <c r="AA622">
        <v>6</v>
      </c>
      <c r="AB622">
        <v>3</v>
      </c>
      <c r="AC622">
        <v>2</v>
      </c>
      <c r="AD622" s="14">
        <v>6</v>
      </c>
      <c r="AE622" t="str">
        <f t="shared" si="19"/>
        <v>6-10 years</v>
      </c>
      <c r="AF622" s="14">
        <v>5</v>
      </c>
      <c r="AG622" s="14">
        <v>1</v>
      </c>
      <c r="AH622" s="14">
        <v>1</v>
      </c>
    </row>
    <row r="623" spans="1:34" x14ac:dyDescent="0.3">
      <c r="A623" s="14">
        <v>36</v>
      </c>
      <c r="B623" s="17" t="s">
        <v>43</v>
      </c>
      <c r="C623" t="s">
        <v>36</v>
      </c>
      <c r="D623">
        <v>928</v>
      </c>
      <c r="E623" s="17" t="s">
        <v>37</v>
      </c>
      <c r="F623">
        <v>1</v>
      </c>
      <c r="G623">
        <v>2</v>
      </c>
      <c r="H623" t="s">
        <v>38</v>
      </c>
      <c r="I623">
        <v>857</v>
      </c>
      <c r="J623">
        <v>2</v>
      </c>
      <c r="K623" s="17" t="s">
        <v>46</v>
      </c>
      <c r="L623">
        <v>56</v>
      </c>
      <c r="M623">
        <v>3</v>
      </c>
      <c r="N623">
        <v>2</v>
      </c>
      <c r="O623" s="17" t="s">
        <v>40</v>
      </c>
      <c r="P623" s="14">
        <v>4</v>
      </c>
      <c r="Q623" t="s">
        <v>48</v>
      </c>
      <c r="R623" s="14">
        <v>6201</v>
      </c>
      <c r="S623" s="17" t="str">
        <f t="shared" si="18"/>
        <v>medium</v>
      </c>
      <c r="T623">
        <v>2823</v>
      </c>
      <c r="U623">
        <v>1</v>
      </c>
      <c r="V623" s="17" t="s">
        <v>35</v>
      </c>
      <c r="W623">
        <v>14</v>
      </c>
      <c r="X623">
        <v>3</v>
      </c>
      <c r="Y623">
        <v>4</v>
      </c>
      <c r="Z623">
        <v>1</v>
      </c>
      <c r="AA623">
        <v>18</v>
      </c>
      <c r="AB623">
        <v>1</v>
      </c>
      <c r="AC623">
        <v>2</v>
      </c>
      <c r="AD623" s="14">
        <v>18</v>
      </c>
      <c r="AE623" t="str">
        <f t="shared" si="19"/>
        <v>10+ years</v>
      </c>
      <c r="AF623" s="14">
        <v>14</v>
      </c>
      <c r="AG623" s="14">
        <v>4</v>
      </c>
      <c r="AH623" s="14">
        <v>11</v>
      </c>
    </row>
    <row r="624" spans="1:34" x14ac:dyDescent="0.3">
      <c r="A624" s="14">
        <v>32</v>
      </c>
      <c r="B624" s="17" t="s">
        <v>43</v>
      </c>
      <c r="C624" t="s">
        <v>36</v>
      </c>
      <c r="D624">
        <v>117</v>
      </c>
      <c r="E624" s="17" t="s">
        <v>37</v>
      </c>
      <c r="F624">
        <v>13</v>
      </c>
      <c r="G624">
        <v>4</v>
      </c>
      <c r="H624" t="s">
        <v>38</v>
      </c>
      <c r="I624">
        <v>859</v>
      </c>
      <c r="J624">
        <v>2</v>
      </c>
      <c r="K624" s="17" t="s">
        <v>46</v>
      </c>
      <c r="L624">
        <v>73</v>
      </c>
      <c r="M624">
        <v>3</v>
      </c>
      <c r="N624">
        <v>2</v>
      </c>
      <c r="O624" s="17" t="s">
        <v>40</v>
      </c>
      <c r="P624" s="14">
        <v>4</v>
      </c>
      <c r="Q624" t="s">
        <v>52</v>
      </c>
      <c r="R624" s="14">
        <v>4403</v>
      </c>
      <c r="S624" s="17" t="str">
        <f t="shared" si="18"/>
        <v>medium</v>
      </c>
      <c r="T624">
        <v>9250</v>
      </c>
      <c r="U624">
        <v>2</v>
      </c>
      <c r="V624" s="17" t="s">
        <v>43</v>
      </c>
      <c r="W624">
        <v>11</v>
      </c>
      <c r="X624">
        <v>3</v>
      </c>
      <c r="Y624">
        <v>3</v>
      </c>
      <c r="Z624">
        <v>1</v>
      </c>
      <c r="AA624">
        <v>8</v>
      </c>
      <c r="AB624">
        <v>3</v>
      </c>
      <c r="AC624">
        <v>2</v>
      </c>
      <c r="AD624" s="14">
        <v>5</v>
      </c>
      <c r="AE624" t="str">
        <f t="shared" si="19"/>
        <v>3-5 years</v>
      </c>
      <c r="AF624" s="14">
        <v>2</v>
      </c>
      <c r="AG624" s="14">
        <v>0</v>
      </c>
      <c r="AH624" s="14">
        <v>3</v>
      </c>
    </row>
    <row r="625" spans="1:34" x14ac:dyDescent="0.3">
      <c r="A625" s="14">
        <v>30</v>
      </c>
      <c r="B625" s="17" t="s">
        <v>43</v>
      </c>
      <c r="C625" t="s">
        <v>44</v>
      </c>
      <c r="D625">
        <v>1012</v>
      </c>
      <c r="E625" s="17" t="s">
        <v>45</v>
      </c>
      <c r="F625">
        <v>5</v>
      </c>
      <c r="G625">
        <v>4</v>
      </c>
      <c r="H625" t="s">
        <v>38</v>
      </c>
      <c r="I625">
        <v>861</v>
      </c>
      <c r="J625">
        <v>2</v>
      </c>
      <c r="K625" s="17" t="s">
        <v>46</v>
      </c>
      <c r="L625">
        <v>75</v>
      </c>
      <c r="M625">
        <v>2</v>
      </c>
      <c r="N625">
        <v>1</v>
      </c>
      <c r="O625" s="17" t="s">
        <v>47</v>
      </c>
      <c r="P625" s="14">
        <v>4</v>
      </c>
      <c r="Q625" t="s">
        <v>52</v>
      </c>
      <c r="R625" s="14">
        <v>3761</v>
      </c>
      <c r="S625" s="17" t="str">
        <f t="shared" si="18"/>
        <v>medium</v>
      </c>
      <c r="T625">
        <v>2373</v>
      </c>
      <c r="U625">
        <v>9</v>
      </c>
      <c r="V625" s="17" t="s">
        <v>43</v>
      </c>
      <c r="W625">
        <v>12</v>
      </c>
      <c r="X625">
        <v>3</v>
      </c>
      <c r="Y625">
        <v>2</v>
      </c>
      <c r="Z625">
        <v>1</v>
      </c>
      <c r="AA625">
        <v>10</v>
      </c>
      <c r="AB625">
        <v>3</v>
      </c>
      <c r="AC625">
        <v>2</v>
      </c>
      <c r="AD625" s="14">
        <v>5</v>
      </c>
      <c r="AE625" t="str">
        <f t="shared" si="19"/>
        <v>3-5 years</v>
      </c>
      <c r="AF625" s="14">
        <v>4</v>
      </c>
      <c r="AG625" s="14">
        <v>0</v>
      </c>
      <c r="AH625" s="14">
        <v>3</v>
      </c>
    </row>
    <row r="626" spans="1:34" x14ac:dyDescent="0.3">
      <c r="A626" s="14">
        <v>53</v>
      </c>
      <c r="B626" s="17" t="s">
        <v>43</v>
      </c>
      <c r="C626" t="s">
        <v>36</v>
      </c>
      <c r="D626">
        <v>661</v>
      </c>
      <c r="E626" s="17" t="s">
        <v>37</v>
      </c>
      <c r="F626">
        <v>7</v>
      </c>
      <c r="G626">
        <v>2</v>
      </c>
      <c r="H626" t="s">
        <v>59</v>
      </c>
      <c r="I626">
        <v>862</v>
      </c>
      <c r="J626">
        <v>1</v>
      </c>
      <c r="K626" s="17" t="s">
        <v>39</v>
      </c>
      <c r="L626">
        <v>78</v>
      </c>
      <c r="M626">
        <v>2</v>
      </c>
      <c r="N626">
        <v>3</v>
      </c>
      <c r="O626" s="17" t="s">
        <v>40</v>
      </c>
      <c r="P626" s="14">
        <v>4</v>
      </c>
      <c r="Q626" t="s">
        <v>48</v>
      </c>
      <c r="R626" s="14">
        <v>10934</v>
      </c>
      <c r="S626" s="17" t="str">
        <f t="shared" si="18"/>
        <v>high</v>
      </c>
      <c r="T626">
        <v>20715</v>
      </c>
      <c r="U626">
        <v>7</v>
      </c>
      <c r="V626" s="17" t="s">
        <v>35</v>
      </c>
      <c r="W626">
        <v>18</v>
      </c>
      <c r="X626">
        <v>3</v>
      </c>
      <c r="Y626">
        <v>4</v>
      </c>
      <c r="Z626">
        <v>1</v>
      </c>
      <c r="AA626">
        <v>35</v>
      </c>
      <c r="AB626">
        <v>3</v>
      </c>
      <c r="AC626">
        <v>3</v>
      </c>
      <c r="AD626" s="14">
        <v>5</v>
      </c>
      <c r="AE626" t="str">
        <f t="shared" si="19"/>
        <v>3-5 years</v>
      </c>
      <c r="AF626" s="14">
        <v>2</v>
      </c>
      <c r="AG626" s="14">
        <v>0</v>
      </c>
      <c r="AH626" s="14">
        <v>4</v>
      </c>
    </row>
    <row r="627" spans="1:34" x14ac:dyDescent="0.3">
      <c r="A627" s="14">
        <v>45</v>
      </c>
      <c r="B627" s="17" t="s">
        <v>43</v>
      </c>
      <c r="C627" t="s">
        <v>36</v>
      </c>
      <c r="D627">
        <v>930</v>
      </c>
      <c r="E627" s="17" t="s">
        <v>37</v>
      </c>
      <c r="F627">
        <v>9</v>
      </c>
      <c r="G627">
        <v>3</v>
      </c>
      <c r="H627" t="s">
        <v>59</v>
      </c>
      <c r="I627">
        <v>864</v>
      </c>
      <c r="J627">
        <v>4</v>
      </c>
      <c r="K627" s="17" t="s">
        <v>46</v>
      </c>
      <c r="L627">
        <v>74</v>
      </c>
      <c r="M627">
        <v>3</v>
      </c>
      <c r="N627">
        <v>3</v>
      </c>
      <c r="O627" s="17" t="s">
        <v>40</v>
      </c>
      <c r="P627" s="14">
        <v>1</v>
      </c>
      <c r="Q627" t="s">
        <v>52</v>
      </c>
      <c r="R627" s="14">
        <v>10761</v>
      </c>
      <c r="S627" s="17" t="str">
        <f t="shared" si="18"/>
        <v>high</v>
      </c>
      <c r="T627">
        <v>19239</v>
      </c>
      <c r="U627">
        <v>4</v>
      </c>
      <c r="V627" s="17" t="s">
        <v>35</v>
      </c>
      <c r="W627">
        <v>12</v>
      </c>
      <c r="X627">
        <v>3</v>
      </c>
      <c r="Y627">
        <v>3</v>
      </c>
      <c r="Z627">
        <v>1</v>
      </c>
      <c r="AA627">
        <v>18</v>
      </c>
      <c r="AB627">
        <v>2</v>
      </c>
      <c r="AC627">
        <v>3</v>
      </c>
      <c r="AD627" s="14">
        <v>5</v>
      </c>
      <c r="AE627" t="str">
        <f t="shared" si="19"/>
        <v>3-5 years</v>
      </c>
      <c r="AF627" s="14">
        <v>4</v>
      </c>
      <c r="AG627" s="14">
        <v>0</v>
      </c>
      <c r="AH627" s="14">
        <v>2</v>
      </c>
    </row>
    <row r="628" spans="1:34" x14ac:dyDescent="0.3">
      <c r="A628" s="14">
        <v>32</v>
      </c>
      <c r="B628" s="17" t="s">
        <v>43</v>
      </c>
      <c r="C628" t="s">
        <v>36</v>
      </c>
      <c r="D628">
        <v>638</v>
      </c>
      <c r="E628" s="17" t="s">
        <v>45</v>
      </c>
      <c r="F628">
        <v>8</v>
      </c>
      <c r="G628">
        <v>2</v>
      </c>
      <c r="H628" t="s">
        <v>51</v>
      </c>
      <c r="I628">
        <v>865</v>
      </c>
      <c r="J628">
        <v>3</v>
      </c>
      <c r="K628" s="17" t="s">
        <v>39</v>
      </c>
      <c r="L628">
        <v>91</v>
      </c>
      <c r="M628">
        <v>4</v>
      </c>
      <c r="N628">
        <v>2</v>
      </c>
      <c r="O628" s="17" t="s">
        <v>47</v>
      </c>
      <c r="P628" s="14">
        <v>3</v>
      </c>
      <c r="Q628" t="s">
        <v>48</v>
      </c>
      <c r="R628" s="14">
        <v>5175</v>
      </c>
      <c r="S628" s="17" t="str">
        <f t="shared" si="18"/>
        <v>medium</v>
      </c>
      <c r="T628">
        <v>22162</v>
      </c>
      <c r="U628">
        <v>5</v>
      </c>
      <c r="V628" s="17" t="s">
        <v>43</v>
      </c>
      <c r="W628">
        <v>12</v>
      </c>
      <c r="X628">
        <v>3</v>
      </c>
      <c r="Y628">
        <v>3</v>
      </c>
      <c r="Z628">
        <v>1</v>
      </c>
      <c r="AA628">
        <v>9</v>
      </c>
      <c r="AB628">
        <v>3</v>
      </c>
      <c r="AC628">
        <v>2</v>
      </c>
      <c r="AD628" s="14">
        <v>5</v>
      </c>
      <c r="AE628" t="str">
        <f t="shared" si="19"/>
        <v>3-5 years</v>
      </c>
      <c r="AF628" s="14">
        <v>3</v>
      </c>
      <c r="AG628" s="14">
        <v>1</v>
      </c>
      <c r="AH628" s="14">
        <v>3</v>
      </c>
    </row>
    <row r="629" spans="1:34" x14ac:dyDescent="0.3">
      <c r="A629" s="14">
        <v>52</v>
      </c>
      <c r="B629" s="17" t="s">
        <v>43</v>
      </c>
      <c r="C629" t="s">
        <v>44</v>
      </c>
      <c r="D629">
        <v>890</v>
      </c>
      <c r="E629" s="17" t="s">
        <v>45</v>
      </c>
      <c r="F629">
        <v>25</v>
      </c>
      <c r="G629">
        <v>4</v>
      </c>
      <c r="H629" t="s">
        <v>51</v>
      </c>
      <c r="I629">
        <v>867</v>
      </c>
      <c r="J629">
        <v>3</v>
      </c>
      <c r="K629" s="17" t="s">
        <v>39</v>
      </c>
      <c r="L629">
        <v>81</v>
      </c>
      <c r="M629">
        <v>2</v>
      </c>
      <c r="N629">
        <v>4</v>
      </c>
      <c r="O629" s="17" t="s">
        <v>53</v>
      </c>
      <c r="P629" s="14">
        <v>4</v>
      </c>
      <c r="Q629" t="s">
        <v>48</v>
      </c>
      <c r="R629" s="14">
        <v>13826</v>
      </c>
      <c r="S629" s="17" t="str">
        <f t="shared" si="18"/>
        <v>high</v>
      </c>
      <c r="T629">
        <v>19028</v>
      </c>
      <c r="U629">
        <v>3</v>
      </c>
      <c r="V629" s="17" t="s">
        <v>43</v>
      </c>
      <c r="W629">
        <v>22</v>
      </c>
      <c r="X629">
        <v>4</v>
      </c>
      <c r="Y629">
        <v>3</v>
      </c>
      <c r="Z629">
        <v>0</v>
      </c>
      <c r="AA629">
        <v>31</v>
      </c>
      <c r="AB629">
        <v>3</v>
      </c>
      <c r="AC629">
        <v>3</v>
      </c>
      <c r="AD629" s="14">
        <v>9</v>
      </c>
      <c r="AE629" t="str">
        <f t="shared" si="19"/>
        <v>6-10 years</v>
      </c>
      <c r="AF629" s="14">
        <v>8</v>
      </c>
      <c r="AG629" s="14">
        <v>0</v>
      </c>
      <c r="AH629" s="14">
        <v>0</v>
      </c>
    </row>
    <row r="630" spans="1:34" x14ac:dyDescent="0.3">
      <c r="A630" s="14">
        <v>37</v>
      </c>
      <c r="B630" s="17" t="s">
        <v>43</v>
      </c>
      <c r="C630" t="s">
        <v>36</v>
      </c>
      <c r="D630">
        <v>342</v>
      </c>
      <c r="E630" s="17" t="s">
        <v>37</v>
      </c>
      <c r="F630">
        <v>16</v>
      </c>
      <c r="G630">
        <v>4</v>
      </c>
      <c r="H630" t="s">
        <v>59</v>
      </c>
      <c r="I630">
        <v>868</v>
      </c>
      <c r="J630">
        <v>4</v>
      </c>
      <c r="K630" s="17" t="s">
        <v>46</v>
      </c>
      <c r="L630">
        <v>66</v>
      </c>
      <c r="M630">
        <v>2</v>
      </c>
      <c r="N630">
        <v>2</v>
      </c>
      <c r="O630" s="17" t="s">
        <v>40</v>
      </c>
      <c r="P630" s="14">
        <v>3</v>
      </c>
      <c r="Q630" t="s">
        <v>52</v>
      </c>
      <c r="R630" s="14">
        <v>6334</v>
      </c>
      <c r="S630" s="17" t="str">
        <f t="shared" si="18"/>
        <v>medium</v>
      </c>
      <c r="T630">
        <v>24558</v>
      </c>
      <c r="U630">
        <v>4</v>
      </c>
      <c r="V630" s="17" t="s">
        <v>43</v>
      </c>
      <c r="W630">
        <v>19</v>
      </c>
      <c r="X630">
        <v>3</v>
      </c>
      <c r="Y630">
        <v>4</v>
      </c>
      <c r="Z630">
        <v>2</v>
      </c>
      <c r="AA630">
        <v>9</v>
      </c>
      <c r="AB630">
        <v>2</v>
      </c>
      <c r="AC630">
        <v>3</v>
      </c>
      <c r="AD630" s="14">
        <v>1</v>
      </c>
      <c r="AE630" t="str">
        <f t="shared" si="19"/>
        <v>0-2 years</v>
      </c>
      <c r="AF630" s="14">
        <v>0</v>
      </c>
      <c r="AG630" s="14">
        <v>0</v>
      </c>
      <c r="AH630" s="14">
        <v>0</v>
      </c>
    </row>
    <row r="631" spans="1:34" x14ac:dyDescent="0.3">
      <c r="A631" s="14">
        <v>28</v>
      </c>
      <c r="B631" s="17" t="s">
        <v>43</v>
      </c>
      <c r="C631" t="s">
        <v>36</v>
      </c>
      <c r="D631">
        <v>1169</v>
      </c>
      <c r="E631" s="17" t="s">
        <v>61</v>
      </c>
      <c r="F631">
        <v>8</v>
      </c>
      <c r="G631">
        <v>2</v>
      </c>
      <c r="H631" t="s">
        <v>51</v>
      </c>
      <c r="I631">
        <v>869</v>
      </c>
      <c r="J631">
        <v>2</v>
      </c>
      <c r="K631" s="17" t="s">
        <v>46</v>
      </c>
      <c r="L631">
        <v>63</v>
      </c>
      <c r="M631">
        <v>2</v>
      </c>
      <c r="N631">
        <v>1</v>
      </c>
      <c r="O631" s="17" t="s">
        <v>61</v>
      </c>
      <c r="P631" s="14">
        <v>4</v>
      </c>
      <c r="Q631" t="s">
        <v>52</v>
      </c>
      <c r="R631" s="14">
        <v>4936</v>
      </c>
      <c r="S631" s="17" t="str">
        <f t="shared" si="18"/>
        <v>medium</v>
      </c>
      <c r="T631">
        <v>23965</v>
      </c>
      <c r="U631">
        <v>1</v>
      </c>
      <c r="V631" s="17" t="s">
        <v>43</v>
      </c>
      <c r="W631">
        <v>13</v>
      </c>
      <c r="X631">
        <v>3</v>
      </c>
      <c r="Y631">
        <v>4</v>
      </c>
      <c r="Z631">
        <v>1</v>
      </c>
      <c r="AA631">
        <v>6</v>
      </c>
      <c r="AB631">
        <v>6</v>
      </c>
      <c r="AC631">
        <v>3</v>
      </c>
      <c r="AD631" s="14">
        <v>5</v>
      </c>
      <c r="AE631" t="str">
        <f t="shared" si="19"/>
        <v>3-5 years</v>
      </c>
      <c r="AF631" s="14">
        <v>1</v>
      </c>
      <c r="AG631" s="14">
        <v>0</v>
      </c>
      <c r="AH631" s="14">
        <v>4</v>
      </c>
    </row>
    <row r="632" spans="1:34" x14ac:dyDescent="0.3">
      <c r="A632" s="14">
        <v>22</v>
      </c>
      <c r="B632" s="17" t="s">
        <v>43</v>
      </c>
      <c r="C632" t="s">
        <v>36</v>
      </c>
      <c r="D632">
        <v>1230</v>
      </c>
      <c r="E632" s="17" t="s">
        <v>45</v>
      </c>
      <c r="F632">
        <v>1</v>
      </c>
      <c r="G632">
        <v>2</v>
      </c>
      <c r="H632" t="s">
        <v>38</v>
      </c>
      <c r="I632">
        <v>872</v>
      </c>
      <c r="J632">
        <v>4</v>
      </c>
      <c r="K632" s="17" t="s">
        <v>46</v>
      </c>
      <c r="L632">
        <v>33</v>
      </c>
      <c r="M632">
        <v>2</v>
      </c>
      <c r="N632">
        <v>2</v>
      </c>
      <c r="O632" s="17" t="s">
        <v>53</v>
      </c>
      <c r="P632" s="14">
        <v>4</v>
      </c>
      <c r="Q632" t="s">
        <v>48</v>
      </c>
      <c r="R632" s="14">
        <v>4775</v>
      </c>
      <c r="S632" s="17" t="str">
        <f t="shared" si="18"/>
        <v>medium</v>
      </c>
      <c r="T632">
        <v>19146</v>
      </c>
      <c r="U632">
        <v>6</v>
      </c>
      <c r="V632" s="17" t="s">
        <v>43</v>
      </c>
      <c r="W632">
        <v>22</v>
      </c>
      <c r="X632">
        <v>4</v>
      </c>
      <c r="Y632">
        <v>1</v>
      </c>
      <c r="Z632">
        <v>2</v>
      </c>
      <c r="AA632">
        <v>4</v>
      </c>
      <c r="AB632">
        <v>2</v>
      </c>
      <c r="AC632">
        <v>1</v>
      </c>
      <c r="AD632" s="14">
        <v>2</v>
      </c>
      <c r="AE632" t="str">
        <f t="shared" si="19"/>
        <v>0-2 years</v>
      </c>
      <c r="AF632" s="14">
        <v>2</v>
      </c>
      <c r="AG632" s="14">
        <v>2</v>
      </c>
      <c r="AH632" s="14">
        <v>2</v>
      </c>
    </row>
    <row r="633" spans="1:34" x14ac:dyDescent="0.3">
      <c r="A633" s="14">
        <v>44</v>
      </c>
      <c r="B633" s="17" t="s">
        <v>43</v>
      </c>
      <c r="C633" t="s">
        <v>36</v>
      </c>
      <c r="D633">
        <v>986</v>
      </c>
      <c r="E633" s="17" t="s">
        <v>45</v>
      </c>
      <c r="F633">
        <v>8</v>
      </c>
      <c r="G633">
        <v>4</v>
      </c>
      <c r="H633" t="s">
        <v>38</v>
      </c>
      <c r="I633">
        <v>874</v>
      </c>
      <c r="J633">
        <v>1</v>
      </c>
      <c r="K633" s="17" t="s">
        <v>46</v>
      </c>
      <c r="L633">
        <v>62</v>
      </c>
      <c r="M633">
        <v>4</v>
      </c>
      <c r="N633">
        <v>1</v>
      </c>
      <c r="O633" s="17" t="s">
        <v>50</v>
      </c>
      <c r="P633" s="14">
        <v>4</v>
      </c>
      <c r="Q633" t="s">
        <v>48</v>
      </c>
      <c r="R633" s="14">
        <v>2818</v>
      </c>
      <c r="S633" s="17" t="str">
        <f t="shared" si="18"/>
        <v>low</v>
      </c>
      <c r="T633">
        <v>5044</v>
      </c>
      <c r="U633">
        <v>2</v>
      </c>
      <c r="V633" s="17" t="s">
        <v>35</v>
      </c>
      <c r="W633">
        <v>24</v>
      </c>
      <c r="X633">
        <v>4</v>
      </c>
      <c r="Y633">
        <v>3</v>
      </c>
      <c r="Z633">
        <v>1</v>
      </c>
      <c r="AA633">
        <v>10</v>
      </c>
      <c r="AB633">
        <v>2</v>
      </c>
      <c r="AC633">
        <v>2</v>
      </c>
      <c r="AD633" s="14">
        <v>3</v>
      </c>
      <c r="AE633" t="str">
        <f t="shared" si="19"/>
        <v>3-5 years</v>
      </c>
      <c r="AF633" s="14">
        <v>2</v>
      </c>
      <c r="AG633" s="14">
        <v>0</v>
      </c>
      <c r="AH633" s="14">
        <v>2</v>
      </c>
    </row>
    <row r="634" spans="1:34" x14ac:dyDescent="0.3">
      <c r="A634" s="14">
        <v>42</v>
      </c>
      <c r="B634" s="17" t="s">
        <v>43</v>
      </c>
      <c r="C634" t="s">
        <v>44</v>
      </c>
      <c r="D634">
        <v>1271</v>
      </c>
      <c r="E634" s="17" t="s">
        <v>45</v>
      </c>
      <c r="F634">
        <v>2</v>
      </c>
      <c r="G634">
        <v>1</v>
      </c>
      <c r="H634" t="s">
        <v>51</v>
      </c>
      <c r="I634">
        <v>875</v>
      </c>
      <c r="J634">
        <v>2</v>
      </c>
      <c r="K634" s="17" t="s">
        <v>46</v>
      </c>
      <c r="L634">
        <v>35</v>
      </c>
      <c r="M634">
        <v>3</v>
      </c>
      <c r="N634">
        <v>1</v>
      </c>
      <c r="O634" s="17" t="s">
        <v>47</v>
      </c>
      <c r="P634" s="14">
        <v>4</v>
      </c>
      <c r="Q634" t="s">
        <v>41</v>
      </c>
      <c r="R634" s="14">
        <v>2515</v>
      </c>
      <c r="S634" s="17" t="str">
        <f t="shared" si="18"/>
        <v>low</v>
      </c>
      <c r="T634">
        <v>9068</v>
      </c>
      <c r="U634">
        <v>5</v>
      </c>
      <c r="V634" s="17" t="s">
        <v>35</v>
      </c>
      <c r="W634">
        <v>14</v>
      </c>
      <c r="X634">
        <v>3</v>
      </c>
      <c r="Y634">
        <v>4</v>
      </c>
      <c r="Z634">
        <v>0</v>
      </c>
      <c r="AA634">
        <v>8</v>
      </c>
      <c r="AB634">
        <v>2</v>
      </c>
      <c r="AC634">
        <v>3</v>
      </c>
      <c r="AD634" s="14">
        <v>2</v>
      </c>
      <c r="AE634" t="str">
        <f t="shared" si="19"/>
        <v>0-2 years</v>
      </c>
      <c r="AF634" s="14">
        <v>1</v>
      </c>
      <c r="AG634" s="14">
        <v>2</v>
      </c>
      <c r="AH634" s="14">
        <v>2</v>
      </c>
    </row>
    <row r="635" spans="1:34" x14ac:dyDescent="0.3">
      <c r="A635" s="14">
        <v>36</v>
      </c>
      <c r="B635" s="17" t="s">
        <v>43</v>
      </c>
      <c r="C635" t="s">
        <v>36</v>
      </c>
      <c r="D635">
        <v>1278</v>
      </c>
      <c r="E635" s="17" t="s">
        <v>61</v>
      </c>
      <c r="F635">
        <v>8</v>
      </c>
      <c r="G635">
        <v>3</v>
      </c>
      <c r="H635" t="s">
        <v>38</v>
      </c>
      <c r="I635">
        <v>878</v>
      </c>
      <c r="J635">
        <v>1</v>
      </c>
      <c r="K635" s="17" t="s">
        <v>46</v>
      </c>
      <c r="L635">
        <v>77</v>
      </c>
      <c r="M635">
        <v>2</v>
      </c>
      <c r="N635">
        <v>1</v>
      </c>
      <c r="O635" s="17" t="s">
        <v>61</v>
      </c>
      <c r="P635" s="14">
        <v>1</v>
      </c>
      <c r="Q635" t="s">
        <v>48</v>
      </c>
      <c r="R635" s="14">
        <v>2342</v>
      </c>
      <c r="S635" s="17" t="str">
        <f t="shared" si="18"/>
        <v>low</v>
      </c>
      <c r="T635">
        <v>8635</v>
      </c>
      <c r="U635">
        <v>0</v>
      </c>
      <c r="V635" s="17" t="s">
        <v>43</v>
      </c>
      <c r="W635">
        <v>21</v>
      </c>
      <c r="X635">
        <v>4</v>
      </c>
      <c r="Y635">
        <v>3</v>
      </c>
      <c r="Z635">
        <v>0</v>
      </c>
      <c r="AA635">
        <v>6</v>
      </c>
      <c r="AB635">
        <v>3</v>
      </c>
      <c r="AC635">
        <v>3</v>
      </c>
      <c r="AD635" s="14">
        <v>5</v>
      </c>
      <c r="AE635" t="str">
        <f t="shared" si="19"/>
        <v>3-5 years</v>
      </c>
      <c r="AF635" s="14">
        <v>4</v>
      </c>
      <c r="AG635" s="14">
        <v>0</v>
      </c>
      <c r="AH635" s="14">
        <v>3</v>
      </c>
    </row>
    <row r="636" spans="1:34" x14ac:dyDescent="0.3">
      <c r="A636" s="14">
        <v>25</v>
      </c>
      <c r="B636" s="17" t="s">
        <v>43</v>
      </c>
      <c r="C636" t="s">
        <v>36</v>
      </c>
      <c r="D636">
        <v>141</v>
      </c>
      <c r="E636" s="17" t="s">
        <v>37</v>
      </c>
      <c r="F636">
        <v>3</v>
      </c>
      <c r="G636">
        <v>1</v>
      </c>
      <c r="H636" t="s">
        <v>49</v>
      </c>
      <c r="I636">
        <v>879</v>
      </c>
      <c r="J636">
        <v>3</v>
      </c>
      <c r="K636" s="17" t="s">
        <v>46</v>
      </c>
      <c r="L636">
        <v>98</v>
      </c>
      <c r="M636">
        <v>3</v>
      </c>
      <c r="N636">
        <v>2</v>
      </c>
      <c r="O636" s="17" t="s">
        <v>40</v>
      </c>
      <c r="P636" s="14">
        <v>1</v>
      </c>
      <c r="Q636" t="s">
        <v>48</v>
      </c>
      <c r="R636" s="14">
        <v>4194</v>
      </c>
      <c r="S636" s="17" t="str">
        <f t="shared" si="18"/>
        <v>medium</v>
      </c>
      <c r="T636">
        <v>14363</v>
      </c>
      <c r="U636">
        <v>1</v>
      </c>
      <c r="V636" s="17" t="s">
        <v>35</v>
      </c>
      <c r="W636">
        <v>18</v>
      </c>
      <c r="X636">
        <v>3</v>
      </c>
      <c r="Y636">
        <v>4</v>
      </c>
      <c r="Z636">
        <v>0</v>
      </c>
      <c r="AA636">
        <v>5</v>
      </c>
      <c r="AB636">
        <v>3</v>
      </c>
      <c r="AC636">
        <v>3</v>
      </c>
      <c r="AD636" s="14">
        <v>5</v>
      </c>
      <c r="AE636" t="str">
        <f t="shared" si="19"/>
        <v>3-5 years</v>
      </c>
      <c r="AF636" s="14">
        <v>3</v>
      </c>
      <c r="AG636" s="14">
        <v>0</v>
      </c>
      <c r="AH636" s="14">
        <v>3</v>
      </c>
    </row>
    <row r="637" spans="1:34" x14ac:dyDescent="0.3">
      <c r="A637" s="14">
        <v>35</v>
      </c>
      <c r="B637" s="17" t="s">
        <v>43</v>
      </c>
      <c r="C637" t="s">
        <v>36</v>
      </c>
      <c r="D637">
        <v>607</v>
      </c>
      <c r="E637" s="17" t="s">
        <v>45</v>
      </c>
      <c r="F637">
        <v>9</v>
      </c>
      <c r="G637">
        <v>3</v>
      </c>
      <c r="H637" t="s">
        <v>38</v>
      </c>
      <c r="I637">
        <v>880</v>
      </c>
      <c r="J637">
        <v>4</v>
      </c>
      <c r="K637" s="17" t="s">
        <v>39</v>
      </c>
      <c r="L637">
        <v>66</v>
      </c>
      <c r="M637">
        <v>2</v>
      </c>
      <c r="N637">
        <v>3</v>
      </c>
      <c r="O637" s="17" t="s">
        <v>53</v>
      </c>
      <c r="P637" s="14">
        <v>3</v>
      </c>
      <c r="Q637" t="s">
        <v>48</v>
      </c>
      <c r="R637" s="14">
        <v>10685</v>
      </c>
      <c r="S637" s="17" t="str">
        <f t="shared" si="18"/>
        <v>high</v>
      </c>
      <c r="T637">
        <v>23457</v>
      </c>
      <c r="U637">
        <v>1</v>
      </c>
      <c r="V637" s="17" t="s">
        <v>35</v>
      </c>
      <c r="W637">
        <v>20</v>
      </c>
      <c r="X637">
        <v>4</v>
      </c>
      <c r="Y637">
        <v>2</v>
      </c>
      <c r="Z637">
        <v>1</v>
      </c>
      <c r="AA637">
        <v>17</v>
      </c>
      <c r="AB637">
        <v>2</v>
      </c>
      <c r="AC637">
        <v>3</v>
      </c>
      <c r="AD637" s="14">
        <v>17</v>
      </c>
      <c r="AE637" t="str">
        <f t="shared" si="19"/>
        <v>10+ years</v>
      </c>
      <c r="AF637" s="14">
        <v>14</v>
      </c>
      <c r="AG637" s="14">
        <v>5</v>
      </c>
      <c r="AH637" s="14">
        <v>15</v>
      </c>
    </row>
    <row r="638" spans="1:34" x14ac:dyDescent="0.3">
      <c r="A638" s="14">
        <v>35</v>
      </c>
      <c r="B638" s="17" t="s">
        <v>35</v>
      </c>
      <c r="C638" t="s">
        <v>44</v>
      </c>
      <c r="D638">
        <v>130</v>
      </c>
      <c r="E638" s="17" t="s">
        <v>45</v>
      </c>
      <c r="F638">
        <v>25</v>
      </c>
      <c r="G638">
        <v>4</v>
      </c>
      <c r="H638" t="s">
        <v>38</v>
      </c>
      <c r="I638">
        <v>881</v>
      </c>
      <c r="J638">
        <v>4</v>
      </c>
      <c r="K638" s="17" t="s">
        <v>39</v>
      </c>
      <c r="L638">
        <v>96</v>
      </c>
      <c r="M638">
        <v>3</v>
      </c>
      <c r="N638">
        <v>1</v>
      </c>
      <c r="O638" s="17" t="s">
        <v>47</v>
      </c>
      <c r="P638" s="14">
        <v>2</v>
      </c>
      <c r="Q638" t="s">
        <v>52</v>
      </c>
      <c r="R638" s="14">
        <v>2022</v>
      </c>
      <c r="S638" s="17" t="str">
        <f t="shared" si="18"/>
        <v>low</v>
      </c>
      <c r="T638">
        <v>16612</v>
      </c>
      <c r="U638">
        <v>1</v>
      </c>
      <c r="V638" s="17" t="s">
        <v>35</v>
      </c>
      <c r="W638">
        <v>19</v>
      </c>
      <c r="X638">
        <v>3</v>
      </c>
      <c r="Y638">
        <v>1</v>
      </c>
      <c r="Z638">
        <v>1</v>
      </c>
      <c r="AA638">
        <v>10</v>
      </c>
      <c r="AB638">
        <v>3</v>
      </c>
      <c r="AC638">
        <v>2</v>
      </c>
      <c r="AD638" s="14">
        <v>10</v>
      </c>
      <c r="AE638" t="str">
        <f t="shared" si="19"/>
        <v>6-10 years</v>
      </c>
      <c r="AF638" s="14">
        <v>2</v>
      </c>
      <c r="AG638" s="14">
        <v>7</v>
      </c>
      <c r="AH638" s="14">
        <v>8</v>
      </c>
    </row>
    <row r="639" spans="1:34" x14ac:dyDescent="0.3">
      <c r="A639" s="14">
        <v>32</v>
      </c>
      <c r="B639" s="17" t="s">
        <v>43</v>
      </c>
      <c r="C639" t="s">
        <v>55</v>
      </c>
      <c r="D639">
        <v>300</v>
      </c>
      <c r="E639" s="17" t="s">
        <v>45</v>
      </c>
      <c r="F639">
        <v>1</v>
      </c>
      <c r="G639">
        <v>3</v>
      </c>
      <c r="H639" t="s">
        <v>38</v>
      </c>
      <c r="I639">
        <v>882</v>
      </c>
      <c r="J639">
        <v>4</v>
      </c>
      <c r="K639" s="17" t="s">
        <v>46</v>
      </c>
      <c r="L639">
        <v>61</v>
      </c>
      <c r="M639">
        <v>3</v>
      </c>
      <c r="N639">
        <v>1</v>
      </c>
      <c r="O639" s="17" t="s">
        <v>50</v>
      </c>
      <c r="P639" s="14">
        <v>4</v>
      </c>
      <c r="Q639" t="s">
        <v>52</v>
      </c>
      <c r="R639" s="14">
        <v>2314</v>
      </c>
      <c r="S639" s="17" t="str">
        <f t="shared" si="18"/>
        <v>low</v>
      </c>
      <c r="T639">
        <v>9148</v>
      </c>
      <c r="U639">
        <v>0</v>
      </c>
      <c r="V639" s="17" t="s">
        <v>43</v>
      </c>
      <c r="W639">
        <v>12</v>
      </c>
      <c r="X639">
        <v>3</v>
      </c>
      <c r="Y639">
        <v>2</v>
      </c>
      <c r="Z639">
        <v>1</v>
      </c>
      <c r="AA639">
        <v>4</v>
      </c>
      <c r="AB639">
        <v>2</v>
      </c>
      <c r="AC639">
        <v>3</v>
      </c>
      <c r="AD639" s="14">
        <v>3</v>
      </c>
      <c r="AE639" t="str">
        <f t="shared" si="19"/>
        <v>3-5 years</v>
      </c>
      <c r="AF639" s="14">
        <v>0</v>
      </c>
      <c r="AG639" s="14">
        <v>0</v>
      </c>
      <c r="AH639" s="14">
        <v>2</v>
      </c>
    </row>
    <row r="640" spans="1:34" x14ac:dyDescent="0.3">
      <c r="A640" s="14">
        <v>25</v>
      </c>
      <c r="B640" s="17" t="s">
        <v>43</v>
      </c>
      <c r="C640" t="s">
        <v>36</v>
      </c>
      <c r="D640">
        <v>583</v>
      </c>
      <c r="E640" s="17" t="s">
        <v>37</v>
      </c>
      <c r="F640">
        <v>4</v>
      </c>
      <c r="G640">
        <v>1</v>
      </c>
      <c r="H640" t="s">
        <v>59</v>
      </c>
      <c r="I640">
        <v>885</v>
      </c>
      <c r="J640">
        <v>3</v>
      </c>
      <c r="K640" s="17" t="s">
        <v>46</v>
      </c>
      <c r="L640">
        <v>87</v>
      </c>
      <c r="M640">
        <v>2</v>
      </c>
      <c r="N640">
        <v>2</v>
      </c>
      <c r="O640" s="17" t="s">
        <v>40</v>
      </c>
      <c r="P640" s="14">
        <v>1</v>
      </c>
      <c r="Q640" t="s">
        <v>48</v>
      </c>
      <c r="R640" s="14">
        <v>4256</v>
      </c>
      <c r="S640" s="17" t="str">
        <f t="shared" si="18"/>
        <v>medium</v>
      </c>
      <c r="T640">
        <v>18154</v>
      </c>
      <c r="U640">
        <v>1</v>
      </c>
      <c r="V640" s="17" t="s">
        <v>43</v>
      </c>
      <c r="W640">
        <v>12</v>
      </c>
      <c r="X640">
        <v>3</v>
      </c>
      <c r="Y640">
        <v>1</v>
      </c>
      <c r="Z640">
        <v>0</v>
      </c>
      <c r="AA640">
        <v>5</v>
      </c>
      <c r="AB640">
        <v>1</v>
      </c>
      <c r="AC640">
        <v>4</v>
      </c>
      <c r="AD640" s="14">
        <v>5</v>
      </c>
      <c r="AE640" t="str">
        <f t="shared" si="19"/>
        <v>3-5 years</v>
      </c>
      <c r="AF640" s="14">
        <v>2</v>
      </c>
      <c r="AG640" s="14">
        <v>0</v>
      </c>
      <c r="AH640" s="14">
        <v>3</v>
      </c>
    </row>
    <row r="641" spans="1:34" x14ac:dyDescent="0.3">
      <c r="A641" s="14">
        <v>49</v>
      </c>
      <c r="B641" s="17" t="s">
        <v>43</v>
      </c>
      <c r="C641" t="s">
        <v>36</v>
      </c>
      <c r="D641">
        <v>1418</v>
      </c>
      <c r="E641" s="17" t="s">
        <v>45</v>
      </c>
      <c r="F641">
        <v>1</v>
      </c>
      <c r="G641">
        <v>3</v>
      </c>
      <c r="H641" t="s">
        <v>60</v>
      </c>
      <c r="I641">
        <v>887</v>
      </c>
      <c r="J641">
        <v>3</v>
      </c>
      <c r="K641" s="17" t="s">
        <v>39</v>
      </c>
      <c r="L641">
        <v>36</v>
      </c>
      <c r="M641">
        <v>3</v>
      </c>
      <c r="N641">
        <v>1</v>
      </c>
      <c r="O641" s="17" t="s">
        <v>47</v>
      </c>
      <c r="P641" s="14">
        <v>1</v>
      </c>
      <c r="Q641" t="s">
        <v>48</v>
      </c>
      <c r="R641" s="14">
        <v>3580</v>
      </c>
      <c r="S641" s="17" t="str">
        <f t="shared" si="18"/>
        <v>medium</v>
      </c>
      <c r="T641">
        <v>10554</v>
      </c>
      <c r="U641">
        <v>2</v>
      </c>
      <c r="V641" s="17" t="s">
        <v>43</v>
      </c>
      <c r="W641">
        <v>16</v>
      </c>
      <c r="X641">
        <v>3</v>
      </c>
      <c r="Y641">
        <v>2</v>
      </c>
      <c r="Z641">
        <v>1</v>
      </c>
      <c r="AA641">
        <v>7</v>
      </c>
      <c r="AB641">
        <v>2</v>
      </c>
      <c r="AC641">
        <v>3</v>
      </c>
      <c r="AD641" s="14">
        <v>4</v>
      </c>
      <c r="AE641" t="str">
        <f t="shared" si="19"/>
        <v>3-5 years</v>
      </c>
      <c r="AF641" s="14">
        <v>2</v>
      </c>
      <c r="AG641" s="14">
        <v>0</v>
      </c>
      <c r="AH641" s="14">
        <v>2</v>
      </c>
    </row>
    <row r="642" spans="1:34" x14ac:dyDescent="0.3">
      <c r="A642" s="14">
        <v>24</v>
      </c>
      <c r="B642" s="17" t="s">
        <v>43</v>
      </c>
      <c r="C642" t="s">
        <v>55</v>
      </c>
      <c r="D642">
        <v>1269</v>
      </c>
      <c r="E642" s="17" t="s">
        <v>45</v>
      </c>
      <c r="F642">
        <v>4</v>
      </c>
      <c r="G642">
        <v>1</v>
      </c>
      <c r="H642" t="s">
        <v>38</v>
      </c>
      <c r="I642">
        <v>888</v>
      </c>
      <c r="J642">
        <v>1</v>
      </c>
      <c r="K642" s="17" t="s">
        <v>46</v>
      </c>
      <c r="L642">
        <v>46</v>
      </c>
      <c r="M642">
        <v>2</v>
      </c>
      <c r="N642">
        <v>1</v>
      </c>
      <c r="O642" s="17" t="s">
        <v>50</v>
      </c>
      <c r="P642" s="14">
        <v>4</v>
      </c>
      <c r="Q642" t="s">
        <v>48</v>
      </c>
      <c r="R642" s="14">
        <v>3162</v>
      </c>
      <c r="S642" s="17" t="str">
        <f t="shared" ref="S642:S705" si="20">IF(R642&lt;=3000, "low",IF(R642&lt;=7000,"medium","high"))</f>
        <v>medium</v>
      </c>
      <c r="T642">
        <v>10778</v>
      </c>
      <c r="U642">
        <v>0</v>
      </c>
      <c r="V642" s="17" t="s">
        <v>43</v>
      </c>
      <c r="W642">
        <v>17</v>
      </c>
      <c r="X642">
        <v>3</v>
      </c>
      <c r="Y642">
        <v>4</v>
      </c>
      <c r="Z642">
        <v>0</v>
      </c>
      <c r="AA642">
        <v>6</v>
      </c>
      <c r="AB642">
        <v>2</v>
      </c>
      <c r="AC642">
        <v>2</v>
      </c>
      <c r="AD642" s="14">
        <v>5</v>
      </c>
      <c r="AE642" t="str">
        <f t="shared" ref="AE642:AE705" si="21">IF(AD642&lt;=2,"0-2 years", IF(AD642&lt;=5,"3-5 years", IF(AD642&lt;=10,"6-10 years","10+ years")))</f>
        <v>3-5 years</v>
      </c>
      <c r="AF642" s="14">
        <v>2</v>
      </c>
      <c r="AG642" s="14">
        <v>3</v>
      </c>
      <c r="AH642" s="14">
        <v>4</v>
      </c>
    </row>
    <row r="643" spans="1:34" x14ac:dyDescent="0.3">
      <c r="A643" s="14">
        <v>32</v>
      </c>
      <c r="B643" s="17" t="s">
        <v>43</v>
      </c>
      <c r="C643" t="s">
        <v>44</v>
      </c>
      <c r="D643">
        <v>379</v>
      </c>
      <c r="E643" s="17" t="s">
        <v>37</v>
      </c>
      <c r="F643">
        <v>5</v>
      </c>
      <c r="G643">
        <v>2</v>
      </c>
      <c r="H643" t="s">
        <v>38</v>
      </c>
      <c r="I643">
        <v>889</v>
      </c>
      <c r="J643">
        <v>2</v>
      </c>
      <c r="K643" s="17" t="s">
        <v>46</v>
      </c>
      <c r="L643">
        <v>48</v>
      </c>
      <c r="M643">
        <v>3</v>
      </c>
      <c r="N643">
        <v>2</v>
      </c>
      <c r="O643" s="17" t="s">
        <v>40</v>
      </c>
      <c r="P643" s="14">
        <v>2</v>
      </c>
      <c r="Q643" t="s">
        <v>48</v>
      </c>
      <c r="R643" s="14">
        <v>6524</v>
      </c>
      <c r="S643" s="17" t="str">
        <f t="shared" si="20"/>
        <v>medium</v>
      </c>
      <c r="T643">
        <v>8891</v>
      </c>
      <c r="U643">
        <v>1</v>
      </c>
      <c r="V643" s="17" t="s">
        <v>43</v>
      </c>
      <c r="W643">
        <v>14</v>
      </c>
      <c r="X643">
        <v>3</v>
      </c>
      <c r="Y643">
        <v>4</v>
      </c>
      <c r="Z643">
        <v>1</v>
      </c>
      <c r="AA643">
        <v>10</v>
      </c>
      <c r="AB643">
        <v>3</v>
      </c>
      <c r="AC643">
        <v>3</v>
      </c>
      <c r="AD643" s="14">
        <v>10</v>
      </c>
      <c r="AE643" t="str">
        <f t="shared" si="21"/>
        <v>6-10 years</v>
      </c>
      <c r="AF643" s="14">
        <v>8</v>
      </c>
      <c r="AG643" s="14">
        <v>5</v>
      </c>
      <c r="AH643" s="14">
        <v>3</v>
      </c>
    </row>
    <row r="644" spans="1:34" x14ac:dyDescent="0.3">
      <c r="A644" s="14">
        <v>38</v>
      </c>
      <c r="B644" s="17" t="s">
        <v>43</v>
      </c>
      <c r="C644" t="s">
        <v>36</v>
      </c>
      <c r="D644">
        <v>395</v>
      </c>
      <c r="E644" s="17" t="s">
        <v>37</v>
      </c>
      <c r="F644">
        <v>9</v>
      </c>
      <c r="G644">
        <v>3</v>
      </c>
      <c r="H644" t="s">
        <v>59</v>
      </c>
      <c r="I644">
        <v>893</v>
      </c>
      <c r="J644">
        <v>2</v>
      </c>
      <c r="K644" s="17" t="s">
        <v>46</v>
      </c>
      <c r="L644">
        <v>98</v>
      </c>
      <c r="M644">
        <v>2</v>
      </c>
      <c r="N644">
        <v>1</v>
      </c>
      <c r="O644" s="17" t="s">
        <v>57</v>
      </c>
      <c r="P644" s="14">
        <v>2</v>
      </c>
      <c r="Q644" t="s">
        <v>48</v>
      </c>
      <c r="R644" s="14">
        <v>2899</v>
      </c>
      <c r="S644" s="17" t="str">
        <f t="shared" si="20"/>
        <v>low</v>
      </c>
      <c r="T644">
        <v>12102</v>
      </c>
      <c r="U644">
        <v>0</v>
      </c>
      <c r="V644" s="17" t="s">
        <v>43</v>
      </c>
      <c r="W644">
        <v>19</v>
      </c>
      <c r="X644">
        <v>3</v>
      </c>
      <c r="Y644">
        <v>4</v>
      </c>
      <c r="Z644">
        <v>1</v>
      </c>
      <c r="AA644">
        <v>3</v>
      </c>
      <c r="AB644">
        <v>3</v>
      </c>
      <c r="AC644">
        <v>3</v>
      </c>
      <c r="AD644" s="14">
        <v>2</v>
      </c>
      <c r="AE644" t="str">
        <f t="shared" si="21"/>
        <v>0-2 years</v>
      </c>
      <c r="AF644" s="14">
        <v>2</v>
      </c>
      <c r="AG644" s="14">
        <v>1</v>
      </c>
      <c r="AH644" s="14">
        <v>2</v>
      </c>
    </row>
    <row r="645" spans="1:34" x14ac:dyDescent="0.3">
      <c r="A645" s="14">
        <v>42</v>
      </c>
      <c r="B645" s="17" t="s">
        <v>43</v>
      </c>
      <c r="C645" t="s">
        <v>36</v>
      </c>
      <c r="D645">
        <v>1265</v>
      </c>
      <c r="E645" s="17" t="s">
        <v>45</v>
      </c>
      <c r="F645">
        <v>3</v>
      </c>
      <c r="G645">
        <v>3</v>
      </c>
      <c r="H645" t="s">
        <v>38</v>
      </c>
      <c r="I645">
        <v>894</v>
      </c>
      <c r="J645">
        <v>3</v>
      </c>
      <c r="K645" s="17" t="s">
        <v>39</v>
      </c>
      <c r="L645">
        <v>95</v>
      </c>
      <c r="M645">
        <v>4</v>
      </c>
      <c r="N645">
        <v>2</v>
      </c>
      <c r="O645" s="17" t="s">
        <v>50</v>
      </c>
      <c r="P645" s="14">
        <v>4</v>
      </c>
      <c r="Q645" t="s">
        <v>48</v>
      </c>
      <c r="R645" s="14">
        <v>5231</v>
      </c>
      <c r="S645" s="17" t="str">
        <f t="shared" si="20"/>
        <v>medium</v>
      </c>
      <c r="T645">
        <v>23726</v>
      </c>
      <c r="U645">
        <v>2</v>
      </c>
      <c r="V645" s="17" t="s">
        <v>35</v>
      </c>
      <c r="W645">
        <v>13</v>
      </c>
      <c r="X645">
        <v>3</v>
      </c>
      <c r="Y645">
        <v>2</v>
      </c>
      <c r="Z645">
        <v>1</v>
      </c>
      <c r="AA645">
        <v>17</v>
      </c>
      <c r="AB645">
        <v>1</v>
      </c>
      <c r="AC645">
        <v>2</v>
      </c>
      <c r="AD645" s="14">
        <v>5</v>
      </c>
      <c r="AE645" t="str">
        <f t="shared" si="21"/>
        <v>3-5 years</v>
      </c>
      <c r="AF645" s="14">
        <v>3</v>
      </c>
      <c r="AG645" s="14">
        <v>1</v>
      </c>
      <c r="AH645" s="14">
        <v>3</v>
      </c>
    </row>
    <row r="646" spans="1:34" x14ac:dyDescent="0.3">
      <c r="A646" s="14">
        <v>31</v>
      </c>
      <c r="B646" s="17" t="s">
        <v>43</v>
      </c>
      <c r="C646" t="s">
        <v>36</v>
      </c>
      <c r="D646">
        <v>1222</v>
      </c>
      <c r="E646" s="17" t="s">
        <v>45</v>
      </c>
      <c r="F646">
        <v>11</v>
      </c>
      <c r="G646">
        <v>4</v>
      </c>
      <c r="H646" t="s">
        <v>38</v>
      </c>
      <c r="I646">
        <v>895</v>
      </c>
      <c r="J646">
        <v>4</v>
      </c>
      <c r="K646" s="17" t="s">
        <v>46</v>
      </c>
      <c r="L646">
        <v>48</v>
      </c>
      <c r="M646">
        <v>3</v>
      </c>
      <c r="N646">
        <v>1</v>
      </c>
      <c r="O646" s="17" t="s">
        <v>47</v>
      </c>
      <c r="P646" s="14">
        <v>4</v>
      </c>
      <c r="Q646" t="s">
        <v>48</v>
      </c>
      <c r="R646" s="14">
        <v>2356</v>
      </c>
      <c r="S646" s="17" t="str">
        <f t="shared" si="20"/>
        <v>low</v>
      </c>
      <c r="T646">
        <v>14871</v>
      </c>
      <c r="U646">
        <v>3</v>
      </c>
      <c r="V646" s="17" t="s">
        <v>35</v>
      </c>
      <c r="W646">
        <v>19</v>
      </c>
      <c r="X646">
        <v>3</v>
      </c>
      <c r="Y646">
        <v>2</v>
      </c>
      <c r="Z646">
        <v>1</v>
      </c>
      <c r="AA646">
        <v>8</v>
      </c>
      <c r="AB646">
        <v>2</v>
      </c>
      <c r="AC646">
        <v>3</v>
      </c>
      <c r="AD646" s="14">
        <v>6</v>
      </c>
      <c r="AE646" t="str">
        <f t="shared" si="21"/>
        <v>6-10 years</v>
      </c>
      <c r="AF646" s="14">
        <v>4</v>
      </c>
      <c r="AG646" s="14">
        <v>0</v>
      </c>
      <c r="AH646" s="14">
        <v>2</v>
      </c>
    </row>
    <row r="647" spans="1:34" x14ac:dyDescent="0.3">
      <c r="A647" s="14">
        <v>29</v>
      </c>
      <c r="B647" s="17" t="s">
        <v>35</v>
      </c>
      <c r="C647" t="s">
        <v>36</v>
      </c>
      <c r="D647">
        <v>341</v>
      </c>
      <c r="E647" s="17" t="s">
        <v>37</v>
      </c>
      <c r="F647">
        <v>1</v>
      </c>
      <c r="G647">
        <v>3</v>
      </c>
      <c r="H647" t="s">
        <v>51</v>
      </c>
      <c r="I647">
        <v>896</v>
      </c>
      <c r="J647">
        <v>2</v>
      </c>
      <c r="K647" s="17" t="s">
        <v>39</v>
      </c>
      <c r="L647">
        <v>48</v>
      </c>
      <c r="M647">
        <v>2</v>
      </c>
      <c r="N647">
        <v>1</v>
      </c>
      <c r="O647" s="17" t="s">
        <v>57</v>
      </c>
      <c r="P647" s="14">
        <v>3</v>
      </c>
      <c r="Q647" t="s">
        <v>52</v>
      </c>
      <c r="R647" s="14">
        <v>2800</v>
      </c>
      <c r="S647" s="17" t="str">
        <f t="shared" si="20"/>
        <v>low</v>
      </c>
      <c r="T647">
        <v>23522</v>
      </c>
      <c r="U647">
        <v>6</v>
      </c>
      <c r="V647" s="17" t="s">
        <v>35</v>
      </c>
      <c r="W647">
        <v>19</v>
      </c>
      <c r="X647">
        <v>3</v>
      </c>
      <c r="Y647">
        <v>3</v>
      </c>
      <c r="Z647">
        <v>3</v>
      </c>
      <c r="AA647">
        <v>5</v>
      </c>
      <c r="AB647">
        <v>3</v>
      </c>
      <c r="AC647">
        <v>3</v>
      </c>
      <c r="AD647" s="14">
        <v>3</v>
      </c>
      <c r="AE647" t="str">
        <f t="shared" si="21"/>
        <v>3-5 years</v>
      </c>
      <c r="AF647" s="14">
        <v>2</v>
      </c>
      <c r="AG647" s="14">
        <v>0</v>
      </c>
      <c r="AH647" s="14">
        <v>2</v>
      </c>
    </row>
    <row r="648" spans="1:34" x14ac:dyDescent="0.3">
      <c r="A648" s="14">
        <v>53</v>
      </c>
      <c r="B648" s="17" t="s">
        <v>43</v>
      </c>
      <c r="C648" t="s">
        <v>36</v>
      </c>
      <c r="D648">
        <v>868</v>
      </c>
      <c r="E648" s="17" t="s">
        <v>37</v>
      </c>
      <c r="F648">
        <v>8</v>
      </c>
      <c r="G648">
        <v>3</v>
      </c>
      <c r="H648" t="s">
        <v>59</v>
      </c>
      <c r="I648">
        <v>897</v>
      </c>
      <c r="J648">
        <v>1</v>
      </c>
      <c r="K648" s="17" t="s">
        <v>46</v>
      </c>
      <c r="L648">
        <v>73</v>
      </c>
      <c r="M648">
        <v>3</v>
      </c>
      <c r="N648">
        <v>4</v>
      </c>
      <c r="O648" s="17" t="s">
        <v>40</v>
      </c>
      <c r="P648" s="14">
        <v>4</v>
      </c>
      <c r="Q648" t="s">
        <v>48</v>
      </c>
      <c r="R648" s="14">
        <v>11836</v>
      </c>
      <c r="S648" s="17" t="str">
        <f t="shared" si="20"/>
        <v>high</v>
      </c>
      <c r="T648">
        <v>22789</v>
      </c>
      <c r="U648">
        <v>5</v>
      </c>
      <c r="V648" s="17" t="s">
        <v>43</v>
      </c>
      <c r="W648">
        <v>14</v>
      </c>
      <c r="X648">
        <v>3</v>
      </c>
      <c r="Y648">
        <v>3</v>
      </c>
      <c r="Z648">
        <v>1</v>
      </c>
      <c r="AA648">
        <v>28</v>
      </c>
      <c r="AB648">
        <v>3</v>
      </c>
      <c r="AC648">
        <v>3</v>
      </c>
      <c r="AD648" s="14">
        <v>2</v>
      </c>
      <c r="AE648" t="str">
        <f t="shared" si="21"/>
        <v>0-2 years</v>
      </c>
      <c r="AF648" s="14">
        <v>0</v>
      </c>
      <c r="AG648" s="14">
        <v>2</v>
      </c>
      <c r="AH648" s="14">
        <v>2</v>
      </c>
    </row>
    <row r="649" spans="1:34" x14ac:dyDescent="0.3">
      <c r="A649" s="14">
        <v>35</v>
      </c>
      <c r="B649" s="17" t="s">
        <v>43</v>
      </c>
      <c r="C649" t="s">
        <v>36</v>
      </c>
      <c r="D649">
        <v>672</v>
      </c>
      <c r="E649" s="17" t="s">
        <v>45</v>
      </c>
      <c r="F649">
        <v>25</v>
      </c>
      <c r="G649">
        <v>3</v>
      </c>
      <c r="H649" t="s">
        <v>60</v>
      </c>
      <c r="I649">
        <v>899</v>
      </c>
      <c r="J649">
        <v>4</v>
      </c>
      <c r="K649" s="17" t="s">
        <v>46</v>
      </c>
      <c r="L649">
        <v>78</v>
      </c>
      <c r="M649">
        <v>2</v>
      </c>
      <c r="N649">
        <v>3</v>
      </c>
      <c r="O649" s="17" t="s">
        <v>53</v>
      </c>
      <c r="P649" s="14">
        <v>2</v>
      </c>
      <c r="Q649" t="s">
        <v>48</v>
      </c>
      <c r="R649" s="14">
        <v>10903</v>
      </c>
      <c r="S649" s="17" t="str">
        <f t="shared" si="20"/>
        <v>high</v>
      </c>
      <c r="T649">
        <v>9129</v>
      </c>
      <c r="U649">
        <v>3</v>
      </c>
      <c r="V649" s="17" t="s">
        <v>43</v>
      </c>
      <c r="W649">
        <v>16</v>
      </c>
      <c r="X649">
        <v>3</v>
      </c>
      <c r="Y649">
        <v>1</v>
      </c>
      <c r="Z649">
        <v>0</v>
      </c>
      <c r="AA649">
        <v>16</v>
      </c>
      <c r="AB649">
        <v>2</v>
      </c>
      <c r="AC649">
        <v>3</v>
      </c>
      <c r="AD649" s="14">
        <v>13</v>
      </c>
      <c r="AE649" t="str">
        <f t="shared" si="21"/>
        <v>10+ years</v>
      </c>
      <c r="AF649" s="14">
        <v>10</v>
      </c>
      <c r="AG649" s="14">
        <v>4</v>
      </c>
      <c r="AH649" s="14">
        <v>8</v>
      </c>
    </row>
    <row r="650" spans="1:34" x14ac:dyDescent="0.3">
      <c r="A650" s="14">
        <v>37</v>
      </c>
      <c r="B650" s="17" t="s">
        <v>43</v>
      </c>
      <c r="C650" t="s">
        <v>44</v>
      </c>
      <c r="D650">
        <v>1231</v>
      </c>
      <c r="E650" s="17" t="s">
        <v>37</v>
      </c>
      <c r="F650">
        <v>21</v>
      </c>
      <c r="G650">
        <v>2</v>
      </c>
      <c r="H650" t="s">
        <v>51</v>
      </c>
      <c r="I650">
        <v>900</v>
      </c>
      <c r="J650">
        <v>3</v>
      </c>
      <c r="K650" s="17" t="s">
        <v>39</v>
      </c>
      <c r="L650">
        <v>54</v>
      </c>
      <c r="M650">
        <v>3</v>
      </c>
      <c r="N650">
        <v>1</v>
      </c>
      <c r="O650" s="17" t="s">
        <v>57</v>
      </c>
      <c r="P650" s="14">
        <v>4</v>
      </c>
      <c r="Q650" t="s">
        <v>48</v>
      </c>
      <c r="R650" s="14">
        <v>2973</v>
      </c>
      <c r="S650" s="17" t="str">
        <f t="shared" si="20"/>
        <v>low</v>
      </c>
      <c r="T650">
        <v>21222</v>
      </c>
      <c r="U650">
        <v>5</v>
      </c>
      <c r="V650" s="17" t="s">
        <v>43</v>
      </c>
      <c r="W650">
        <v>15</v>
      </c>
      <c r="X650">
        <v>3</v>
      </c>
      <c r="Y650">
        <v>2</v>
      </c>
      <c r="Z650">
        <v>1</v>
      </c>
      <c r="AA650">
        <v>10</v>
      </c>
      <c r="AB650">
        <v>3</v>
      </c>
      <c r="AC650">
        <v>3</v>
      </c>
      <c r="AD650" s="14">
        <v>5</v>
      </c>
      <c r="AE650" t="str">
        <f t="shared" si="21"/>
        <v>3-5 years</v>
      </c>
      <c r="AF650" s="14">
        <v>4</v>
      </c>
      <c r="AG650" s="14">
        <v>0</v>
      </c>
      <c r="AH650" s="14">
        <v>0</v>
      </c>
    </row>
    <row r="651" spans="1:34" x14ac:dyDescent="0.3">
      <c r="A651" s="14">
        <v>53</v>
      </c>
      <c r="B651" s="17" t="s">
        <v>43</v>
      </c>
      <c r="C651" t="s">
        <v>36</v>
      </c>
      <c r="D651">
        <v>102</v>
      </c>
      <c r="E651" s="17" t="s">
        <v>45</v>
      </c>
      <c r="F651">
        <v>23</v>
      </c>
      <c r="G651">
        <v>4</v>
      </c>
      <c r="H651" t="s">
        <v>38</v>
      </c>
      <c r="I651">
        <v>901</v>
      </c>
      <c r="J651">
        <v>4</v>
      </c>
      <c r="K651" s="17" t="s">
        <v>39</v>
      </c>
      <c r="L651">
        <v>72</v>
      </c>
      <c r="M651">
        <v>3</v>
      </c>
      <c r="N651">
        <v>4</v>
      </c>
      <c r="O651" s="17" t="s">
        <v>58</v>
      </c>
      <c r="P651" s="14">
        <v>4</v>
      </c>
      <c r="Q651" t="s">
        <v>41</v>
      </c>
      <c r="R651" s="14">
        <v>14275</v>
      </c>
      <c r="S651" s="17" t="str">
        <f t="shared" si="20"/>
        <v>high</v>
      </c>
      <c r="T651">
        <v>20206</v>
      </c>
      <c r="U651">
        <v>6</v>
      </c>
      <c r="V651" s="17" t="s">
        <v>43</v>
      </c>
      <c r="W651">
        <v>18</v>
      </c>
      <c r="X651">
        <v>3</v>
      </c>
      <c r="Y651">
        <v>3</v>
      </c>
      <c r="Z651">
        <v>0</v>
      </c>
      <c r="AA651">
        <v>33</v>
      </c>
      <c r="AB651">
        <v>0</v>
      </c>
      <c r="AC651">
        <v>3</v>
      </c>
      <c r="AD651" s="14">
        <v>12</v>
      </c>
      <c r="AE651" t="str">
        <f t="shared" si="21"/>
        <v>10+ years</v>
      </c>
      <c r="AF651" s="14">
        <v>9</v>
      </c>
      <c r="AG651" s="14">
        <v>3</v>
      </c>
      <c r="AH651" s="14">
        <v>8</v>
      </c>
    </row>
    <row r="652" spans="1:34" x14ac:dyDescent="0.3">
      <c r="A652" s="14">
        <v>43</v>
      </c>
      <c r="B652" s="17" t="s">
        <v>43</v>
      </c>
      <c r="C652" t="s">
        <v>44</v>
      </c>
      <c r="D652">
        <v>422</v>
      </c>
      <c r="E652" s="17" t="s">
        <v>45</v>
      </c>
      <c r="F652">
        <v>1</v>
      </c>
      <c r="G652">
        <v>3</v>
      </c>
      <c r="H652" t="s">
        <v>38</v>
      </c>
      <c r="I652">
        <v>902</v>
      </c>
      <c r="J652">
        <v>4</v>
      </c>
      <c r="K652" s="17" t="s">
        <v>39</v>
      </c>
      <c r="L652">
        <v>33</v>
      </c>
      <c r="M652">
        <v>3</v>
      </c>
      <c r="N652">
        <v>2</v>
      </c>
      <c r="O652" s="17" t="s">
        <v>54</v>
      </c>
      <c r="P652" s="14">
        <v>4</v>
      </c>
      <c r="Q652" t="s">
        <v>48</v>
      </c>
      <c r="R652" s="14">
        <v>5562</v>
      </c>
      <c r="S652" s="17" t="str">
        <f t="shared" si="20"/>
        <v>medium</v>
      </c>
      <c r="T652">
        <v>21782</v>
      </c>
      <c r="U652">
        <v>4</v>
      </c>
      <c r="V652" s="17" t="s">
        <v>43</v>
      </c>
      <c r="W652">
        <v>13</v>
      </c>
      <c r="X652">
        <v>3</v>
      </c>
      <c r="Y652">
        <v>2</v>
      </c>
      <c r="Z652">
        <v>1</v>
      </c>
      <c r="AA652">
        <v>12</v>
      </c>
      <c r="AB652">
        <v>2</v>
      </c>
      <c r="AC652">
        <v>2</v>
      </c>
      <c r="AD652" s="14">
        <v>5</v>
      </c>
      <c r="AE652" t="str">
        <f t="shared" si="21"/>
        <v>3-5 years</v>
      </c>
      <c r="AF652" s="14">
        <v>2</v>
      </c>
      <c r="AG652" s="14">
        <v>2</v>
      </c>
      <c r="AH652" s="14">
        <v>2</v>
      </c>
    </row>
    <row r="653" spans="1:34" x14ac:dyDescent="0.3">
      <c r="A653" s="14">
        <v>47</v>
      </c>
      <c r="B653" s="17" t="s">
        <v>43</v>
      </c>
      <c r="C653" t="s">
        <v>36</v>
      </c>
      <c r="D653">
        <v>249</v>
      </c>
      <c r="E653" s="17" t="s">
        <v>37</v>
      </c>
      <c r="F653">
        <v>2</v>
      </c>
      <c r="G653">
        <v>2</v>
      </c>
      <c r="H653" t="s">
        <v>59</v>
      </c>
      <c r="I653">
        <v>903</v>
      </c>
      <c r="J653">
        <v>3</v>
      </c>
      <c r="K653" s="17" t="s">
        <v>39</v>
      </c>
      <c r="L653">
        <v>35</v>
      </c>
      <c r="M653">
        <v>3</v>
      </c>
      <c r="N653">
        <v>2</v>
      </c>
      <c r="O653" s="17" t="s">
        <v>40</v>
      </c>
      <c r="P653" s="14">
        <v>4</v>
      </c>
      <c r="Q653" t="s">
        <v>48</v>
      </c>
      <c r="R653" s="14">
        <v>4537</v>
      </c>
      <c r="S653" s="17" t="str">
        <f t="shared" si="20"/>
        <v>medium</v>
      </c>
      <c r="T653">
        <v>17783</v>
      </c>
      <c r="U653">
        <v>0</v>
      </c>
      <c r="V653" s="17" t="s">
        <v>35</v>
      </c>
      <c r="W653">
        <v>22</v>
      </c>
      <c r="X653">
        <v>4</v>
      </c>
      <c r="Y653">
        <v>1</v>
      </c>
      <c r="Z653">
        <v>1</v>
      </c>
      <c r="AA653">
        <v>8</v>
      </c>
      <c r="AB653">
        <v>2</v>
      </c>
      <c r="AC653">
        <v>3</v>
      </c>
      <c r="AD653" s="14">
        <v>7</v>
      </c>
      <c r="AE653" t="str">
        <f t="shared" si="21"/>
        <v>6-10 years</v>
      </c>
      <c r="AF653" s="14">
        <v>6</v>
      </c>
      <c r="AG653" s="14">
        <v>7</v>
      </c>
      <c r="AH653" s="14">
        <v>7</v>
      </c>
    </row>
    <row r="654" spans="1:34" x14ac:dyDescent="0.3">
      <c r="A654" s="14">
        <v>37</v>
      </c>
      <c r="B654" s="17" t="s">
        <v>43</v>
      </c>
      <c r="C654" t="s">
        <v>55</v>
      </c>
      <c r="D654">
        <v>1252</v>
      </c>
      <c r="E654" s="17" t="s">
        <v>37</v>
      </c>
      <c r="F654">
        <v>19</v>
      </c>
      <c r="G654">
        <v>2</v>
      </c>
      <c r="H654" t="s">
        <v>51</v>
      </c>
      <c r="I654">
        <v>904</v>
      </c>
      <c r="J654">
        <v>1</v>
      </c>
      <c r="K654" s="17" t="s">
        <v>46</v>
      </c>
      <c r="L654">
        <v>32</v>
      </c>
      <c r="M654">
        <v>3</v>
      </c>
      <c r="N654">
        <v>3</v>
      </c>
      <c r="O654" s="17" t="s">
        <v>40</v>
      </c>
      <c r="P654" s="14">
        <v>2</v>
      </c>
      <c r="Q654" t="s">
        <v>41</v>
      </c>
      <c r="R654" s="14">
        <v>7642</v>
      </c>
      <c r="S654" s="17" t="str">
        <f t="shared" si="20"/>
        <v>high</v>
      </c>
      <c r="T654">
        <v>4814</v>
      </c>
      <c r="U654">
        <v>1</v>
      </c>
      <c r="V654" s="17" t="s">
        <v>35</v>
      </c>
      <c r="W654">
        <v>13</v>
      </c>
      <c r="X654">
        <v>3</v>
      </c>
      <c r="Y654">
        <v>4</v>
      </c>
      <c r="Z654">
        <v>0</v>
      </c>
      <c r="AA654">
        <v>10</v>
      </c>
      <c r="AB654">
        <v>2</v>
      </c>
      <c r="AC654">
        <v>3</v>
      </c>
      <c r="AD654" s="14">
        <v>10</v>
      </c>
      <c r="AE654" t="str">
        <f t="shared" si="21"/>
        <v>6-10 years</v>
      </c>
      <c r="AF654" s="14">
        <v>0</v>
      </c>
      <c r="AG654" s="14">
        <v>0</v>
      </c>
      <c r="AH654" s="14">
        <v>9</v>
      </c>
    </row>
    <row r="655" spans="1:34" x14ac:dyDescent="0.3">
      <c r="A655" s="14">
        <v>50</v>
      </c>
      <c r="B655" s="17" t="s">
        <v>43</v>
      </c>
      <c r="C655" t="s">
        <v>55</v>
      </c>
      <c r="D655">
        <v>881</v>
      </c>
      <c r="E655" s="17" t="s">
        <v>45</v>
      </c>
      <c r="F655">
        <v>2</v>
      </c>
      <c r="G655">
        <v>4</v>
      </c>
      <c r="H655" t="s">
        <v>38</v>
      </c>
      <c r="I655">
        <v>905</v>
      </c>
      <c r="J655">
        <v>1</v>
      </c>
      <c r="K655" s="17" t="s">
        <v>46</v>
      </c>
      <c r="L655">
        <v>98</v>
      </c>
      <c r="M655">
        <v>3</v>
      </c>
      <c r="N655">
        <v>4</v>
      </c>
      <c r="O655" s="17" t="s">
        <v>56</v>
      </c>
      <c r="P655" s="14">
        <v>1</v>
      </c>
      <c r="Q655" t="s">
        <v>52</v>
      </c>
      <c r="R655" s="14">
        <v>17924</v>
      </c>
      <c r="S655" s="17" t="str">
        <f t="shared" si="20"/>
        <v>high</v>
      </c>
      <c r="T655">
        <v>4544</v>
      </c>
      <c r="U655">
        <v>1</v>
      </c>
      <c r="V655" s="17" t="s">
        <v>43</v>
      </c>
      <c r="W655">
        <v>11</v>
      </c>
      <c r="X655">
        <v>3</v>
      </c>
      <c r="Y655">
        <v>4</v>
      </c>
      <c r="Z655">
        <v>1</v>
      </c>
      <c r="AA655">
        <v>31</v>
      </c>
      <c r="AB655">
        <v>3</v>
      </c>
      <c r="AC655">
        <v>3</v>
      </c>
      <c r="AD655" s="14">
        <v>31</v>
      </c>
      <c r="AE655" t="str">
        <f t="shared" si="21"/>
        <v>10+ years</v>
      </c>
      <c r="AF655" s="14">
        <v>6</v>
      </c>
      <c r="AG655" s="14">
        <v>14</v>
      </c>
      <c r="AH655" s="14">
        <v>7</v>
      </c>
    </row>
    <row r="656" spans="1:34" x14ac:dyDescent="0.3">
      <c r="A656" s="14">
        <v>39</v>
      </c>
      <c r="B656" s="17" t="s">
        <v>43</v>
      </c>
      <c r="C656" t="s">
        <v>36</v>
      </c>
      <c r="D656">
        <v>1383</v>
      </c>
      <c r="E656" s="17" t="s">
        <v>61</v>
      </c>
      <c r="F656">
        <v>2</v>
      </c>
      <c r="G656">
        <v>3</v>
      </c>
      <c r="H656" t="s">
        <v>38</v>
      </c>
      <c r="I656">
        <v>909</v>
      </c>
      <c r="J656">
        <v>4</v>
      </c>
      <c r="K656" s="17" t="s">
        <v>39</v>
      </c>
      <c r="L656">
        <v>42</v>
      </c>
      <c r="M656">
        <v>2</v>
      </c>
      <c r="N656">
        <v>2</v>
      </c>
      <c r="O656" s="17" t="s">
        <v>61</v>
      </c>
      <c r="P656" s="14">
        <v>4</v>
      </c>
      <c r="Q656" t="s">
        <v>48</v>
      </c>
      <c r="R656" s="14">
        <v>5204</v>
      </c>
      <c r="S656" s="17" t="str">
        <f t="shared" si="20"/>
        <v>medium</v>
      </c>
      <c r="T656">
        <v>7790</v>
      </c>
      <c r="U656">
        <v>8</v>
      </c>
      <c r="V656" s="17" t="s">
        <v>43</v>
      </c>
      <c r="W656">
        <v>11</v>
      </c>
      <c r="X656">
        <v>3</v>
      </c>
      <c r="Y656">
        <v>3</v>
      </c>
      <c r="Z656">
        <v>2</v>
      </c>
      <c r="AA656">
        <v>13</v>
      </c>
      <c r="AB656">
        <v>2</v>
      </c>
      <c r="AC656">
        <v>3</v>
      </c>
      <c r="AD656" s="14">
        <v>5</v>
      </c>
      <c r="AE656" t="str">
        <f t="shared" si="21"/>
        <v>3-5 years</v>
      </c>
      <c r="AF656" s="14">
        <v>4</v>
      </c>
      <c r="AG656" s="14">
        <v>0</v>
      </c>
      <c r="AH656" s="14">
        <v>4</v>
      </c>
    </row>
    <row r="657" spans="1:34" x14ac:dyDescent="0.3">
      <c r="A657" s="14">
        <v>33</v>
      </c>
      <c r="B657" s="17" t="s">
        <v>43</v>
      </c>
      <c r="C657" t="s">
        <v>36</v>
      </c>
      <c r="D657">
        <v>1075</v>
      </c>
      <c r="E657" s="17" t="s">
        <v>61</v>
      </c>
      <c r="F657">
        <v>3</v>
      </c>
      <c r="G657">
        <v>2</v>
      </c>
      <c r="H657" t="s">
        <v>61</v>
      </c>
      <c r="I657">
        <v>910</v>
      </c>
      <c r="J657">
        <v>4</v>
      </c>
      <c r="K657" s="17" t="s">
        <v>46</v>
      </c>
      <c r="L657">
        <v>57</v>
      </c>
      <c r="M657">
        <v>3</v>
      </c>
      <c r="N657">
        <v>1</v>
      </c>
      <c r="O657" s="17" t="s">
        <v>61</v>
      </c>
      <c r="P657" s="14">
        <v>2</v>
      </c>
      <c r="Q657" t="s">
        <v>52</v>
      </c>
      <c r="R657" s="14">
        <v>2277</v>
      </c>
      <c r="S657" s="17" t="str">
        <f t="shared" si="20"/>
        <v>low</v>
      </c>
      <c r="T657">
        <v>22650</v>
      </c>
      <c r="U657">
        <v>3</v>
      </c>
      <c r="V657" s="17" t="s">
        <v>35</v>
      </c>
      <c r="W657">
        <v>11</v>
      </c>
      <c r="X657">
        <v>3</v>
      </c>
      <c r="Y657">
        <v>3</v>
      </c>
      <c r="Z657">
        <v>1</v>
      </c>
      <c r="AA657">
        <v>7</v>
      </c>
      <c r="AB657">
        <v>4</v>
      </c>
      <c r="AC657">
        <v>4</v>
      </c>
      <c r="AD657" s="14">
        <v>4</v>
      </c>
      <c r="AE657" t="str">
        <f t="shared" si="21"/>
        <v>3-5 years</v>
      </c>
      <c r="AF657" s="14">
        <v>3</v>
      </c>
      <c r="AG657" s="14">
        <v>0</v>
      </c>
      <c r="AH657" s="14">
        <v>3</v>
      </c>
    </row>
    <row r="658" spans="1:34" x14ac:dyDescent="0.3">
      <c r="A658" s="14">
        <v>32</v>
      </c>
      <c r="B658" s="17" t="s">
        <v>35</v>
      </c>
      <c r="C658" t="s">
        <v>36</v>
      </c>
      <c r="D658">
        <v>374</v>
      </c>
      <c r="E658" s="17" t="s">
        <v>45</v>
      </c>
      <c r="F658">
        <v>25</v>
      </c>
      <c r="G658">
        <v>4</v>
      </c>
      <c r="H658" t="s">
        <v>38</v>
      </c>
      <c r="I658">
        <v>911</v>
      </c>
      <c r="J658">
        <v>1</v>
      </c>
      <c r="K658" s="17" t="s">
        <v>46</v>
      </c>
      <c r="L658">
        <v>87</v>
      </c>
      <c r="M658">
        <v>3</v>
      </c>
      <c r="N658">
        <v>1</v>
      </c>
      <c r="O658" s="17" t="s">
        <v>50</v>
      </c>
      <c r="P658" s="14">
        <v>4</v>
      </c>
      <c r="Q658" t="s">
        <v>41</v>
      </c>
      <c r="R658" s="14">
        <v>2795</v>
      </c>
      <c r="S658" s="17" t="str">
        <f t="shared" si="20"/>
        <v>low</v>
      </c>
      <c r="T658">
        <v>18016</v>
      </c>
      <c r="U658">
        <v>1</v>
      </c>
      <c r="V658" s="17" t="s">
        <v>35</v>
      </c>
      <c r="W658">
        <v>24</v>
      </c>
      <c r="X658">
        <v>4</v>
      </c>
      <c r="Y658">
        <v>3</v>
      </c>
      <c r="Z658">
        <v>0</v>
      </c>
      <c r="AA658">
        <v>1</v>
      </c>
      <c r="AB658">
        <v>2</v>
      </c>
      <c r="AC658">
        <v>1</v>
      </c>
      <c r="AD658" s="14">
        <v>1</v>
      </c>
      <c r="AE658" t="str">
        <f t="shared" si="21"/>
        <v>0-2 years</v>
      </c>
      <c r="AF658" s="14">
        <v>0</v>
      </c>
      <c r="AG658" s="14">
        <v>0</v>
      </c>
      <c r="AH658" s="14">
        <v>1</v>
      </c>
    </row>
    <row r="659" spans="1:34" x14ac:dyDescent="0.3">
      <c r="A659" s="14">
        <v>29</v>
      </c>
      <c r="B659" s="17" t="s">
        <v>43</v>
      </c>
      <c r="C659" t="s">
        <v>36</v>
      </c>
      <c r="D659">
        <v>1086</v>
      </c>
      <c r="E659" s="17" t="s">
        <v>45</v>
      </c>
      <c r="F659">
        <v>7</v>
      </c>
      <c r="G659">
        <v>1</v>
      </c>
      <c r="H659" t="s">
        <v>51</v>
      </c>
      <c r="I659">
        <v>912</v>
      </c>
      <c r="J659">
        <v>1</v>
      </c>
      <c r="K659" s="17" t="s">
        <v>39</v>
      </c>
      <c r="L659">
        <v>62</v>
      </c>
      <c r="M659">
        <v>2</v>
      </c>
      <c r="N659">
        <v>1</v>
      </c>
      <c r="O659" s="17" t="s">
        <v>50</v>
      </c>
      <c r="P659" s="14">
        <v>4</v>
      </c>
      <c r="Q659" t="s">
        <v>52</v>
      </c>
      <c r="R659" s="14">
        <v>2532</v>
      </c>
      <c r="S659" s="17" t="str">
        <f t="shared" si="20"/>
        <v>low</v>
      </c>
      <c r="T659">
        <v>6054</v>
      </c>
      <c r="U659">
        <v>6</v>
      </c>
      <c r="V659" s="17" t="s">
        <v>43</v>
      </c>
      <c r="W659">
        <v>14</v>
      </c>
      <c r="X659">
        <v>3</v>
      </c>
      <c r="Y659">
        <v>3</v>
      </c>
      <c r="Z659">
        <v>3</v>
      </c>
      <c r="AA659">
        <v>8</v>
      </c>
      <c r="AB659">
        <v>5</v>
      </c>
      <c r="AC659">
        <v>3</v>
      </c>
      <c r="AD659" s="14">
        <v>4</v>
      </c>
      <c r="AE659" t="str">
        <f t="shared" si="21"/>
        <v>3-5 years</v>
      </c>
      <c r="AF659" s="14">
        <v>3</v>
      </c>
      <c r="AG659" s="14">
        <v>0</v>
      </c>
      <c r="AH659" s="14">
        <v>3</v>
      </c>
    </row>
    <row r="660" spans="1:34" x14ac:dyDescent="0.3">
      <c r="A660" s="14">
        <v>44</v>
      </c>
      <c r="B660" s="17" t="s">
        <v>43</v>
      </c>
      <c r="C660" t="s">
        <v>36</v>
      </c>
      <c r="D660">
        <v>661</v>
      </c>
      <c r="E660" s="17" t="s">
        <v>45</v>
      </c>
      <c r="F660">
        <v>9</v>
      </c>
      <c r="G660">
        <v>2</v>
      </c>
      <c r="H660" t="s">
        <v>38</v>
      </c>
      <c r="I660">
        <v>913</v>
      </c>
      <c r="J660">
        <v>2</v>
      </c>
      <c r="K660" s="17" t="s">
        <v>46</v>
      </c>
      <c r="L660">
        <v>61</v>
      </c>
      <c r="M660">
        <v>3</v>
      </c>
      <c r="N660">
        <v>1</v>
      </c>
      <c r="O660" s="17" t="s">
        <v>47</v>
      </c>
      <c r="P660" s="14">
        <v>1</v>
      </c>
      <c r="Q660" t="s">
        <v>48</v>
      </c>
      <c r="R660" s="14">
        <v>2559</v>
      </c>
      <c r="S660" s="17" t="str">
        <f t="shared" si="20"/>
        <v>low</v>
      </c>
      <c r="T660">
        <v>7508</v>
      </c>
      <c r="U660">
        <v>1</v>
      </c>
      <c r="V660" s="17" t="s">
        <v>35</v>
      </c>
      <c r="W660">
        <v>13</v>
      </c>
      <c r="X660">
        <v>3</v>
      </c>
      <c r="Y660">
        <v>4</v>
      </c>
      <c r="Z660">
        <v>0</v>
      </c>
      <c r="AA660">
        <v>8</v>
      </c>
      <c r="AB660">
        <v>0</v>
      </c>
      <c r="AC660">
        <v>3</v>
      </c>
      <c r="AD660" s="14">
        <v>8</v>
      </c>
      <c r="AE660" t="str">
        <f t="shared" si="21"/>
        <v>6-10 years</v>
      </c>
      <c r="AF660" s="14">
        <v>7</v>
      </c>
      <c r="AG660" s="14">
        <v>7</v>
      </c>
      <c r="AH660" s="14">
        <v>1</v>
      </c>
    </row>
    <row r="661" spans="1:34" x14ac:dyDescent="0.3">
      <c r="A661" s="14">
        <v>28</v>
      </c>
      <c r="B661" s="17" t="s">
        <v>43</v>
      </c>
      <c r="C661" t="s">
        <v>36</v>
      </c>
      <c r="D661">
        <v>821</v>
      </c>
      <c r="E661" s="17" t="s">
        <v>37</v>
      </c>
      <c r="F661">
        <v>5</v>
      </c>
      <c r="G661">
        <v>4</v>
      </c>
      <c r="H661" t="s">
        <v>51</v>
      </c>
      <c r="I661">
        <v>916</v>
      </c>
      <c r="J661">
        <v>1</v>
      </c>
      <c r="K661" s="17" t="s">
        <v>46</v>
      </c>
      <c r="L661">
        <v>98</v>
      </c>
      <c r="M661">
        <v>3</v>
      </c>
      <c r="N661">
        <v>2</v>
      </c>
      <c r="O661" s="17" t="s">
        <v>40</v>
      </c>
      <c r="P661" s="14">
        <v>4</v>
      </c>
      <c r="Q661" t="s">
        <v>41</v>
      </c>
      <c r="R661" s="14">
        <v>4908</v>
      </c>
      <c r="S661" s="17" t="str">
        <f t="shared" si="20"/>
        <v>medium</v>
      </c>
      <c r="T661">
        <v>24252</v>
      </c>
      <c r="U661">
        <v>1</v>
      </c>
      <c r="V661" s="17" t="s">
        <v>43</v>
      </c>
      <c r="W661">
        <v>14</v>
      </c>
      <c r="X661">
        <v>3</v>
      </c>
      <c r="Y661">
        <v>2</v>
      </c>
      <c r="Z661">
        <v>0</v>
      </c>
      <c r="AA661">
        <v>4</v>
      </c>
      <c r="AB661">
        <v>3</v>
      </c>
      <c r="AC661">
        <v>3</v>
      </c>
      <c r="AD661" s="14">
        <v>4</v>
      </c>
      <c r="AE661" t="str">
        <f t="shared" si="21"/>
        <v>3-5 years</v>
      </c>
      <c r="AF661" s="14">
        <v>2</v>
      </c>
      <c r="AG661" s="14">
        <v>0</v>
      </c>
      <c r="AH661" s="14">
        <v>2</v>
      </c>
    </row>
    <row r="662" spans="1:34" x14ac:dyDescent="0.3">
      <c r="A662" s="14">
        <v>58</v>
      </c>
      <c r="B662" s="17" t="s">
        <v>35</v>
      </c>
      <c r="C662" t="s">
        <v>44</v>
      </c>
      <c r="D662">
        <v>781</v>
      </c>
      <c r="E662" s="17" t="s">
        <v>45</v>
      </c>
      <c r="F662">
        <v>2</v>
      </c>
      <c r="G662">
        <v>1</v>
      </c>
      <c r="H662" t="s">
        <v>38</v>
      </c>
      <c r="I662">
        <v>918</v>
      </c>
      <c r="J662">
        <v>4</v>
      </c>
      <c r="K662" s="17" t="s">
        <v>46</v>
      </c>
      <c r="L662">
        <v>57</v>
      </c>
      <c r="M662">
        <v>2</v>
      </c>
      <c r="N662">
        <v>1</v>
      </c>
      <c r="O662" s="17" t="s">
        <v>50</v>
      </c>
      <c r="P662" s="14">
        <v>4</v>
      </c>
      <c r="Q662" t="s">
        <v>52</v>
      </c>
      <c r="R662" s="14">
        <v>2380</v>
      </c>
      <c r="S662" s="17" t="str">
        <f t="shared" si="20"/>
        <v>low</v>
      </c>
      <c r="T662">
        <v>13384</v>
      </c>
      <c r="U662">
        <v>9</v>
      </c>
      <c r="V662" s="17" t="s">
        <v>35</v>
      </c>
      <c r="W662">
        <v>14</v>
      </c>
      <c r="X662">
        <v>3</v>
      </c>
      <c r="Y662">
        <v>4</v>
      </c>
      <c r="Z662">
        <v>1</v>
      </c>
      <c r="AA662">
        <v>3</v>
      </c>
      <c r="AB662">
        <v>3</v>
      </c>
      <c r="AC662">
        <v>2</v>
      </c>
      <c r="AD662" s="14">
        <v>1</v>
      </c>
      <c r="AE662" t="str">
        <f t="shared" si="21"/>
        <v>0-2 years</v>
      </c>
      <c r="AF662" s="14">
        <v>0</v>
      </c>
      <c r="AG662" s="14">
        <v>0</v>
      </c>
      <c r="AH662" s="14">
        <v>0</v>
      </c>
    </row>
    <row r="663" spans="1:34" x14ac:dyDescent="0.3">
      <c r="A663" s="14">
        <v>43</v>
      </c>
      <c r="B663" s="17" t="s">
        <v>43</v>
      </c>
      <c r="C663" t="s">
        <v>36</v>
      </c>
      <c r="D663">
        <v>177</v>
      </c>
      <c r="E663" s="17" t="s">
        <v>45</v>
      </c>
      <c r="F663">
        <v>8</v>
      </c>
      <c r="G663">
        <v>3</v>
      </c>
      <c r="H663" t="s">
        <v>38</v>
      </c>
      <c r="I663">
        <v>920</v>
      </c>
      <c r="J663">
        <v>1</v>
      </c>
      <c r="K663" s="17" t="s">
        <v>39</v>
      </c>
      <c r="L663">
        <v>55</v>
      </c>
      <c r="M663">
        <v>3</v>
      </c>
      <c r="N663">
        <v>2</v>
      </c>
      <c r="O663" s="17" t="s">
        <v>53</v>
      </c>
      <c r="P663" s="14">
        <v>2</v>
      </c>
      <c r="Q663" t="s">
        <v>52</v>
      </c>
      <c r="R663" s="14">
        <v>4765</v>
      </c>
      <c r="S663" s="17" t="str">
        <f t="shared" si="20"/>
        <v>medium</v>
      </c>
      <c r="T663">
        <v>23814</v>
      </c>
      <c r="U663">
        <v>4</v>
      </c>
      <c r="V663" s="17" t="s">
        <v>43</v>
      </c>
      <c r="W663">
        <v>21</v>
      </c>
      <c r="X663">
        <v>4</v>
      </c>
      <c r="Y663">
        <v>3</v>
      </c>
      <c r="Z663">
        <v>1</v>
      </c>
      <c r="AA663">
        <v>4</v>
      </c>
      <c r="AB663">
        <v>2</v>
      </c>
      <c r="AC663">
        <v>4</v>
      </c>
      <c r="AD663" s="14">
        <v>1</v>
      </c>
      <c r="AE663" t="str">
        <f t="shared" si="21"/>
        <v>0-2 years</v>
      </c>
      <c r="AF663" s="14">
        <v>0</v>
      </c>
      <c r="AG663" s="14">
        <v>0</v>
      </c>
      <c r="AH663" s="14">
        <v>0</v>
      </c>
    </row>
    <row r="664" spans="1:34" x14ac:dyDescent="0.3">
      <c r="A664" s="14">
        <v>20</v>
      </c>
      <c r="B664" s="17" t="s">
        <v>35</v>
      </c>
      <c r="C664" t="s">
        <v>36</v>
      </c>
      <c r="D664">
        <v>500</v>
      </c>
      <c r="E664" s="17" t="s">
        <v>37</v>
      </c>
      <c r="F664">
        <v>2</v>
      </c>
      <c r="G664">
        <v>3</v>
      </c>
      <c r="H664" t="s">
        <v>51</v>
      </c>
      <c r="I664">
        <v>922</v>
      </c>
      <c r="J664">
        <v>3</v>
      </c>
      <c r="K664" s="17" t="s">
        <v>39</v>
      </c>
      <c r="L664">
        <v>49</v>
      </c>
      <c r="M664">
        <v>2</v>
      </c>
      <c r="N664">
        <v>1</v>
      </c>
      <c r="O664" s="17" t="s">
        <v>57</v>
      </c>
      <c r="P664" s="14">
        <v>3</v>
      </c>
      <c r="Q664" t="s">
        <v>41</v>
      </c>
      <c r="R664" s="14">
        <v>2044</v>
      </c>
      <c r="S664" s="17" t="str">
        <f t="shared" si="20"/>
        <v>low</v>
      </c>
      <c r="T664">
        <v>22052</v>
      </c>
      <c r="U664">
        <v>1</v>
      </c>
      <c r="V664" s="17" t="s">
        <v>43</v>
      </c>
      <c r="W664">
        <v>13</v>
      </c>
      <c r="X664">
        <v>3</v>
      </c>
      <c r="Y664">
        <v>4</v>
      </c>
      <c r="Z664">
        <v>0</v>
      </c>
      <c r="AA664">
        <v>2</v>
      </c>
      <c r="AB664">
        <v>3</v>
      </c>
      <c r="AC664">
        <v>2</v>
      </c>
      <c r="AD664" s="14">
        <v>2</v>
      </c>
      <c r="AE664" t="str">
        <f t="shared" si="21"/>
        <v>0-2 years</v>
      </c>
      <c r="AF664" s="14">
        <v>2</v>
      </c>
      <c r="AG664" s="14">
        <v>0</v>
      </c>
      <c r="AH664" s="14">
        <v>2</v>
      </c>
    </row>
    <row r="665" spans="1:34" x14ac:dyDescent="0.3">
      <c r="A665" s="14">
        <v>21</v>
      </c>
      <c r="B665" s="17" t="s">
        <v>35</v>
      </c>
      <c r="C665" t="s">
        <v>36</v>
      </c>
      <c r="D665">
        <v>1427</v>
      </c>
      <c r="E665" s="17" t="s">
        <v>45</v>
      </c>
      <c r="F665">
        <v>18</v>
      </c>
      <c r="G665">
        <v>1</v>
      </c>
      <c r="H665" t="s">
        <v>49</v>
      </c>
      <c r="I665">
        <v>923</v>
      </c>
      <c r="J665">
        <v>4</v>
      </c>
      <c r="K665" s="17" t="s">
        <v>39</v>
      </c>
      <c r="L665">
        <v>65</v>
      </c>
      <c r="M665">
        <v>3</v>
      </c>
      <c r="N665">
        <v>1</v>
      </c>
      <c r="O665" s="17" t="s">
        <v>47</v>
      </c>
      <c r="P665" s="14">
        <v>4</v>
      </c>
      <c r="Q665" t="s">
        <v>41</v>
      </c>
      <c r="R665" s="14">
        <v>2693</v>
      </c>
      <c r="S665" s="17" t="str">
        <f t="shared" si="20"/>
        <v>low</v>
      </c>
      <c r="T665">
        <v>8870</v>
      </c>
      <c r="U665">
        <v>1</v>
      </c>
      <c r="V665" s="17" t="s">
        <v>43</v>
      </c>
      <c r="W665">
        <v>19</v>
      </c>
      <c r="X665">
        <v>3</v>
      </c>
      <c r="Y665">
        <v>1</v>
      </c>
      <c r="Z665">
        <v>0</v>
      </c>
      <c r="AA665">
        <v>1</v>
      </c>
      <c r="AB665">
        <v>3</v>
      </c>
      <c r="AC665">
        <v>2</v>
      </c>
      <c r="AD665" s="14">
        <v>1</v>
      </c>
      <c r="AE665" t="str">
        <f t="shared" si="21"/>
        <v>0-2 years</v>
      </c>
      <c r="AF665" s="14">
        <v>0</v>
      </c>
      <c r="AG665" s="14">
        <v>0</v>
      </c>
      <c r="AH665" s="14">
        <v>0</v>
      </c>
    </row>
    <row r="666" spans="1:34" x14ac:dyDescent="0.3">
      <c r="A666" s="14">
        <v>36</v>
      </c>
      <c r="B666" s="17" t="s">
        <v>43</v>
      </c>
      <c r="C666" t="s">
        <v>36</v>
      </c>
      <c r="D666">
        <v>1425</v>
      </c>
      <c r="E666" s="17" t="s">
        <v>45</v>
      </c>
      <c r="F666">
        <v>14</v>
      </c>
      <c r="G666">
        <v>1</v>
      </c>
      <c r="H666" t="s">
        <v>38</v>
      </c>
      <c r="I666">
        <v>924</v>
      </c>
      <c r="J666">
        <v>3</v>
      </c>
      <c r="K666" s="17" t="s">
        <v>46</v>
      </c>
      <c r="L666">
        <v>68</v>
      </c>
      <c r="M666">
        <v>3</v>
      </c>
      <c r="N666">
        <v>2</v>
      </c>
      <c r="O666" s="17" t="s">
        <v>54</v>
      </c>
      <c r="P666" s="14">
        <v>4</v>
      </c>
      <c r="Q666" t="s">
        <v>48</v>
      </c>
      <c r="R666" s="14">
        <v>6586</v>
      </c>
      <c r="S666" s="17" t="str">
        <f t="shared" si="20"/>
        <v>medium</v>
      </c>
      <c r="T666">
        <v>4821</v>
      </c>
      <c r="U666">
        <v>0</v>
      </c>
      <c r="V666" s="17" t="s">
        <v>35</v>
      </c>
      <c r="W666">
        <v>17</v>
      </c>
      <c r="X666">
        <v>3</v>
      </c>
      <c r="Y666">
        <v>1</v>
      </c>
      <c r="Z666">
        <v>1</v>
      </c>
      <c r="AA666">
        <v>17</v>
      </c>
      <c r="AB666">
        <v>2</v>
      </c>
      <c r="AC666">
        <v>2</v>
      </c>
      <c r="AD666" s="14">
        <v>16</v>
      </c>
      <c r="AE666" t="str">
        <f t="shared" si="21"/>
        <v>10+ years</v>
      </c>
      <c r="AF666" s="14">
        <v>8</v>
      </c>
      <c r="AG666" s="14">
        <v>4</v>
      </c>
      <c r="AH666" s="14">
        <v>11</v>
      </c>
    </row>
    <row r="667" spans="1:34" x14ac:dyDescent="0.3">
      <c r="A667" s="14">
        <v>47</v>
      </c>
      <c r="B667" s="17" t="s">
        <v>43</v>
      </c>
      <c r="C667" t="s">
        <v>36</v>
      </c>
      <c r="D667">
        <v>1454</v>
      </c>
      <c r="E667" s="17" t="s">
        <v>37</v>
      </c>
      <c r="F667">
        <v>2</v>
      </c>
      <c r="G667">
        <v>4</v>
      </c>
      <c r="H667" t="s">
        <v>38</v>
      </c>
      <c r="I667">
        <v>925</v>
      </c>
      <c r="J667">
        <v>4</v>
      </c>
      <c r="K667" s="17" t="s">
        <v>39</v>
      </c>
      <c r="L667">
        <v>65</v>
      </c>
      <c r="M667">
        <v>2</v>
      </c>
      <c r="N667">
        <v>1</v>
      </c>
      <c r="O667" s="17" t="s">
        <v>57</v>
      </c>
      <c r="P667" s="14">
        <v>4</v>
      </c>
      <c r="Q667" t="s">
        <v>41</v>
      </c>
      <c r="R667" s="14">
        <v>3294</v>
      </c>
      <c r="S667" s="17" t="str">
        <f t="shared" si="20"/>
        <v>medium</v>
      </c>
      <c r="T667">
        <v>13137</v>
      </c>
      <c r="U667">
        <v>1</v>
      </c>
      <c r="V667" s="17" t="s">
        <v>35</v>
      </c>
      <c r="W667">
        <v>18</v>
      </c>
      <c r="X667">
        <v>3</v>
      </c>
      <c r="Y667">
        <v>1</v>
      </c>
      <c r="Z667">
        <v>0</v>
      </c>
      <c r="AA667">
        <v>3</v>
      </c>
      <c r="AB667">
        <v>3</v>
      </c>
      <c r="AC667">
        <v>2</v>
      </c>
      <c r="AD667" s="14">
        <v>3</v>
      </c>
      <c r="AE667" t="str">
        <f t="shared" si="21"/>
        <v>3-5 years</v>
      </c>
      <c r="AF667" s="14">
        <v>2</v>
      </c>
      <c r="AG667" s="14">
        <v>1</v>
      </c>
      <c r="AH667" s="14">
        <v>2</v>
      </c>
    </row>
    <row r="668" spans="1:34" x14ac:dyDescent="0.3">
      <c r="A668" s="14">
        <v>22</v>
      </c>
      <c r="B668" s="17" t="s">
        <v>35</v>
      </c>
      <c r="C668" t="s">
        <v>36</v>
      </c>
      <c r="D668">
        <v>617</v>
      </c>
      <c r="E668" s="17" t="s">
        <v>45</v>
      </c>
      <c r="F668">
        <v>3</v>
      </c>
      <c r="G668">
        <v>1</v>
      </c>
      <c r="H668" t="s">
        <v>38</v>
      </c>
      <c r="I668">
        <v>926</v>
      </c>
      <c r="J668">
        <v>2</v>
      </c>
      <c r="K668" s="17" t="s">
        <v>39</v>
      </c>
      <c r="L668">
        <v>34</v>
      </c>
      <c r="M668">
        <v>3</v>
      </c>
      <c r="N668">
        <v>2</v>
      </c>
      <c r="O668" s="17" t="s">
        <v>53</v>
      </c>
      <c r="P668" s="14">
        <v>3</v>
      </c>
      <c r="Q668" t="s">
        <v>48</v>
      </c>
      <c r="R668" s="14">
        <v>4171</v>
      </c>
      <c r="S668" s="17" t="str">
        <f t="shared" si="20"/>
        <v>medium</v>
      </c>
      <c r="T668">
        <v>10022</v>
      </c>
      <c r="U668">
        <v>0</v>
      </c>
      <c r="V668" s="17" t="s">
        <v>35</v>
      </c>
      <c r="W668">
        <v>19</v>
      </c>
      <c r="X668">
        <v>3</v>
      </c>
      <c r="Y668">
        <v>1</v>
      </c>
      <c r="Z668">
        <v>1</v>
      </c>
      <c r="AA668">
        <v>4</v>
      </c>
      <c r="AB668">
        <v>3</v>
      </c>
      <c r="AC668">
        <v>4</v>
      </c>
      <c r="AD668" s="14">
        <v>3</v>
      </c>
      <c r="AE668" t="str">
        <f t="shared" si="21"/>
        <v>3-5 years</v>
      </c>
      <c r="AF668" s="14">
        <v>2</v>
      </c>
      <c r="AG668" s="14">
        <v>0</v>
      </c>
      <c r="AH668" s="14">
        <v>2</v>
      </c>
    </row>
    <row r="669" spans="1:34" x14ac:dyDescent="0.3">
      <c r="A669" s="14">
        <v>41</v>
      </c>
      <c r="B669" s="17" t="s">
        <v>35</v>
      </c>
      <c r="C669" t="s">
        <v>36</v>
      </c>
      <c r="D669">
        <v>1085</v>
      </c>
      <c r="E669" s="17" t="s">
        <v>45</v>
      </c>
      <c r="F669">
        <v>2</v>
      </c>
      <c r="G669">
        <v>4</v>
      </c>
      <c r="H669" t="s">
        <v>38</v>
      </c>
      <c r="I669">
        <v>927</v>
      </c>
      <c r="J669">
        <v>2</v>
      </c>
      <c r="K669" s="17" t="s">
        <v>39</v>
      </c>
      <c r="L669">
        <v>57</v>
      </c>
      <c r="M669">
        <v>1</v>
      </c>
      <c r="N669">
        <v>1</v>
      </c>
      <c r="O669" s="17" t="s">
        <v>50</v>
      </c>
      <c r="P669" s="14">
        <v>4</v>
      </c>
      <c r="Q669" t="s">
        <v>52</v>
      </c>
      <c r="R669" s="14">
        <v>2778</v>
      </c>
      <c r="S669" s="17" t="str">
        <f t="shared" si="20"/>
        <v>low</v>
      </c>
      <c r="T669">
        <v>17725</v>
      </c>
      <c r="U669">
        <v>4</v>
      </c>
      <c r="V669" s="17" t="s">
        <v>35</v>
      </c>
      <c r="W669">
        <v>13</v>
      </c>
      <c r="X669">
        <v>3</v>
      </c>
      <c r="Y669">
        <v>3</v>
      </c>
      <c r="Z669">
        <v>1</v>
      </c>
      <c r="AA669">
        <v>10</v>
      </c>
      <c r="AB669">
        <v>1</v>
      </c>
      <c r="AC669">
        <v>2</v>
      </c>
      <c r="AD669" s="14">
        <v>7</v>
      </c>
      <c r="AE669" t="str">
        <f t="shared" si="21"/>
        <v>6-10 years</v>
      </c>
      <c r="AF669" s="14">
        <v>7</v>
      </c>
      <c r="AG669" s="14">
        <v>1</v>
      </c>
      <c r="AH669" s="14">
        <v>0</v>
      </c>
    </row>
    <row r="670" spans="1:34" x14ac:dyDescent="0.3">
      <c r="A670" s="14">
        <v>28</v>
      </c>
      <c r="B670" s="17" t="s">
        <v>43</v>
      </c>
      <c r="C670" t="s">
        <v>36</v>
      </c>
      <c r="D670">
        <v>995</v>
      </c>
      <c r="E670" s="17" t="s">
        <v>45</v>
      </c>
      <c r="F670">
        <v>9</v>
      </c>
      <c r="G670">
        <v>3</v>
      </c>
      <c r="H670" t="s">
        <v>51</v>
      </c>
      <c r="I670">
        <v>930</v>
      </c>
      <c r="J670">
        <v>3</v>
      </c>
      <c r="K670" s="17" t="s">
        <v>39</v>
      </c>
      <c r="L670">
        <v>77</v>
      </c>
      <c r="M670">
        <v>3</v>
      </c>
      <c r="N670">
        <v>1</v>
      </c>
      <c r="O670" s="17" t="s">
        <v>47</v>
      </c>
      <c r="P670" s="14">
        <v>3</v>
      </c>
      <c r="Q670" t="s">
        <v>52</v>
      </c>
      <c r="R670" s="14">
        <v>2377</v>
      </c>
      <c r="S670" s="17" t="str">
        <f t="shared" si="20"/>
        <v>low</v>
      </c>
      <c r="T670">
        <v>9834</v>
      </c>
      <c r="U670">
        <v>5</v>
      </c>
      <c r="V670" s="17" t="s">
        <v>43</v>
      </c>
      <c r="W670">
        <v>18</v>
      </c>
      <c r="X670">
        <v>3</v>
      </c>
      <c r="Y670">
        <v>2</v>
      </c>
      <c r="Z670">
        <v>1</v>
      </c>
      <c r="AA670">
        <v>6</v>
      </c>
      <c r="AB670">
        <v>2</v>
      </c>
      <c r="AC670">
        <v>3</v>
      </c>
      <c r="AD670" s="14">
        <v>2</v>
      </c>
      <c r="AE670" t="str">
        <f t="shared" si="21"/>
        <v>0-2 years</v>
      </c>
      <c r="AF670" s="14">
        <v>2</v>
      </c>
      <c r="AG670" s="14">
        <v>2</v>
      </c>
      <c r="AH670" s="14">
        <v>2</v>
      </c>
    </row>
    <row r="671" spans="1:34" x14ac:dyDescent="0.3">
      <c r="A671" s="14">
        <v>39</v>
      </c>
      <c r="B671" s="17" t="s">
        <v>35</v>
      </c>
      <c r="C671" t="s">
        <v>36</v>
      </c>
      <c r="D671">
        <v>1122</v>
      </c>
      <c r="E671" s="17" t="s">
        <v>45</v>
      </c>
      <c r="F671">
        <v>6</v>
      </c>
      <c r="G671">
        <v>3</v>
      </c>
      <c r="H671" t="s">
        <v>51</v>
      </c>
      <c r="I671">
        <v>932</v>
      </c>
      <c r="J671">
        <v>4</v>
      </c>
      <c r="K671" s="17" t="s">
        <v>46</v>
      </c>
      <c r="L671">
        <v>70</v>
      </c>
      <c r="M671">
        <v>3</v>
      </c>
      <c r="N671">
        <v>1</v>
      </c>
      <c r="O671" s="17" t="s">
        <v>50</v>
      </c>
      <c r="P671" s="14">
        <v>1</v>
      </c>
      <c r="Q671" t="s">
        <v>48</v>
      </c>
      <c r="R671" s="14">
        <v>2404</v>
      </c>
      <c r="S671" s="17" t="str">
        <f t="shared" si="20"/>
        <v>low</v>
      </c>
      <c r="T671">
        <v>4303</v>
      </c>
      <c r="U671">
        <v>7</v>
      </c>
      <c r="V671" s="17" t="s">
        <v>35</v>
      </c>
      <c r="W671">
        <v>21</v>
      </c>
      <c r="X671">
        <v>4</v>
      </c>
      <c r="Y671">
        <v>4</v>
      </c>
      <c r="Z671">
        <v>0</v>
      </c>
      <c r="AA671">
        <v>8</v>
      </c>
      <c r="AB671">
        <v>2</v>
      </c>
      <c r="AC671">
        <v>1</v>
      </c>
      <c r="AD671" s="14">
        <v>2</v>
      </c>
      <c r="AE671" t="str">
        <f t="shared" si="21"/>
        <v>0-2 years</v>
      </c>
      <c r="AF671" s="14">
        <v>2</v>
      </c>
      <c r="AG671" s="14">
        <v>2</v>
      </c>
      <c r="AH671" s="14">
        <v>2</v>
      </c>
    </row>
    <row r="672" spans="1:34" x14ac:dyDescent="0.3">
      <c r="A672" s="14">
        <v>27</v>
      </c>
      <c r="B672" s="17" t="s">
        <v>43</v>
      </c>
      <c r="C672" t="s">
        <v>36</v>
      </c>
      <c r="D672">
        <v>618</v>
      </c>
      <c r="E672" s="17" t="s">
        <v>45</v>
      </c>
      <c r="F672">
        <v>4</v>
      </c>
      <c r="G672">
        <v>3</v>
      </c>
      <c r="H672" t="s">
        <v>38</v>
      </c>
      <c r="I672">
        <v>933</v>
      </c>
      <c r="J672">
        <v>2</v>
      </c>
      <c r="K672" s="17" t="s">
        <v>39</v>
      </c>
      <c r="L672">
        <v>76</v>
      </c>
      <c r="M672">
        <v>3</v>
      </c>
      <c r="N672">
        <v>1</v>
      </c>
      <c r="O672" s="17" t="s">
        <v>47</v>
      </c>
      <c r="P672" s="14">
        <v>3</v>
      </c>
      <c r="Q672" t="s">
        <v>41</v>
      </c>
      <c r="R672" s="14">
        <v>2318</v>
      </c>
      <c r="S672" s="17" t="str">
        <f t="shared" si="20"/>
        <v>low</v>
      </c>
      <c r="T672">
        <v>17808</v>
      </c>
      <c r="U672">
        <v>1</v>
      </c>
      <c r="V672" s="17" t="s">
        <v>43</v>
      </c>
      <c r="W672">
        <v>19</v>
      </c>
      <c r="X672">
        <v>3</v>
      </c>
      <c r="Y672">
        <v>3</v>
      </c>
      <c r="Z672">
        <v>0</v>
      </c>
      <c r="AA672">
        <v>1</v>
      </c>
      <c r="AB672">
        <v>2</v>
      </c>
      <c r="AC672">
        <v>3</v>
      </c>
      <c r="AD672" s="14">
        <v>1</v>
      </c>
      <c r="AE672" t="str">
        <f t="shared" si="21"/>
        <v>0-2 years</v>
      </c>
      <c r="AF672" s="14">
        <v>1</v>
      </c>
      <c r="AG672" s="14">
        <v>0</v>
      </c>
      <c r="AH672" s="14">
        <v>0</v>
      </c>
    </row>
    <row r="673" spans="1:34" x14ac:dyDescent="0.3">
      <c r="A673" s="14">
        <v>34</v>
      </c>
      <c r="B673" s="17" t="s">
        <v>43</v>
      </c>
      <c r="C673" t="s">
        <v>36</v>
      </c>
      <c r="D673">
        <v>546</v>
      </c>
      <c r="E673" s="17" t="s">
        <v>45</v>
      </c>
      <c r="F673">
        <v>10</v>
      </c>
      <c r="G673">
        <v>3</v>
      </c>
      <c r="H673" t="s">
        <v>38</v>
      </c>
      <c r="I673">
        <v>934</v>
      </c>
      <c r="J673">
        <v>2</v>
      </c>
      <c r="K673" s="17" t="s">
        <v>46</v>
      </c>
      <c r="L673">
        <v>83</v>
      </c>
      <c r="M673">
        <v>3</v>
      </c>
      <c r="N673">
        <v>1</v>
      </c>
      <c r="O673" s="17" t="s">
        <v>50</v>
      </c>
      <c r="P673" s="14">
        <v>2</v>
      </c>
      <c r="Q673" t="s">
        <v>52</v>
      </c>
      <c r="R673" s="14">
        <v>2008</v>
      </c>
      <c r="S673" s="17" t="str">
        <f t="shared" si="20"/>
        <v>low</v>
      </c>
      <c r="T673">
        <v>6896</v>
      </c>
      <c r="U673">
        <v>1</v>
      </c>
      <c r="V673" s="17" t="s">
        <v>43</v>
      </c>
      <c r="W673">
        <v>14</v>
      </c>
      <c r="X673">
        <v>3</v>
      </c>
      <c r="Y673">
        <v>2</v>
      </c>
      <c r="Z673">
        <v>2</v>
      </c>
      <c r="AA673">
        <v>1</v>
      </c>
      <c r="AB673">
        <v>3</v>
      </c>
      <c r="AC673">
        <v>3</v>
      </c>
      <c r="AD673" s="14">
        <v>1</v>
      </c>
      <c r="AE673" t="str">
        <f t="shared" si="21"/>
        <v>0-2 years</v>
      </c>
      <c r="AF673" s="14">
        <v>0</v>
      </c>
      <c r="AG673" s="14">
        <v>1</v>
      </c>
      <c r="AH673" s="14">
        <v>0</v>
      </c>
    </row>
    <row r="674" spans="1:34" x14ac:dyDescent="0.3">
      <c r="A674" s="14">
        <v>42</v>
      </c>
      <c r="B674" s="17" t="s">
        <v>43</v>
      </c>
      <c r="C674" t="s">
        <v>36</v>
      </c>
      <c r="D674">
        <v>462</v>
      </c>
      <c r="E674" s="17" t="s">
        <v>37</v>
      </c>
      <c r="F674">
        <v>14</v>
      </c>
      <c r="G674">
        <v>2</v>
      </c>
      <c r="H674" t="s">
        <v>51</v>
      </c>
      <c r="I674">
        <v>936</v>
      </c>
      <c r="J674">
        <v>3</v>
      </c>
      <c r="K674" s="17" t="s">
        <v>39</v>
      </c>
      <c r="L674">
        <v>68</v>
      </c>
      <c r="M674">
        <v>2</v>
      </c>
      <c r="N674">
        <v>2</v>
      </c>
      <c r="O674" s="17" t="s">
        <v>40</v>
      </c>
      <c r="P674" s="14">
        <v>3</v>
      </c>
      <c r="Q674" t="s">
        <v>41</v>
      </c>
      <c r="R674" s="14">
        <v>6244</v>
      </c>
      <c r="S674" s="17" t="str">
        <f t="shared" si="20"/>
        <v>medium</v>
      </c>
      <c r="T674">
        <v>7824</v>
      </c>
      <c r="U674">
        <v>7</v>
      </c>
      <c r="V674" s="17" t="s">
        <v>43</v>
      </c>
      <c r="W674">
        <v>17</v>
      </c>
      <c r="X674">
        <v>3</v>
      </c>
      <c r="Y674">
        <v>1</v>
      </c>
      <c r="Z674">
        <v>0</v>
      </c>
      <c r="AA674">
        <v>10</v>
      </c>
      <c r="AB674">
        <v>6</v>
      </c>
      <c r="AC674">
        <v>3</v>
      </c>
      <c r="AD674" s="14">
        <v>5</v>
      </c>
      <c r="AE674" t="str">
        <f t="shared" si="21"/>
        <v>3-5 years</v>
      </c>
      <c r="AF674" s="14">
        <v>4</v>
      </c>
      <c r="AG674" s="14">
        <v>0</v>
      </c>
      <c r="AH674" s="14">
        <v>3</v>
      </c>
    </row>
    <row r="675" spans="1:34" x14ac:dyDescent="0.3">
      <c r="A675" s="14">
        <v>33</v>
      </c>
      <c r="B675" s="17" t="s">
        <v>43</v>
      </c>
      <c r="C675" t="s">
        <v>36</v>
      </c>
      <c r="D675">
        <v>1198</v>
      </c>
      <c r="E675" s="17" t="s">
        <v>45</v>
      </c>
      <c r="F675">
        <v>1</v>
      </c>
      <c r="G675">
        <v>4</v>
      </c>
      <c r="H675" t="s">
        <v>49</v>
      </c>
      <c r="I675">
        <v>939</v>
      </c>
      <c r="J675">
        <v>3</v>
      </c>
      <c r="K675" s="17" t="s">
        <v>46</v>
      </c>
      <c r="L675">
        <v>100</v>
      </c>
      <c r="M675">
        <v>2</v>
      </c>
      <c r="N675">
        <v>1</v>
      </c>
      <c r="O675" s="17" t="s">
        <v>47</v>
      </c>
      <c r="P675" s="14">
        <v>1</v>
      </c>
      <c r="Q675" t="s">
        <v>41</v>
      </c>
      <c r="R675" s="14">
        <v>2799</v>
      </c>
      <c r="S675" s="17" t="str">
        <f t="shared" si="20"/>
        <v>low</v>
      </c>
      <c r="T675">
        <v>3339</v>
      </c>
      <c r="U675">
        <v>3</v>
      </c>
      <c r="V675" s="17" t="s">
        <v>35</v>
      </c>
      <c r="W675">
        <v>11</v>
      </c>
      <c r="X675">
        <v>3</v>
      </c>
      <c r="Y675">
        <v>2</v>
      </c>
      <c r="Z675">
        <v>0</v>
      </c>
      <c r="AA675">
        <v>6</v>
      </c>
      <c r="AB675">
        <v>1</v>
      </c>
      <c r="AC675">
        <v>3</v>
      </c>
      <c r="AD675" s="14">
        <v>3</v>
      </c>
      <c r="AE675" t="str">
        <f t="shared" si="21"/>
        <v>3-5 years</v>
      </c>
      <c r="AF675" s="14">
        <v>2</v>
      </c>
      <c r="AG675" s="14">
        <v>0</v>
      </c>
      <c r="AH675" s="14">
        <v>2</v>
      </c>
    </row>
    <row r="676" spans="1:34" x14ac:dyDescent="0.3">
      <c r="A676" s="14">
        <v>58</v>
      </c>
      <c r="B676" s="17" t="s">
        <v>43</v>
      </c>
      <c r="C676" t="s">
        <v>36</v>
      </c>
      <c r="D676">
        <v>1272</v>
      </c>
      <c r="E676" s="17" t="s">
        <v>45</v>
      </c>
      <c r="F676">
        <v>5</v>
      </c>
      <c r="G676">
        <v>3</v>
      </c>
      <c r="H676" t="s">
        <v>60</v>
      </c>
      <c r="I676">
        <v>940</v>
      </c>
      <c r="J676">
        <v>3</v>
      </c>
      <c r="K676" s="17" t="s">
        <v>39</v>
      </c>
      <c r="L676">
        <v>37</v>
      </c>
      <c r="M676">
        <v>2</v>
      </c>
      <c r="N676">
        <v>3</v>
      </c>
      <c r="O676" s="17" t="s">
        <v>54</v>
      </c>
      <c r="P676" s="14">
        <v>2</v>
      </c>
      <c r="Q676" t="s">
        <v>52</v>
      </c>
      <c r="R676" s="14">
        <v>10552</v>
      </c>
      <c r="S676" s="17" t="str">
        <f t="shared" si="20"/>
        <v>high</v>
      </c>
      <c r="T676">
        <v>9255</v>
      </c>
      <c r="U676">
        <v>2</v>
      </c>
      <c r="V676" s="17" t="s">
        <v>35</v>
      </c>
      <c r="W676">
        <v>13</v>
      </c>
      <c r="X676">
        <v>3</v>
      </c>
      <c r="Y676">
        <v>4</v>
      </c>
      <c r="Z676">
        <v>1</v>
      </c>
      <c r="AA676">
        <v>24</v>
      </c>
      <c r="AB676">
        <v>3</v>
      </c>
      <c r="AC676">
        <v>3</v>
      </c>
      <c r="AD676" s="14">
        <v>6</v>
      </c>
      <c r="AE676" t="str">
        <f t="shared" si="21"/>
        <v>6-10 years</v>
      </c>
      <c r="AF676" s="14">
        <v>0</v>
      </c>
      <c r="AG676" s="14">
        <v>0</v>
      </c>
      <c r="AH676" s="14">
        <v>4</v>
      </c>
    </row>
    <row r="677" spans="1:34" x14ac:dyDescent="0.3">
      <c r="A677" s="14">
        <v>31</v>
      </c>
      <c r="B677" s="17" t="s">
        <v>43</v>
      </c>
      <c r="C677" t="s">
        <v>36</v>
      </c>
      <c r="D677">
        <v>154</v>
      </c>
      <c r="E677" s="17" t="s">
        <v>37</v>
      </c>
      <c r="F677">
        <v>7</v>
      </c>
      <c r="G677">
        <v>4</v>
      </c>
      <c r="H677" t="s">
        <v>38</v>
      </c>
      <c r="I677">
        <v>941</v>
      </c>
      <c r="J677">
        <v>2</v>
      </c>
      <c r="K677" s="17" t="s">
        <v>46</v>
      </c>
      <c r="L677">
        <v>41</v>
      </c>
      <c r="M677">
        <v>2</v>
      </c>
      <c r="N677">
        <v>1</v>
      </c>
      <c r="O677" s="17" t="s">
        <v>57</v>
      </c>
      <c r="P677" s="14">
        <v>3</v>
      </c>
      <c r="Q677" t="s">
        <v>48</v>
      </c>
      <c r="R677" s="14">
        <v>2329</v>
      </c>
      <c r="S677" s="17" t="str">
        <f t="shared" si="20"/>
        <v>low</v>
      </c>
      <c r="T677">
        <v>11737</v>
      </c>
      <c r="U677">
        <v>3</v>
      </c>
      <c r="V677" s="17" t="s">
        <v>43</v>
      </c>
      <c r="W677">
        <v>15</v>
      </c>
      <c r="X677">
        <v>3</v>
      </c>
      <c r="Y677">
        <v>2</v>
      </c>
      <c r="Z677">
        <v>0</v>
      </c>
      <c r="AA677">
        <v>13</v>
      </c>
      <c r="AB677">
        <v>2</v>
      </c>
      <c r="AC677">
        <v>4</v>
      </c>
      <c r="AD677" s="14">
        <v>7</v>
      </c>
      <c r="AE677" t="str">
        <f t="shared" si="21"/>
        <v>6-10 years</v>
      </c>
      <c r="AF677" s="14">
        <v>7</v>
      </c>
      <c r="AG677" s="14">
        <v>5</v>
      </c>
      <c r="AH677" s="14">
        <v>2</v>
      </c>
    </row>
    <row r="678" spans="1:34" x14ac:dyDescent="0.3">
      <c r="A678" s="14">
        <v>35</v>
      </c>
      <c r="B678" s="17" t="s">
        <v>43</v>
      </c>
      <c r="C678" t="s">
        <v>36</v>
      </c>
      <c r="D678">
        <v>1137</v>
      </c>
      <c r="E678" s="17" t="s">
        <v>45</v>
      </c>
      <c r="F678">
        <v>21</v>
      </c>
      <c r="G678">
        <v>1</v>
      </c>
      <c r="H678" t="s">
        <v>38</v>
      </c>
      <c r="I678">
        <v>942</v>
      </c>
      <c r="J678">
        <v>4</v>
      </c>
      <c r="K678" s="17" t="s">
        <v>39</v>
      </c>
      <c r="L678">
        <v>51</v>
      </c>
      <c r="M678">
        <v>3</v>
      </c>
      <c r="N678">
        <v>2</v>
      </c>
      <c r="O678" s="17" t="s">
        <v>54</v>
      </c>
      <c r="P678" s="14">
        <v>4</v>
      </c>
      <c r="Q678" t="s">
        <v>48</v>
      </c>
      <c r="R678" s="14">
        <v>4014</v>
      </c>
      <c r="S678" s="17" t="str">
        <f t="shared" si="20"/>
        <v>medium</v>
      </c>
      <c r="T678">
        <v>19170</v>
      </c>
      <c r="U678">
        <v>1</v>
      </c>
      <c r="V678" s="17" t="s">
        <v>35</v>
      </c>
      <c r="W678">
        <v>25</v>
      </c>
      <c r="X678">
        <v>4</v>
      </c>
      <c r="Y678">
        <v>4</v>
      </c>
      <c r="Z678">
        <v>1</v>
      </c>
      <c r="AA678">
        <v>10</v>
      </c>
      <c r="AB678">
        <v>2</v>
      </c>
      <c r="AC678">
        <v>1</v>
      </c>
      <c r="AD678" s="14">
        <v>10</v>
      </c>
      <c r="AE678" t="str">
        <f t="shared" si="21"/>
        <v>6-10 years</v>
      </c>
      <c r="AF678" s="14">
        <v>6</v>
      </c>
      <c r="AG678" s="14">
        <v>0</v>
      </c>
      <c r="AH678" s="14">
        <v>7</v>
      </c>
    </row>
    <row r="679" spans="1:34" x14ac:dyDescent="0.3">
      <c r="A679" s="14">
        <v>49</v>
      </c>
      <c r="B679" s="17" t="s">
        <v>43</v>
      </c>
      <c r="C679" t="s">
        <v>36</v>
      </c>
      <c r="D679">
        <v>527</v>
      </c>
      <c r="E679" s="17" t="s">
        <v>45</v>
      </c>
      <c r="F679">
        <v>8</v>
      </c>
      <c r="G679">
        <v>2</v>
      </c>
      <c r="H679" t="s">
        <v>49</v>
      </c>
      <c r="I679">
        <v>944</v>
      </c>
      <c r="J679">
        <v>1</v>
      </c>
      <c r="K679" s="17" t="s">
        <v>39</v>
      </c>
      <c r="L679">
        <v>51</v>
      </c>
      <c r="M679">
        <v>3</v>
      </c>
      <c r="N679">
        <v>3</v>
      </c>
      <c r="O679" s="17" t="s">
        <v>50</v>
      </c>
      <c r="P679" s="14">
        <v>2</v>
      </c>
      <c r="Q679" t="s">
        <v>48</v>
      </c>
      <c r="R679" s="14">
        <v>7403</v>
      </c>
      <c r="S679" s="17" t="str">
        <f t="shared" si="20"/>
        <v>high</v>
      </c>
      <c r="T679">
        <v>22477</v>
      </c>
      <c r="U679">
        <v>4</v>
      </c>
      <c r="V679" s="17" t="s">
        <v>43</v>
      </c>
      <c r="W679">
        <v>11</v>
      </c>
      <c r="X679">
        <v>3</v>
      </c>
      <c r="Y679">
        <v>3</v>
      </c>
      <c r="Z679">
        <v>1</v>
      </c>
      <c r="AA679">
        <v>29</v>
      </c>
      <c r="AB679">
        <v>3</v>
      </c>
      <c r="AC679">
        <v>2</v>
      </c>
      <c r="AD679" s="14">
        <v>26</v>
      </c>
      <c r="AE679" t="str">
        <f t="shared" si="21"/>
        <v>10+ years</v>
      </c>
      <c r="AF679" s="14">
        <v>9</v>
      </c>
      <c r="AG679" s="14">
        <v>1</v>
      </c>
      <c r="AH679" s="14">
        <v>7</v>
      </c>
    </row>
    <row r="680" spans="1:34" x14ac:dyDescent="0.3">
      <c r="A680" s="14">
        <v>48</v>
      </c>
      <c r="B680" s="17" t="s">
        <v>43</v>
      </c>
      <c r="C680" t="s">
        <v>36</v>
      </c>
      <c r="D680">
        <v>1469</v>
      </c>
      <c r="E680" s="17" t="s">
        <v>45</v>
      </c>
      <c r="F680">
        <v>20</v>
      </c>
      <c r="G680">
        <v>4</v>
      </c>
      <c r="H680" t="s">
        <v>51</v>
      </c>
      <c r="I680">
        <v>945</v>
      </c>
      <c r="J680">
        <v>4</v>
      </c>
      <c r="K680" s="17" t="s">
        <v>46</v>
      </c>
      <c r="L680">
        <v>51</v>
      </c>
      <c r="M680">
        <v>3</v>
      </c>
      <c r="N680">
        <v>1</v>
      </c>
      <c r="O680" s="17" t="s">
        <v>47</v>
      </c>
      <c r="P680" s="14">
        <v>3</v>
      </c>
      <c r="Q680" t="s">
        <v>48</v>
      </c>
      <c r="R680" s="14">
        <v>2259</v>
      </c>
      <c r="S680" s="17" t="str">
        <f t="shared" si="20"/>
        <v>low</v>
      </c>
      <c r="T680">
        <v>5543</v>
      </c>
      <c r="U680">
        <v>4</v>
      </c>
      <c r="V680" s="17" t="s">
        <v>43</v>
      </c>
      <c r="W680">
        <v>17</v>
      </c>
      <c r="X680">
        <v>3</v>
      </c>
      <c r="Y680">
        <v>1</v>
      </c>
      <c r="Z680">
        <v>2</v>
      </c>
      <c r="AA680">
        <v>13</v>
      </c>
      <c r="AB680">
        <v>2</v>
      </c>
      <c r="AC680">
        <v>2</v>
      </c>
      <c r="AD680" s="14">
        <v>0</v>
      </c>
      <c r="AE680" t="str">
        <f t="shared" si="21"/>
        <v>0-2 years</v>
      </c>
      <c r="AF680" s="14">
        <v>0</v>
      </c>
      <c r="AG680" s="14">
        <v>0</v>
      </c>
      <c r="AH680" s="14">
        <v>0</v>
      </c>
    </row>
    <row r="681" spans="1:34" x14ac:dyDescent="0.3">
      <c r="A681" s="14">
        <v>31</v>
      </c>
      <c r="B681" s="17" t="s">
        <v>43</v>
      </c>
      <c r="C681" t="s">
        <v>55</v>
      </c>
      <c r="D681">
        <v>1188</v>
      </c>
      <c r="E681" s="17" t="s">
        <v>37</v>
      </c>
      <c r="F681">
        <v>20</v>
      </c>
      <c r="G681">
        <v>2</v>
      </c>
      <c r="H681" t="s">
        <v>59</v>
      </c>
      <c r="I681">
        <v>947</v>
      </c>
      <c r="J681">
        <v>4</v>
      </c>
      <c r="K681" s="17" t="s">
        <v>39</v>
      </c>
      <c r="L681">
        <v>45</v>
      </c>
      <c r="M681">
        <v>3</v>
      </c>
      <c r="N681">
        <v>2</v>
      </c>
      <c r="O681" s="17" t="s">
        <v>40</v>
      </c>
      <c r="P681" s="14">
        <v>3</v>
      </c>
      <c r="Q681" t="s">
        <v>48</v>
      </c>
      <c r="R681" s="14">
        <v>6932</v>
      </c>
      <c r="S681" s="17" t="str">
        <f t="shared" si="20"/>
        <v>medium</v>
      </c>
      <c r="T681">
        <v>24406</v>
      </c>
      <c r="U681">
        <v>1</v>
      </c>
      <c r="V681" s="17" t="s">
        <v>43</v>
      </c>
      <c r="W681">
        <v>13</v>
      </c>
      <c r="X681">
        <v>3</v>
      </c>
      <c r="Y681">
        <v>4</v>
      </c>
      <c r="Z681">
        <v>1</v>
      </c>
      <c r="AA681">
        <v>9</v>
      </c>
      <c r="AB681">
        <v>2</v>
      </c>
      <c r="AC681">
        <v>2</v>
      </c>
      <c r="AD681" s="14">
        <v>9</v>
      </c>
      <c r="AE681" t="str">
        <f t="shared" si="21"/>
        <v>6-10 years</v>
      </c>
      <c r="AF681" s="14">
        <v>8</v>
      </c>
      <c r="AG681" s="14">
        <v>0</v>
      </c>
      <c r="AH681" s="14">
        <v>0</v>
      </c>
    </row>
    <row r="682" spans="1:34" x14ac:dyDescent="0.3">
      <c r="A682" s="14">
        <v>36</v>
      </c>
      <c r="B682" s="17" t="s">
        <v>43</v>
      </c>
      <c r="C682" t="s">
        <v>36</v>
      </c>
      <c r="D682">
        <v>188</v>
      </c>
      <c r="E682" s="17" t="s">
        <v>45</v>
      </c>
      <c r="F682">
        <v>7</v>
      </c>
      <c r="G682">
        <v>4</v>
      </c>
      <c r="H682" t="s">
        <v>49</v>
      </c>
      <c r="I682">
        <v>949</v>
      </c>
      <c r="J682">
        <v>2</v>
      </c>
      <c r="K682" s="17" t="s">
        <v>46</v>
      </c>
      <c r="L682">
        <v>65</v>
      </c>
      <c r="M682">
        <v>3</v>
      </c>
      <c r="N682">
        <v>1</v>
      </c>
      <c r="O682" s="17" t="s">
        <v>47</v>
      </c>
      <c r="P682" s="14">
        <v>4</v>
      </c>
      <c r="Q682" t="s">
        <v>41</v>
      </c>
      <c r="R682" s="14">
        <v>4678</v>
      </c>
      <c r="S682" s="17" t="str">
        <f t="shared" si="20"/>
        <v>medium</v>
      </c>
      <c r="T682">
        <v>23293</v>
      </c>
      <c r="U682">
        <v>2</v>
      </c>
      <c r="V682" s="17" t="s">
        <v>43</v>
      </c>
      <c r="W682">
        <v>18</v>
      </c>
      <c r="X682">
        <v>3</v>
      </c>
      <c r="Y682">
        <v>3</v>
      </c>
      <c r="Z682">
        <v>0</v>
      </c>
      <c r="AA682">
        <v>8</v>
      </c>
      <c r="AB682">
        <v>6</v>
      </c>
      <c r="AC682">
        <v>3</v>
      </c>
      <c r="AD682" s="14">
        <v>6</v>
      </c>
      <c r="AE682" t="str">
        <f t="shared" si="21"/>
        <v>6-10 years</v>
      </c>
      <c r="AF682" s="14">
        <v>2</v>
      </c>
      <c r="AG682" s="14">
        <v>0</v>
      </c>
      <c r="AH682" s="14">
        <v>1</v>
      </c>
    </row>
    <row r="683" spans="1:34" x14ac:dyDescent="0.3">
      <c r="A683" s="14">
        <v>38</v>
      </c>
      <c r="B683" s="17" t="s">
        <v>43</v>
      </c>
      <c r="C683" t="s">
        <v>36</v>
      </c>
      <c r="D683">
        <v>1333</v>
      </c>
      <c r="E683" s="17" t="s">
        <v>45</v>
      </c>
      <c r="F683">
        <v>1</v>
      </c>
      <c r="G683">
        <v>3</v>
      </c>
      <c r="H683" t="s">
        <v>60</v>
      </c>
      <c r="I683">
        <v>950</v>
      </c>
      <c r="J683">
        <v>4</v>
      </c>
      <c r="K683" s="17" t="s">
        <v>39</v>
      </c>
      <c r="L683">
        <v>80</v>
      </c>
      <c r="M683">
        <v>3</v>
      </c>
      <c r="N683">
        <v>3</v>
      </c>
      <c r="O683" s="17" t="s">
        <v>58</v>
      </c>
      <c r="P683" s="14">
        <v>1</v>
      </c>
      <c r="Q683" t="s">
        <v>48</v>
      </c>
      <c r="R683" s="14">
        <v>13582</v>
      </c>
      <c r="S683" s="17" t="str">
        <f t="shared" si="20"/>
        <v>high</v>
      </c>
      <c r="T683">
        <v>16292</v>
      </c>
      <c r="U683">
        <v>1</v>
      </c>
      <c r="V683" s="17" t="s">
        <v>43</v>
      </c>
      <c r="W683">
        <v>13</v>
      </c>
      <c r="X683">
        <v>3</v>
      </c>
      <c r="Y683">
        <v>2</v>
      </c>
      <c r="Z683">
        <v>1</v>
      </c>
      <c r="AA683">
        <v>15</v>
      </c>
      <c r="AB683">
        <v>3</v>
      </c>
      <c r="AC683">
        <v>3</v>
      </c>
      <c r="AD683" s="14">
        <v>15</v>
      </c>
      <c r="AE683" t="str">
        <f t="shared" si="21"/>
        <v>10+ years</v>
      </c>
      <c r="AF683" s="14">
        <v>12</v>
      </c>
      <c r="AG683" s="14">
        <v>5</v>
      </c>
      <c r="AH683" s="14">
        <v>11</v>
      </c>
    </row>
    <row r="684" spans="1:34" x14ac:dyDescent="0.3">
      <c r="A684" s="14">
        <v>32</v>
      </c>
      <c r="B684" s="17" t="s">
        <v>43</v>
      </c>
      <c r="C684" t="s">
        <v>55</v>
      </c>
      <c r="D684">
        <v>1184</v>
      </c>
      <c r="E684" s="17" t="s">
        <v>45</v>
      </c>
      <c r="F684">
        <v>1</v>
      </c>
      <c r="G684">
        <v>3</v>
      </c>
      <c r="H684" t="s">
        <v>38</v>
      </c>
      <c r="I684">
        <v>951</v>
      </c>
      <c r="J684">
        <v>3</v>
      </c>
      <c r="K684" s="17" t="s">
        <v>39</v>
      </c>
      <c r="L684">
        <v>70</v>
      </c>
      <c r="M684">
        <v>2</v>
      </c>
      <c r="N684">
        <v>1</v>
      </c>
      <c r="O684" s="17" t="s">
        <v>50</v>
      </c>
      <c r="P684" s="14">
        <v>2</v>
      </c>
      <c r="Q684" t="s">
        <v>48</v>
      </c>
      <c r="R684" s="14">
        <v>2332</v>
      </c>
      <c r="S684" s="17" t="str">
        <f t="shared" si="20"/>
        <v>low</v>
      </c>
      <c r="T684">
        <v>3974</v>
      </c>
      <c r="U684">
        <v>6</v>
      </c>
      <c r="V684" s="17" t="s">
        <v>43</v>
      </c>
      <c r="W684">
        <v>20</v>
      </c>
      <c r="X684">
        <v>4</v>
      </c>
      <c r="Y684">
        <v>3</v>
      </c>
      <c r="Z684">
        <v>0</v>
      </c>
      <c r="AA684">
        <v>5</v>
      </c>
      <c r="AB684">
        <v>3</v>
      </c>
      <c r="AC684">
        <v>3</v>
      </c>
      <c r="AD684" s="14">
        <v>3</v>
      </c>
      <c r="AE684" t="str">
        <f t="shared" si="21"/>
        <v>3-5 years</v>
      </c>
      <c r="AF684" s="14">
        <v>0</v>
      </c>
      <c r="AG684" s="14">
        <v>0</v>
      </c>
      <c r="AH684" s="14">
        <v>2</v>
      </c>
    </row>
    <row r="685" spans="1:34" x14ac:dyDescent="0.3">
      <c r="A685" s="14">
        <v>25</v>
      </c>
      <c r="B685" s="17" t="s">
        <v>35</v>
      </c>
      <c r="C685" t="s">
        <v>36</v>
      </c>
      <c r="D685">
        <v>867</v>
      </c>
      <c r="E685" s="17" t="s">
        <v>37</v>
      </c>
      <c r="F685">
        <v>19</v>
      </c>
      <c r="G685">
        <v>2</v>
      </c>
      <c r="H685" t="s">
        <v>59</v>
      </c>
      <c r="I685">
        <v>952</v>
      </c>
      <c r="J685">
        <v>3</v>
      </c>
      <c r="K685" s="17" t="s">
        <v>46</v>
      </c>
      <c r="L685">
        <v>36</v>
      </c>
      <c r="M685">
        <v>2</v>
      </c>
      <c r="N685">
        <v>1</v>
      </c>
      <c r="O685" s="17" t="s">
        <v>57</v>
      </c>
      <c r="P685" s="14">
        <v>2</v>
      </c>
      <c r="Q685" t="s">
        <v>48</v>
      </c>
      <c r="R685" s="14">
        <v>2413</v>
      </c>
      <c r="S685" s="17" t="str">
        <f t="shared" si="20"/>
        <v>low</v>
      </c>
      <c r="T685">
        <v>18798</v>
      </c>
      <c r="U685">
        <v>1</v>
      </c>
      <c r="V685" s="17" t="s">
        <v>35</v>
      </c>
      <c r="W685">
        <v>18</v>
      </c>
      <c r="X685">
        <v>3</v>
      </c>
      <c r="Y685">
        <v>3</v>
      </c>
      <c r="Z685">
        <v>3</v>
      </c>
      <c r="AA685">
        <v>1</v>
      </c>
      <c r="AB685">
        <v>2</v>
      </c>
      <c r="AC685">
        <v>3</v>
      </c>
      <c r="AD685" s="14">
        <v>1</v>
      </c>
      <c r="AE685" t="str">
        <f t="shared" si="21"/>
        <v>0-2 years</v>
      </c>
      <c r="AF685" s="14">
        <v>0</v>
      </c>
      <c r="AG685" s="14">
        <v>0</v>
      </c>
      <c r="AH685" s="14">
        <v>0</v>
      </c>
    </row>
    <row r="686" spans="1:34" x14ac:dyDescent="0.3">
      <c r="A686" s="14">
        <v>40</v>
      </c>
      <c r="B686" s="17" t="s">
        <v>43</v>
      </c>
      <c r="C686" t="s">
        <v>36</v>
      </c>
      <c r="D686">
        <v>658</v>
      </c>
      <c r="E686" s="17" t="s">
        <v>37</v>
      </c>
      <c r="F686">
        <v>10</v>
      </c>
      <c r="G686">
        <v>4</v>
      </c>
      <c r="H686" t="s">
        <v>59</v>
      </c>
      <c r="I686">
        <v>954</v>
      </c>
      <c r="J686">
        <v>1</v>
      </c>
      <c r="K686" s="17" t="s">
        <v>46</v>
      </c>
      <c r="L686">
        <v>67</v>
      </c>
      <c r="M686">
        <v>2</v>
      </c>
      <c r="N686">
        <v>3</v>
      </c>
      <c r="O686" s="17" t="s">
        <v>40</v>
      </c>
      <c r="P686" s="14">
        <v>2</v>
      </c>
      <c r="Q686" t="s">
        <v>52</v>
      </c>
      <c r="R686" s="14">
        <v>9705</v>
      </c>
      <c r="S686" s="17" t="str">
        <f t="shared" si="20"/>
        <v>high</v>
      </c>
      <c r="T686">
        <v>20652</v>
      </c>
      <c r="U686">
        <v>2</v>
      </c>
      <c r="V686" s="17" t="s">
        <v>43</v>
      </c>
      <c r="W686">
        <v>12</v>
      </c>
      <c r="X686">
        <v>3</v>
      </c>
      <c r="Y686">
        <v>2</v>
      </c>
      <c r="Z686">
        <v>1</v>
      </c>
      <c r="AA686">
        <v>11</v>
      </c>
      <c r="AB686">
        <v>2</v>
      </c>
      <c r="AC686">
        <v>2</v>
      </c>
      <c r="AD686" s="14">
        <v>1</v>
      </c>
      <c r="AE686" t="str">
        <f t="shared" si="21"/>
        <v>0-2 years</v>
      </c>
      <c r="AF686" s="14">
        <v>0</v>
      </c>
      <c r="AG686" s="14">
        <v>0</v>
      </c>
      <c r="AH686" s="14">
        <v>0</v>
      </c>
    </row>
    <row r="687" spans="1:34" x14ac:dyDescent="0.3">
      <c r="A687" s="14">
        <v>26</v>
      </c>
      <c r="B687" s="17" t="s">
        <v>43</v>
      </c>
      <c r="C687" t="s">
        <v>44</v>
      </c>
      <c r="D687">
        <v>1283</v>
      </c>
      <c r="E687" s="17" t="s">
        <v>37</v>
      </c>
      <c r="F687">
        <v>1</v>
      </c>
      <c r="G687">
        <v>3</v>
      </c>
      <c r="H687" t="s">
        <v>51</v>
      </c>
      <c r="I687">
        <v>956</v>
      </c>
      <c r="J687">
        <v>3</v>
      </c>
      <c r="K687" s="17" t="s">
        <v>46</v>
      </c>
      <c r="L687">
        <v>52</v>
      </c>
      <c r="M687">
        <v>2</v>
      </c>
      <c r="N687">
        <v>2</v>
      </c>
      <c r="O687" s="17" t="s">
        <v>40</v>
      </c>
      <c r="P687" s="14">
        <v>1</v>
      </c>
      <c r="Q687" t="s">
        <v>41</v>
      </c>
      <c r="R687" s="14">
        <v>4294</v>
      </c>
      <c r="S687" s="17" t="str">
        <f t="shared" si="20"/>
        <v>medium</v>
      </c>
      <c r="T687">
        <v>11148</v>
      </c>
      <c r="U687">
        <v>1</v>
      </c>
      <c r="V687" s="17" t="s">
        <v>43</v>
      </c>
      <c r="W687">
        <v>12</v>
      </c>
      <c r="X687">
        <v>3</v>
      </c>
      <c r="Y687">
        <v>2</v>
      </c>
      <c r="Z687">
        <v>0</v>
      </c>
      <c r="AA687">
        <v>7</v>
      </c>
      <c r="AB687">
        <v>2</v>
      </c>
      <c r="AC687">
        <v>3</v>
      </c>
      <c r="AD687" s="14">
        <v>7</v>
      </c>
      <c r="AE687" t="str">
        <f t="shared" si="21"/>
        <v>6-10 years</v>
      </c>
      <c r="AF687" s="14">
        <v>7</v>
      </c>
      <c r="AG687" s="14">
        <v>0</v>
      </c>
      <c r="AH687" s="14">
        <v>7</v>
      </c>
    </row>
    <row r="688" spans="1:34" x14ac:dyDescent="0.3">
      <c r="A688" s="14">
        <v>41</v>
      </c>
      <c r="B688" s="17" t="s">
        <v>43</v>
      </c>
      <c r="C688" t="s">
        <v>36</v>
      </c>
      <c r="D688">
        <v>263</v>
      </c>
      <c r="E688" s="17" t="s">
        <v>45</v>
      </c>
      <c r="F688">
        <v>6</v>
      </c>
      <c r="G688">
        <v>3</v>
      </c>
      <c r="H688" t="s">
        <v>51</v>
      </c>
      <c r="I688">
        <v>957</v>
      </c>
      <c r="J688">
        <v>4</v>
      </c>
      <c r="K688" s="17" t="s">
        <v>46</v>
      </c>
      <c r="L688">
        <v>59</v>
      </c>
      <c r="M688">
        <v>3</v>
      </c>
      <c r="N688">
        <v>1</v>
      </c>
      <c r="O688" s="17" t="s">
        <v>50</v>
      </c>
      <c r="P688" s="14">
        <v>1</v>
      </c>
      <c r="Q688" t="s">
        <v>41</v>
      </c>
      <c r="R688" s="14">
        <v>4721</v>
      </c>
      <c r="S688" s="17" t="str">
        <f t="shared" si="20"/>
        <v>medium</v>
      </c>
      <c r="T688">
        <v>3119</v>
      </c>
      <c r="U688">
        <v>2</v>
      </c>
      <c r="V688" s="17" t="s">
        <v>35</v>
      </c>
      <c r="W688">
        <v>13</v>
      </c>
      <c r="X688">
        <v>3</v>
      </c>
      <c r="Y688">
        <v>3</v>
      </c>
      <c r="Z688">
        <v>0</v>
      </c>
      <c r="AA688">
        <v>20</v>
      </c>
      <c r="AB688">
        <v>3</v>
      </c>
      <c r="AC688">
        <v>3</v>
      </c>
      <c r="AD688" s="14">
        <v>18</v>
      </c>
      <c r="AE688" t="str">
        <f t="shared" si="21"/>
        <v>10+ years</v>
      </c>
      <c r="AF688" s="14">
        <v>13</v>
      </c>
      <c r="AG688" s="14">
        <v>2</v>
      </c>
      <c r="AH688" s="14">
        <v>17</v>
      </c>
    </row>
    <row r="689" spans="1:34" x14ac:dyDescent="0.3">
      <c r="A689" s="14">
        <v>36</v>
      </c>
      <c r="B689" s="17" t="s">
        <v>43</v>
      </c>
      <c r="C689" t="s">
        <v>36</v>
      </c>
      <c r="D689">
        <v>938</v>
      </c>
      <c r="E689" s="17" t="s">
        <v>45</v>
      </c>
      <c r="F689">
        <v>2</v>
      </c>
      <c r="G689">
        <v>4</v>
      </c>
      <c r="H689" t="s">
        <v>51</v>
      </c>
      <c r="I689">
        <v>958</v>
      </c>
      <c r="J689">
        <v>3</v>
      </c>
      <c r="K689" s="17" t="s">
        <v>46</v>
      </c>
      <c r="L689">
        <v>79</v>
      </c>
      <c r="M689">
        <v>3</v>
      </c>
      <c r="N689">
        <v>1</v>
      </c>
      <c r="O689" s="17" t="s">
        <v>50</v>
      </c>
      <c r="P689" s="14">
        <v>3</v>
      </c>
      <c r="Q689" t="s">
        <v>41</v>
      </c>
      <c r="R689" s="14">
        <v>2519</v>
      </c>
      <c r="S689" s="17" t="str">
        <f t="shared" si="20"/>
        <v>low</v>
      </c>
      <c r="T689">
        <v>12287</v>
      </c>
      <c r="U689">
        <v>4</v>
      </c>
      <c r="V689" s="17" t="s">
        <v>43</v>
      </c>
      <c r="W689">
        <v>21</v>
      </c>
      <c r="X689">
        <v>4</v>
      </c>
      <c r="Y689">
        <v>3</v>
      </c>
      <c r="Z689">
        <v>0</v>
      </c>
      <c r="AA689">
        <v>16</v>
      </c>
      <c r="AB689">
        <v>6</v>
      </c>
      <c r="AC689">
        <v>3</v>
      </c>
      <c r="AD689" s="14">
        <v>11</v>
      </c>
      <c r="AE689" t="str">
        <f t="shared" si="21"/>
        <v>10+ years</v>
      </c>
      <c r="AF689" s="14">
        <v>8</v>
      </c>
      <c r="AG689" s="14">
        <v>3</v>
      </c>
      <c r="AH689" s="14">
        <v>9</v>
      </c>
    </row>
    <row r="690" spans="1:34" x14ac:dyDescent="0.3">
      <c r="A690" s="14">
        <v>19</v>
      </c>
      <c r="B690" s="17" t="s">
        <v>35</v>
      </c>
      <c r="C690" t="s">
        <v>36</v>
      </c>
      <c r="D690">
        <v>419</v>
      </c>
      <c r="E690" s="17" t="s">
        <v>37</v>
      </c>
      <c r="F690">
        <v>21</v>
      </c>
      <c r="G690">
        <v>3</v>
      </c>
      <c r="H690" t="s">
        <v>49</v>
      </c>
      <c r="I690">
        <v>959</v>
      </c>
      <c r="J690">
        <v>4</v>
      </c>
      <c r="K690" s="17" t="s">
        <v>46</v>
      </c>
      <c r="L690">
        <v>37</v>
      </c>
      <c r="M690">
        <v>2</v>
      </c>
      <c r="N690">
        <v>1</v>
      </c>
      <c r="O690" s="17" t="s">
        <v>57</v>
      </c>
      <c r="P690" s="14">
        <v>2</v>
      </c>
      <c r="Q690" t="s">
        <v>41</v>
      </c>
      <c r="R690" s="14">
        <v>2121</v>
      </c>
      <c r="S690" s="17" t="str">
        <f t="shared" si="20"/>
        <v>low</v>
      </c>
      <c r="T690">
        <v>9947</v>
      </c>
      <c r="U690">
        <v>1</v>
      </c>
      <c r="V690" s="17" t="s">
        <v>35</v>
      </c>
      <c r="W690">
        <v>13</v>
      </c>
      <c r="X690">
        <v>3</v>
      </c>
      <c r="Y690">
        <v>2</v>
      </c>
      <c r="Z690">
        <v>0</v>
      </c>
      <c r="AA690">
        <v>1</v>
      </c>
      <c r="AB690">
        <v>3</v>
      </c>
      <c r="AC690">
        <v>4</v>
      </c>
      <c r="AD690" s="14">
        <v>1</v>
      </c>
      <c r="AE690" t="str">
        <f t="shared" si="21"/>
        <v>0-2 years</v>
      </c>
      <c r="AF690" s="14">
        <v>0</v>
      </c>
      <c r="AG690" s="14">
        <v>0</v>
      </c>
      <c r="AH690" s="14">
        <v>0</v>
      </c>
    </row>
    <row r="691" spans="1:34" x14ac:dyDescent="0.3">
      <c r="A691" s="14">
        <v>20</v>
      </c>
      <c r="B691" s="17" t="s">
        <v>35</v>
      </c>
      <c r="C691" t="s">
        <v>36</v>
      </c>
      <c r="D691">
        <v>129</v>
      </c>
      <c r="E691" s="17" t="s">
        <v>45</v>
      </c>
      <c r="F691">
        <v>4</v>
      </c>
      <c r="G691">
        <v>3</v>
      </c>
      <c r="H691" t="s">
        <v>60</v>
      </c>
      <c r="I691">
        <v>960</v>
      </c>
      <c r="J691">
        <v>1</v>
      </c>
      <c r="K691" s="17" t="s">
        <v>46</v>
      </c>
      <c r="L691">
        <v>84</v>
      </c>
      <c r="M691">
        <v>3</v>
      </c>
      <c r="N691">
        <v>1</v>
      </c>
      <c r="O691" s="17" t="s">
        <v>50</v>
      </c>
      <c r="P691" s="14">
        <v>1</v>
      </c>
      <c r="Q691" t="s">
        <v>41</v>
      </c>
      <c r="R691" s="14">
        <v>2973</v>
      </c>
      <c r="S691" s="17" t="str">
        <f t="shared" si="20"/>
        <v>low</v>
      </c>
      <c r="T691">
        <v>13008</v>
      </c>
      <c r="U691">
        <v>1</v>
      </c>
      <c r="V691" s="17" t="s">
        <v>43</v>
      </c>
      <c r="W691">
        <v>19</v>
      </c>
      <c r="X691">
        <v>3</v>
      </c>
      <c r="Y691">
        <v>2</v>
      </c>
      <c r="Z691">
        <v>0</v>
      </c>
      <c r="AA691">
        <v>1</v>
      </c>
      <c r="AB691">
        <v>2</v>
      </c>
      <c r="AC691">
        <v>3</v>
      </c>
      <c r="AD691" s="14">
        <v>1</v>
      </c>
      <c r="AE691" t="str">
        <f t="shared" si="21"/>
        <v>0-2 years</v>
      </c>
      <c r="AF691" s="14">
        <v>0</v>
      </c>
      <c r="AG691" s="14">
        <v>0</v>
      </c>
      <c r="AH691" s="14">
        <v>0</v>
      </c>
    </row>
    <row r="692" spans="1:34" x14ac:dyDescent="0.3">
      <c r="A692" s="14">
        <v>31</v>
      </c>
      <c r="B692" s="17" t="s">
        <v>43</v>
      </c>
      <c r="C692" t="s">
        <v>36</v>
      </c>
      <c r="D692">
        <v>616</v>
      </c>
      <c r="E692" s="17" t="s">
        <v>45</v>
      </c>
      <c r="F692">
        <v>12</v>
      </c>
      <c r="G692">
        <v>3</v>
      </c>
      <c r="H692" t="s">
        <v>51</v>
      </c>
      <c r="I692">
        <v>961</v>
      </c>
      <c r="J692">
        <v>4</v>
      </c>
      <c r="K692" s="17" t="s">
        <v>39</v>
      </c>
      <c r="L692">
        <v>41</v>
      </c>
      <c r="M692">
        <v>3</v>
      </c>
      <c r="N692">
        <v>2</v>
      </c>
      <c r="O692" s="17" t="s">
        <v>54</v>
      </c>
      <c r="P692" s="14">
        <v>4</v>
      </c>
      <c r="Q692" t="s">
        <v>48</v>
      </c>
      <c r="R692" s="14">
        <v>5855</v>
      </c>
      <c r="S692" s="17" t="str">
        <f t="shared" si="20"/>
        <v>medium</v>
      </c>
      <c r="T692">
        <v>17369</v>
      </c>
      <c r="U692">
        <v>0</v>
      </c>
      <c r="V692" s="17" t="s">
        <v>35</v>
      </c>
      <c r="W692">
        <v>11</v>
      </c>
      <c r="X692">
        <v>3</v>
      </c>
      <c r="Y692">
        <v>3</v>
      </c>
      <c r="Z692">
        <v>2</v>
      </c>
      <c r="AA692">
        <v>10</v>
      </c>
      <c r="AB692">
        <v>2</v>
      </c>
      <c r="AC692">
        <v>1</v>
      </c>
      <c r="AD692" s="14">
        <v>9</v>
      </c>
      <c r="AE692" t="str">
        <f t="shared" si="21"/>
        <v>6-10 years</v>
      </c>
      <c r="AF692" s="14">
        <v>7</v>
      </c>
      <c r="AG692" s="14">
        <v>8</v>
      </c>
      <c r="AH692" s="14">
        <v>5</v>
      </c>
    </row>
    <row r="693" spans="1:34" x14ac:dyDescent="0.3">
      <c r="A693" s="14">
        <v>40</v>
      </c>
      <c r="B693" s="17" t="s">
        <v>43</v>
      </c>
      <c r="C693" t="s">
        <v>44</v>
      </c>
      <c r="D693">
        <v>1469</v>
      </c>
      <c r="E693" s="17" t="s">
        <v>45</v>
      </c>
      <c r="F693">
        <v>9</v>
      </c>
      <c r="G693">
        <v>4</v>
      </c>
      <c r="H693" t="s">
        <v>51</v>
      </c>
      <c r="I693">
        <v>964</v>
      </c>
      <c r="J693">
        <v>4</v>
      </c>
      <c r="K693" s="17" t="s">
        <v>46</v>
      </c>
      <c r="L693">
        <v>35</v>
      </c>
      <c r="M693">
        <v>3</v>
      </c>
      <c r="N693">
        <v>1</v>
      </c>
      <c r="O693" s="17" t="s">
        <v>47</v>
      </c>
      <c r="P693" s="14">
        <v>2</v>
      </c>
      <c r="Q693" t="s">
        <v>52</v>
      </c>
      <c r="R693" s="14">
        <v>3617</v>
      </c>
      <c r="S693" s="17" t="str">
        <f t="shared" si="20"/>
        <v>medium</v>
      </c>
      <c r="T693">
        <v>25063</v>
      </c>
      <c r="U693">
        <v>8</v>
      </c>
      <c r="V693" s="17" t="s">
        <v>35</v>
      </c>
      <c r="W693">
        <v>14</v>
      </c>
      <c r="X693">
        <v>3</v>
      </c>
      <c r="Y693">
        <v>4</v>
      </c>
      <c r="Z693">
        <v>1</v>
      </c>
      <c r="AA693">
        <v>3</v>
      </c>
      <c r="AB693">
        <v>2</v>
      </c>
      <c r="AC693">
        <v>3</v>
      </c>
      <c r="AD693" s="14">
        <v>1</v>
      </c>
      <c r="AE693" t="str">
        <f t="shared" si="21"/>
        <v>0-2 years</v>
      </c>
      <c r="AF693" s="14">
        <v>1</v>
      </c>
      <c r="AG693" s="14">
        <v>0</v>
      </c>
      <c r="AH693" s="14">
        <v>0</v>
      </c>
    </row>
    <row r="694" spans="1:34" x14ac:dyDescent="0.3">
      <c r="A694" s="14">
        <v>32</v>
      </c>
      <c r="B694" s="17" t="s">
        <v>43</v>
      </c>
      <c r="C694" t="s">
        <v>36</v>
      </c>
      <c r="D694">
        <v>498</v>
      </c>
      <c r="E694" s="17" t="s">
        <v>45</v>
      </c>
      <c r="F694">
        <v>3</v>
      </c>
      <c r="G694">
        <v>4</v>
      </c>
      <c r="H694" t="s">
        <v>51</v>
      </c>
      <c r="I694">
        <v>966</v>
      </c>
      <c r="J694">
        <v>3</v>
      </c>
      <c r="K694" s="17" t="s">
        <v>39</v>
      </c>
      <c r="L694">
        <v>93</v>
      </c>
      <c r="M694">
        <v>3</v>
      </c>
      <c r="N694">
        <v>2</v>
      </c>
      <c r="O694" s="17" t="s">
        <v>53</v>
      </c>
      <c r="P694" s="14">
        <v>1</v>
      </c>
      <c r="Q694" t="s">
        <v>48</v>
      </c>
      <c r="R694" s="14">
        <v>6725</v>
      </c>
      <c r="S694" s="17" t="str">
        <f t="shared" si="20"/>
        <v>medium</v>
      </c>
      <c r="T694">
        <v>13554</v>
      </c>
      <c r="U694">
        <v>1</v>
      </c>
      <c r="V694" s="17" t="s">
        <v>43</v>
      </c>
      <c r="W694">
        <v>12</v>
      </c>
      <c r="X694">
        <v>3</v>
      </c>
      <c r="Y694">
        <v>3</v>
      </c>
      <c r="Z694">
        <v>1</v>
      </c>
      <c r="AA694">
        <v>8</v>
      </c>
      <c r="AB694">
        <v>2</v>
      </c>
      <c r="AC694">
        <v>4</v>
      </c>
      <c r="AD694" s="14">
        <v>8</v>
      </c>
      <c r="AE694" t="str">
        <f t="shared" si="21"/>
        <v>6-10 years</v>
      </c>
      <c r="AF694" s="14">
        <v>7</v>
      </c>
      <c r="AG694" s="14">
        <v>6</v>
      </c>
      <c r="AH694" s="14">
        <v>3</v>
      </c>
    </row>
    <row r="695" spans="1:34" x14ac:dyDescent="0.3">
      <c r="A695" s="14">
        <v>36</v>
      </c>
      <c r="B695" s="17" t="s">
        <v>35</v>
      </c>
      <c r="C695" t="s">
        <v>36</v>
      </c>
      <c r="D695">
        <v>530</v>
      </c>
      <c r="E695" s="17" t="s">
        <v>37</v>
      </c>
      <c r="F695">
        <v>3</v>
      </c>
      <c r="G695">
        <v>1</v>
      </c>
      <c r="H695" t="s">
        <v>38</v>
      </c>
      <c r="I695">
        <v>967</v>
      </c>
      <c r="J695">
        <v>3</v>
      </c>
      <c r="K695" s="17" t="s">
        <v>46</v>
      </c>
      <c r="L695">
        <v>51</v>
      </c>
      <c r="M695">
        <v>2</v>
      </c>
      <c r="N695">
        <v>3</v>
      </c>
      <c r="O695" s="17" t="s">
        <v>40</v>
      </c>
      <c r="P695" s="14">
        <v>4</v>
      </c>
      <c r="Q695" t="s">
        <v>48</v>
      </c>
      <c r="R695" s="14">
        <v>10325</v>
      </c>
      <c r="S695" s="17" t="str">
        <f t="shared" si="20"/>
        <v>high</v>
      </c>
      <c r="T695">
        <v>5518</v>
      </c>
      <c r="U695">
        <v>1</v>
      </c>
      <c r="V695" s="17" t="s">
        <v>35</v>
      </c>
      <c r="W695">
        <v>11</v>
      </c>
      <c r="X695">
        <v>3</v>
      </c>
      <c r="Y695">
        <v>1</v>
      </c>
      <c r="Z695">
        <v>1</v>
      </c>
      <c r="AA695">
        <v>16</v>
      </c>
      <c r="AB695">
        <v>6</v>
      </c>
      <c r="AC695">
        <v>3</v>
      </c>
      <c r="AD695" s="14">
        <v>16</v>
      </c>
      <c r="AE695" t="str">
        <f t="shared" si="21"/>
        <v>10+ years</v>
      </c>
      <c r="AF695" s="14">
        <v>7</v>
      </c>
      <c r="AG695" s="14">
        <v>3</v>
      </c>
      <c r="AH695" s="14">
        <v>7</v>
      </c>
    </row>
    <row r="696" spans="1:34" x14ac:dyDescent="0.3">
      <c r="A696" s="14">
        <v>33</v>
      </c>
      <c r="B696" s="17" t="s">
        <v>43</v>
      </c>
      <c r="C696" t="s">
        <v>36</v>
      </c>
      <c r="D696">
        <v>1069</v>
      </c>
      <c r="E696" s="17" t="s">
        <v>45</v>
      </c>
      <c r="F696">
        <v>1</v>
      </c>
      <c r="G696">
        <v>3</v>
      </c>
      <c r="H696" t="s">
        <v>38</v>
      </c>
      <c r="I696">
        <v>969</v>
      </c>
      <c r="J696">
        <v>2</v>
      </c>
      <c r="K696" s="17" t="s">
        <v>39</v>
      </c>
      <c r="L696">
        <v>42</v>
      </c>
      <c r="M696">
        <v>2</v>
      </c>
      <c r="N696">
        <v>2</v>
      </c>
      <c r="O696" s="17" t="s">
        <v>54</v>
      </c>
      <c r="P696" s="14">
        <v>4</v>
      </c>
      <c r="Q696" t="s">
        <v>41</v>
      </c>
      <c r="R696" s="14">
        <v>6949</v>
      </c>
      <c r="S696" s="17" t="str">
        <f t="shared" si="20"/>
        <v>medium</v>
      </c>
      <c r="T696">
        <v>12291</v>
      </c>
      <c r="U696">
        <v>0</v>
      </c>
      <c r="V696" s="17" t="s">
        <v>43</v>
      </c>
      <c r="W696">
        <v>14</v>
      </c>
      <c r="X696">
        <v>3</v>
      </c>
      <c r="Y696">
        <v>1</v>
      </c>
      <c r="Z696">
        <v>0</v>
      </c>
      <c r="AA696">
        <v>6</v>
      </c>
      <c r="AB696">
        <v>3</v>
      </c>
      <c r="AC696">
        <v>3</v>
      </c>
      <c r="AD696" s="14">
        <v>5</v>
      </c>
      <c r="AE696" t="str">
        <f t="shared" si="21"/>
        <v>3-5 years</v>
      </c>
      <c r="AF696" s="14">
        <v>0</v>
      </c>
      <c r="AG696" s="14">
        <v>1</v>
      </c>
      <c r="AH696" s="14">
        <v>4</v>
      </c>
    </row>
    <row r="697" spans="1:34" x14ac:dyDescent="0.3">
      <c r="A697" s="14">
        <v>37</v>
      </c>
      <c r="B697" s="17" t="s">
        <v>35</v>
      </c>
      <c r="C697" t="s">
        <v>36</v>
      </c>
      <c r="D697">
        <v>625</v>
      </c>
      <c r="E697" s="17" t="s">
        <v>37</v>
      </c>
      <c r="F697">
        <v>1</v>
      </c>
      <c r="G697">
        <v>4</v>
      </c>
      <c r="H697" t="s">
        <v>38</v>
      </c>
      <c r="I697">
        <v>970</v>
      </c>
      <c r="J697">
        <v>1</v>
      </c>
      <c r="K697" s="17" t="s">
        <v>46</v>
      </c>
      <c r="L697">
        <v>46</v>
      </c>
      <c r="M697">
        <v>2</v>
      </c>
      <c r="N697">
        <v>3</v>
      </c>
      <c r="O697" s="17" t="s">
        <v>40</v>
      </c>
      <c r="P697" s="14">
        <v>3</v>
      </c>
      <c r="Q697" t="s">
        <v>48</v>
      </c>
      <c r="R697" s="14">
        <v>10609</v>
      </c>
      <c r="S697" s="17" t="str">
        <f t="shared" si="20"/>
        <v>high</v>
      </c>
      <c r="T697">
        <v>14922</v>
      </c>
      <c r="U697">
        <v>5</v>
      </c>
      <c r="V697" s="17" t="s">
        <v>43</v>
      </c>
      <c r="W697">
        <v>11</v>
      </c>
      <c r="X697">
        <v>3</v>
      </c>
      <c r="Y697">
        <v>3</v>
      </c>
      <c r="Z697">
        <v>0</v>
      </c>
      <c r="AA697">
        <v>17</v>
      </c>
      <c r="AB697">
        <v>2</v>
      </c>
      <c r="AC697">
        <v>1</v>
      </c>
      <c r="AD697" s="14">
        <v>14</v>
      </c>
      <c r="AE697" t="str">
        <f t="shared" si="21"/>
        <v>10+ years</v>
      </c>
      <c r="AF697" s="14">
        <v>1</v>
      </c>
      <c r="AG697" s="14">
        <v>11</v>
      </c>
      <c r="AH697" s="14">
        <v>7</v>
      </c>
    </row>
    <row r="698" spans="1:34" x14ac:dyDescent="0.3">
      <c r="A698" s="14">
        <v>45</v>
      </c>
      <c r="B698" s="17" t="s">
        <v>43</v>
      </c>
      <c r="C698" t="s">
        <v>55</v>
      </c>
      <c r="D698">
        <v>805</v>
      </c>
      <c r="E698" s="17" t="s">
        <v>45</v>
      </c>
      <c r="F698">
        <v>4</v>
      </c>
      <c r="G698">
        <v>2</v>
      </c>
      <c r="H698" t="s">
        <v>38</v>
      </c>
      <c r="I698">
        <v>972</v>
      </c>
      <c r="J698">
        <v>3</v>
      </c>
      <c r="K698" s="17" t="s">
        <v>46</v>
      </c>
      <c r="L698">
        <v>57</v>
      </c>
      <c r="M698">
        <v>3</v>
      </c>
      <c r="N698">
        <v>2</v>
      </c>
      <c r="O698" s="17" t="s">
        <v>50</v>
      </c>
      <c r="P698" s="14">
        <v>2</v>
      </c>
      <c r="Q698" t="s">
        <v>48</v>
      </c>
      <c r="R698" s="14">
        <v>4447</v>
      </c>
      <c r="S698" s="17" t="str">
        <f t="shared" si="20"/>
        <v>medium</v>
      </c>
      <c r="T698">
        <v>23163</v>
      </c>
      <c r="U698">
        <v>1</v>
      </c>
      <c r="V698" s="17" t="s">
        <v>43</v>
      </c>
      <c r="W698">
        <v>12</v>
      </c>
      <c r="X698">
        <v>3</v>
      </c>
      <c r="Y698">
        <v>2</v>
      </c>
      <c r="Z698">
        <v>0</v>
      </c>
      <c r="AA698">
        <v>9</v>
      </c>
      <c r="AB698">
        <v>5</v>
      </c>
      <c r="AC698">
        <v>2</v>
      </c>
      <c r="AD698" s="14">
        <v>9</v>
      </c>
      <c r="AE698" t="str">
        <f t="shared" si="21"/>
        <v>6-10 years</v>
      </c>
      <c r="AF698" s="14">
        <v>7</v>
      </c>
      <c r="AG698" s="14">
        <v>0</v>
      </c>
      <c r="AH698" s="14">
        <v>8</v>
      </c>
    </row>
    <row r="699" spans="1:34" x14ac:dyDescent="0.3">
      <c r="A699" s="14">
        <v>29</v>
      </c>
      <c r="B699" s="17" t="s">
        <v>43</v>
      </c>
      <c r="C699" t="s">
        <v>44</v>
      </c>
      <c r="D699">
        <v>1404</v>
      </c>
      <c r="E699" s="17" t="s">
        <v>37</v>
      </c>
      <c r="F699">
        <v>20</v>
      </c>
      <c r="G699">
        <v>3</v>
      </c>
      <c r="H699" t="s">
        <v>60</v>
      </c>
      <c r="I699">
        <v>974</v>
      </c>
      <c r="J699">
        <v>3</v>
      </c>
      <c r="K699" s="17" t="s">
        <v>39</v>
      </c>
      <c r="L699">
        <v>84</v>
      </c>
      <c r="M699">
        <v>3</v>
      </c>
      <c r="N699">
        <v>1</v>
      </c>
      <c r="O699" s="17" t="s">
        <v>57</v>
      </c>
      <c r="P699" s="14">
        <v>4</v>
      </c>
      <c r="Q699" t="s">
        <v>48</v>
      </c>
      <c r="R699" s="14">
        <v>2157</v>
      </c>
      <c r="S699" s="17" t="str">
        <f t="shared" si="20"/>
        <v>low</v>
      </c>
      <c r="T699">
        <v>18203</v>
      </c>
      <c r="U699">
        <v>1</v>
      </c>
      <c r="V699" s="17" t="s">
        <v>43</v>
      </c>
      <c r="W699">
        <v>15</v>
      </c>
      <c r="X699">
        <v>3</v>
      </c>
      <c r="Y699">
        <v>2</v>
      </c>
      <c r="Z699">
        <v>1</v>
      </c>
      <c r="AA699">
        <v>3</v>
      </c>
      <c r="AB699">
        <v>5</v>
      </c>
      <c r="AC699">
        <v>3</v>
      </c>
      <c r="AD699" s="14">
        <v>3</v>
      </c>
      <c r="AE699" t="str">
        <f t="shared" si="21"/>
        <v>3-5 years</v>
      </c>
      <c r="AF699" s="14">
        <v>1</v>
      </c>
      <c r="AG699" s="14">
        <v>0</v>
      </c>
      <c r="AH699" s="14">
        <v>2</v>
      </c>
    </row>
    <row r="700" spans="1:34" x14ac:dyDescent="0.3">
      <c r="A700" s="14">
        <v>35</v>
      </c>
      <c r="B700" s="17" t="s">
        <v>43</v>
      </c>
      <c r="C700" t="s">
        <v>36</v>
      </c>
      <c r="D700">
        <v>1219</v>
      </c>
      <c r="E700" s="17" t="s">
        <v>37</v>
      </c>
      <c r="F700">
        <v>18</v>
      </c>
      <c r="G700">
        <v>3</v>
      </c>
      <c r="H700" t="s">
        <v>51</v>
      </c>
      <c r="I700">
        <v>975</v>
      </c>
      <c r="J700">
        <v>3</v>
      </c>
      <c r="K700" s="17" t="s">
        <v>39</v>
      </c>
      <c r="L700">
        <v>86</v>
      </c>
      <c r="M700">
        <v>3</v>
      </c>
      <c r="N700">
        <v>2</v>
      </c>
      <c r="O700" s="17" t="s">
        <v>40</v>
      </c>
      <c r="P700" s="14">
        <v>3</v>
      </c>
      <c r="Q700" t="s">
        <v>48</v>
      </c>
      <c r="R700" s="14">
        <v>4601</v>
      </c>
      <c r="S700" s="17" t="str">
        <f t="shared" si="20"/>
        <v>medium</v>
      </c>
      <c r="T700">
        <v>6179</v>
      </c>
      <c r="U700">
        <v>1</v>
      </c>
      <c r="V700" s="17" t="s">
        <v>43</v>
      </c>
      <c r="W700">
        <v>16</v>
      </c>
      <c r="X700">
        <v>3</v>
      </c>
      <c r="Y700">
        <v>2</v>
      </c>
      <c r="Z700">
        <v>0</v>
      </c>
      <c r="AA700">
        <v>5</v>
      </c>
      <c r="AB700">
        <v>3</v>
      </c>
      <c r="AC700">
        <v>3</v>
      </c>
      <c r="AD700" s="14">
        <v>5</v>
      </c>
      <c r="AE700" t="str">
        <f t="shared" si="21"/>
        <v>3-5 years</v>
      </c>
      <c r="AF700" s="14">
        <v>2</v>
      </c>
      <c r="AG700" s="14">
        <v>1</v>
      </c>
      <c r="AH700" s="14">
        <v>0</v>
      </c>
    </row>
    <row r="701" spans="1:34" x14ac:dyDescent="0.3">
      <c r="A701" s="14">
        <v>52</v>
      </c>
      <c r="B701" s="17" t="s">
        <v>43</v>
      </c>
      <c r="C701" t="s">
        <v>36</v>
      </c>
      <c r="D701">
        <v>1053</v>
      </c>
      <c r="E701" s="17" t="s">
        <v>45</v>
      </c>
      <c r="F701">
        <v>1</v>
      </c>
      <c r="G701">
        <v>2</v>
      </c>
      <c r="H701" t="s">
        <v>38</v>
      </c>
      <c r="I701">
        <v>976</v>
      </c>
      <c r="J701">
        <v>4</v>
      </c>
      <c r="K701" s="17" t="s">
        <v>46</v>
      </c>
      <c r="L701">
        <v>70</v>
      </c>
      <c r="M701">
        <v>3</v>
      </c>
      <c r="N701">
        <v>4</v>
      </c>
      <c r="O701" s="17" t="s">
        <v>56</v>
      </c>
      <c r="P701" s="14">
        <v>4</v>
      </c>
      <c r="Q701" t="s">
        <v>48</v>
      </c>
      <c r="R701" s="14">
        <v>17099</v>
      </c>
      <c r="S701" s="17" t="str">
        <f t="shared" si="20"/>
        <v>high</v>
      </c>
      <c r="T701">
        <v>13829</v>
      </c>
      <c r="U701">
        <v>2</v>
      </c>
      <c r="V701" s="17" t="s">
        <v>43</v>
      </c>
      <c r="W701">
        <v>15</v>
      </c>
      <c r="X701">
        <v>3</v>
      </c>
      <c r="Y701">
        <v>2</v>
      </c>
      <c r="Z701">
        <v>1</v>
      </c>
      <c r="AA701">
        <v>26</v>
      </c>
      <c r="AB701">
        <v>2</v>
      </c>
      <c r="AC701">
        <v>2</v>
      </c>
      <c r="AD701" s="14">
        <v>9</v>
      </c>
      <c r="AE701" t="str">
        <f t="shared" si="21"/>
        <v>6-10 years</v>
      </c>
      <c r="AF701" s="14">
        <v>8</v>
      </c>
      <c r="AG701" s="14">
        <v>7</v>
      </c>
      <c r="AH701" s="14">
        <v>8</v>
      </c>
    </row>
    <row r="702" spans="1:34" x14ac:dyDescent="0.3">
      <c r="A702" s="14">
        <v>58</v>
      </c>
      <c r="B702" s="17" t="s">
        <v>35</v>
      </c>
      <c r="C702" t="s">
        <v>36</v>
      </c>
      <c r="D702">
        <v>289</v>
      </c>
      <c r="E702" s="17" t="s">
        <v>45</v>
      </c>
      <c r="F702">
        <v>2</v>
      </c>
      <c r="G702">
        <v>3</v>
      </c>
      <c r="H702" t="s">
        <v>60</v>
      </c>
      <c r="I702">
        <v>977</v>
      </c>
      <c r="J702">
        <v>4</v>
      </c>
      <c r="K702" s="17" t="s">
        <v>46</v>
      </c>
      <c r="L702">
        <v>51</v>
      </c>
      <c r="M702">
        <v>3</v>
      </c>
      <c r="N702">
        <v>1</v>
      </c>
      <c r="O702" s="17" t="s">
        <v>47</v>
      </c>
      <c r="P702" s="14">
        <v>3</v>
      </c>
      <c r="Q702" t="s">
        <v>41</v>
      </c>
      <c r="R702" s="14">
        <v>2479</v>
      </c>
      <c r="S702" s="17" t="str">
        <f t="shared" si="20"/>
        <v>low</v>
      </c>
      <c r="T702">
        <v>26227</v>
      </c>
      <c r="U702">
        <v>4</v>
      </c>
      <c r="V702" s="17" t="s">
        <v>43</v>
      </c>
      <c r="W702">
        <v>24</v>
      </c>
      <c r="X702">
        <v>4</v>
      </c>
      <c r="Y702">
        <v>1</v>
      </c>
      <c r="Z702">
        <v>0</v>
      </c>
      <c r="AA702">
        <v>7</v>
      </c>
      <c r="AB702">
        <v>4</v>
      </c>
      <c r="AC702">
        <v>3</v>
      </c>
      <c r="AD702" s="14">
        <v>1</v>
      </c>
      <c r="AE702" t="str">
        <f t="shared" si="21"/>
        <v>0-2 years</v>
      </c>
      <c r="AF702" s="14">
        <v>0</v>
      </c>
      <c r="AG702" s="14">
        <v>0</v>
      </c>
      <c r="AH702" s="14">
        <v>0</v>
      </c>
    </row>
    <row r="703" spans="1:34" x14ac:dyDescent="0.3">
      <c r="A703" s="14">
        <v>53</v>
      </c>
      <c r="B703" s="17" t="s">
        <v>43</v>
      </c>
      <c r="C703" t="s">
        <v>36</v>
      </c>
      <c r="D703">
        <v>1376</v>
      </c>
      <c r="E703" s="17" t="s">
        <v>37</v>
      </c>
      <c r="F703">
        <v>2</v>
      </c>
      <c r="G703">
        <v>2</v>
      </c>
      <c r="H703" t="s">
        <v>51</v>
      </c>
      <c r="I703">
        <v>981</v>
      </c>
      <c r="J703">
        <v>3</v>
      </c>
      <c r="K703" s="17" t="s">
        <v>46</v>
      </c>
      <c r="L703">
        <v>45</v>
      </c>
      <c r="M703">
        <v>3</v>
      </c>
      <c r="N703">
        <v>4</v>
      </c>
      <c r="O703" s="17" t="s">
        <v>56</v>
      </c>
      <c r="P703" s="14">
        <v>3</v>
      </c>
      <c r="Q703" t="s">
        <v>52</v>
      </c>
      <c r="R703" s="14">
        <v>14852</v>
      </c>
      <c r="S703" s="17" t="str">
        <f t="shared" si="20"/>
        <v>high</v>
      </c>
      <c r="T703">
        <v>13938</v>
      </c>
      <c r="U703">
        <v>6</v>
      </c>
      <c r="V703" s="17" t="s">
        <v>43</v>
      </c>
      <c r="W703">
        <v>13</v>
      </c>
      <c r="X703">
        <v>3</v>
      </c>
      <c r="Y703">
        <v>3</v>
      </c>
      <c r="Z703">
        <v>1</v>
      </c>
      <c r="AA703">
        <v>22</v>
      </c>
      <c r="AB703">
        <v>3</v>
      </c>
      <c r="AC703">
        <v>4</v>
      </c>
      <c r="AD703" s="14">
        <v>17</v>
      </c>
      <c r="AE703" t="str">
        <f t="shared" si="21"/>
        <v>10+ years</v>
      </c>
      <c r="AF703" s="14">
        <v>13</v>
      </c>
      <c r="AG703" s="14">
        <v>15</v>
      </c>
      <c r="AH703" s="14">
        <v>2</v>
      </c>
    </row>
    <row r="704" spans="1:34" x14ac:dyDescent="0.3">
      <c r="A704" s="14">
        <v>30</v>
      </c>
      <c r="B704" s="17" t="s">
        <v>43</v>
      </c>
      <c r="C704" t="s">
        <v>36</v>
      </c>
      <c r="D704">
        <v>231</v>
      </c>
      <c r="E704" s="17" t="s">
        <v>37</v>
      </c>
      <c r="F704">
        <v>8</v>
      </c>
      <c r="G704">
        <v>2</v>
      </c>
      <c r="H704" t="s">
        <v>49</v>
      </c>
      <c r="I704">
        <v>982</v>
      </c>
      <c r="J704">
        <v>3</v>
      </c>
      <c r="K704" s="17" t="s">
        <v>46</v>
      </c>
      <c r="L704">
        <v>62</v>
      </c>
      <c r="M704">
        <v>3</v>
      </c>
      <c r="N704">
        <v>3</v>
      </c>
      <c r="O704" s="17" t="s">
        <v>40</v>
      </c>
      <c r="P704" s="14">
        <v>3</v>
      </c>
      <c r="Q704" t="s">
        <v>52</v>
      </c>
      <c r="R704" s="14">
        <v>7264</v>
      </c>
      <c r="S704" s="17" t="str">
        <f t="shared" si="20"/>
        <v>high</v>
      </c>
      <c r="T704">
        <v>9977</v>
      </c>
      <c r="U704">
        <v>5</v>
      </c>
      <c r="V704" s="17" t="s">
        <v>43</v>
      </c>
      <c r="W704">
        <v>11</v>
      </c>
      <c r="X704">
        <v>3</v>
      </c>
      <c r="Y704">
        <v>1</v>
      </c>
      <c r="Z704">
        <v>1</v>
      </c>
      <c r="AA704">
        <v>10</v>
      </c>
      <c r="AB704">
        <v>2</v>
      </c>
      <c r="AC704">
        <v>4</v>
      </c>
      <c r="AD704" s="14">
        <v>8</v>
      </c>
      <c r="AE704" t="str">
        <f t="shared" si="21"/>
        <v>6-10 years</v>
      </c>
      <c r="AF704" s="14">
        <v>4</v>
      </c>
      <c r="AG704" s="14">
        <v>7</v>
      </c>
      <c r="AH704" s="14">
        <v>7</v>
      </c>
    </row>
    <row r="705" spans="1:34" x14ac:dyDescent="0.3">
      <c r="A705" s="14">
        <v>38</v>
      </c>
      <c r="B705" s="17" t="s">
        <v>43</v>
      </c>
      <c r="C705" t="s">
        <v>55</v>
      </c>
      <c r="D705">
        <v>152</v>
      </c>
      <c r="E705" s="17" t="s">
        <v>37</v>
      </c>
      <c r="F705">
        <v>10</v>
      </c>
      <c r="G705">
        <v>3</v>
      </c>
      <c r="H705" t="s">
        <v>60</v>
      </c>
      <c r="I705">
        <v>983</v>
      </c>
      <c r="J705">
        <v>3</v>
      </c>
      <c r="K705" s="17" t="s">
        <v>39</v>
      </c>
      <c r="L705">
        <v>85</v>
      </c>
      <c r="M705">
        <v>3</v>
      </c>
      <c r="N705">
        <v>2</v>
      </c>
      <c r="O705" s="17" t="s">
        <v>40</v>
      </c>
      <c r="P705" s="14">
        <v>4</v>
      </c>
      <c r="Q705" t="s">
        <v>41</v>
      </c>
      <c r="R705" s="14">
        <v>5666</v>
      </c>
      <c r="S705" s="17" t="str">
        <f t="shared" si="20"/>
        <v>medium</v>
      </c>
      <c r="T705">
        <v>19899</v>
      </c>
      <c r="U705">
        <v>1</v>
      </c>
      <c r="V705" s="17" t="s">
        <v>35</v>
      </c>
      <c r="W705">
        <v>13</v>
      </c>
      <c r="X705">
        <v>3</v>
      </c>
      <c r="Y705">
        <v>2</v>
      </c>
      <c r="Z705">
        <v>0</v>
      </c>
      <c r="AA705">
        <v>6</v>
      </c>
      <c r="AB705">
        <v>1</v>
      </c>
      <c r="AC705">
        <v>3</v>
      </c>
      <c r="AD705" s="14">
        <v>5</v>
      </c>
      <c r="AE705" t="str">
        <f t="shared" si="21"/>
        <v>3-5 years</v>
      </c>
      <c r="AF705" s="14">
        <v>3</v>
      </c>
      <c r="AG705" s="14">
        <v>1</v>
      </c>
      <c r="AH705" s="14">
        <v>3</v>
      </c>
    </row>
    <row r="706" spans="1:34" x14ac:dyDescent="0.3">
      <c r="A706" s="14">
        <v>35</v>
      </c>
      <c r="B706" s="17" t="s">
        <v>43</v>
      </c>
      <c r="C706" t="s">
        <v>36</v>
      </c>
      <c r="D706">
        <v>882</v>
      </c>
      <c r="E706" s="17" t="s">
        <v>37</v>
      </c>
      <c r="F706">
        <v>3</v>
      </c>
      <c r="G706">
        <v>4</v>
      </c>
      <c r="H706" t="s">
        <v>38</v>
      </c>
      <c r="I706">
        <v>984</v>
      </c>
      <c r="J706">
        <v>4</v>
      </c>
      <c r="K706" s="17" t="s">
        <v>46</v>
      </c>
      <c r="L706">
        <v>92</v>
      </c>
      <c r="M706">
        <v>3</v>
      </c>
      <c r="N706">
        <v>3</v>
      </c>
      <c r="O706" s="17" t="s">
        <v>40</v>
      </c>
      <c r="P706" s="14">
        <v>4</v>
      </c>
      <c r="Q706" t="s">
        <v>52</v>
      </c>
      <c r="R706" s="14">
        <v>7823</v>
      </c>
      <c r="S706" s="17" t="str">
        <f t="shared" ref="S706:S769" si="22">IF(R706&lt;=3000, "low",IF(R706&lt;=7000,"medium","high"))</f>
        <v>high</v>
      </c>
      <c r="T706">
        <v>6812</v>
      </c>
      <c r="U706">
        <v>6</v>
      </c>
      <c r="V706" s="17" t="s">
        <v>43</v>
      </c>
      <c r="W706">
        <v>13</v>
      </c>
      <c r="X706">
        <v>3</v>
      </c>
      <c r="Y706">
        <v>2</v>
      </c>
      <c r="Z706">
        <v>1</v>
      </c>
      <c r="AA706">
        <v>12</v>
      </c>
      <c r="AB706">
        <v>2</v>
      </c>
      <c r="AC706">
        <v>3</v>
      </c>
      <c r="AD706" s="14">
        <v>10</v>
      </c>
      <c r="AE706" t="str">
        <f t="shared" ref="AE706:AE769" si="23">IF(AD706&lt;=2,"0-2 years", IF(AD706&lt;=5,"3-5 years", IF(AD706&lt;=10,"6-10 years","10+ years")))</f>
        <v>6-10 years</v>
      </c>
      <c r="AF706" s="14">
        <v>9</v>
      </c>
      <c r="AG706" s="14">
        <v>0</v>
      </c>
      <c r="AH706" s="14">
        <v>8</v>
      </c>
    </row>
    <row r="707" spans="1:34" x14ac:dyDescent="0.3">
      <c r="A707" s="14">
        <v>39</v>
      </c>
      <c r="B707" s="17" t="s">
        <v>43</v>
      </c>
      <c r="C707" t="s">
        <v>36</v>
      </c>
      <c r="D707">
        <v>903</v>
      </c>
      <c r="E707" s="17" t="s">
        <v>37</v>
      </c>
      <c r="F707">
        <v>2</v>
      </c>
      <c r="G707">
        <v>5</v>
      </c>
      <c r="H707" t="s">
        <v>38</v>
      </c>
      <c r="I707">
        <v>985</v>
      </c>
      <c r="J707">
        <v>1</v>
      </c>
      <c r="K707" s="17" t="s">
        <v>46</v>
      </c>
      <c r="L707">
        <v>41</v>
      </c>
      <c r="M707">
        <v>4</v>
      </c>
      <c r="N707">
        <v>3</v>
      </c>
      <c r="O707" s="17" t="s">
        <v>40</v>
      </c>
      <c r="P707" s="14">
        <v>3</v>
      </c>
      <c r="Q707" t="s">
        <v>41</v>
      </c>
      <c r="R707" s="14">
        <v>7880</v>
      </c>
      <c r="S707" s="17" t="str">
        <f t="shared" si="22"/>
        <v>high</v>
      </c>
      <c r="T707">
        <v>2560</v>
      </c>
      <c r="U707">
        <v>0</v>
      </c>
      <c r="V707" s="17" t="s">
        <v>43</v>
      </c>
      <c r="W707">
        <v>18</v>
      </c>
      <c r="X707">
        <v>3</v>
      </c>
      <c r="Y707">
        <v>4</v>
      </c>
      <c r="Z707">
        <v>0</v>
      </c>
      <c r="AA707">
        <v>9</v>
      </c>
      <c r="AB707">
        <v>3</v>
      </c>
      <c r="AC707">
        <v>3</v>
      </c>
      <c r="AD707" s="14">
        <v>8</v>
      </c>
      <c r="AE707" t="str">
        <f t="shared" si="23"/>
        <v>6-10 years</v>
      </c>
      <c r="AF707" s="14">
        <v>7</v>
      </c>
      <c r="AG707" s="14">
        <v>0</v>
      </c>
      <c r="AH707" s="14">
        <v>7</v>
      </c>
    </row>
    <row r="708" spans="1:34" x14ac:dyDescent="0.3">
      <c r="A708" s="14">
        <v>40</v>
      </c>
      <c r="B708" s="17" t="s">
        <v>35</v>
      </c>
      <c r="C708" t="s">
        <v>55</v>
      </c>
      <c r="D708">
        <v>1479</v>
      </c>
      <c r="E708" s="17" t="s">
        <v>37</v>
      </c>
      <c r="F708">
        <v>24</v>
      </c>
      <c r="G708">
        <v>3</v>
      </c>
      <c r="H708" t="s">
        <v>38</v>
      </c>
      <c r="I708">
        <v>986</v>
      </c>
      <c r="J708">
        <v>2</v>
      </c>
      <c r="K708" s="17" t="s">
        <v>39</v>
      </c>
      <c r="L708">
        <v>100</v>
      </c>
      <c r="M708">
        <v>4</v>
      </c>
      <c r="N708">
        <v>4</v>
      </c>
      <c r="O708" s="17" t="s">
        <v>40</v>
      </c>
      <c r="P708" s="14">
        <v>2</v>
      </c>
      <c r="Q708" t="s">
        <v>41</v>
      </c>
      <c r="R708" s="14">
        <v>13194</v>
      </c>
      <c r="S708" s="17" t="str">
        <f t="shared" si="22"/>
        <v>high</v>
      </c>
      <c r="T708">
        <v>17071</v>
      </c>
      <c r="U708">
        <v>4</v>
      </c>
      <c r="V708" s="17" t="s">
        <v>35</v>
      </c>
      <c r="W708">
        <v>16</v>
      </c>
      <c r="X708">
        <v>3</v>
      </c>
      <c r="Y708">
        <v>4</v>
      </c>
      <c r="Z708">
        <v>0</v>
      </c>
      <c r="AA708">
        <v>22</v>
      </c>
      <c r="AB708">
        <v>2</v>
      </c>
      <c r="AC708">
        <v>2</v>
      </c>
      <c r="AD708" s="14">
        <v>1</v>
      </c>
      <c r="AE708" t="str">
        <f t="shared" si="23"/>
        <v>0-2 years</v>
      </c>
      <c r="AF708" s="14">
        <v>0</v>
      </c>
      <c r="AG708" s="14">
        <v>0</v>
      </c>
      <c r="AH708" s="14">
        <v>0</v>
      </c>
    </row>
    <row r="709" spans="1:34" x14ac:dyDescent="0.3">
      <c r="A709" s="14">
        <v>47</v>
      </c>
      <c r="B709" s="17" t="s">
        <v>43</v>
      </c>
      <c r="C709" t="s">
        <v>44</v>
      </c>
      <c r="D709">
        <v>1379</v>
      </c>
      <c r="E709" s="17" t="s">
        <v>45</v>
      </c>
      <c r="F709">
        <v>16</v>
      </c>
      <c r="G709">
        <v>4</v>
      </c>
      <c r="H709" t="s">
        <v>51</v>
      </c>
      <c r="I709">
        <v>987</v>
      </c>
      <c r="J709">
        <v>3</v>
      </c>
      <c r="K709" s="17" t="s">
        <v>46</v>
      </c>
      <c r="L709">
        <v>64</v>
      </c>
      <c r="M709">
        <v>4</v>
      </c>
      <c r="N709">
        <v>2</v>
      </c>
      <c r="O709" s="17" t="s">
        <v>53</v>
      </c>
      <c r="P709" s="14">
        <v>3</v>
      </c>
      <c r="Q709" t="s">
        <v>52</v>
      </c>
      <c r="R709" s="14">
        <v>5067</v>
      </c>
      <c r="S709" s="17" t="str">
        <f t="shared" si="22"/>
        <v>medium</v>
      </c>
      <c r="T709">
        <v>6759</v>
      </c>
      <c r="U709">
        <v>1</v>
      </c>
      <c r="V709" s="17" t="s">
        <v>35</v>
      </c>
      <c r="W709">
        <v>19</v>
      </c>
      <c r="X709">
        <v>3</v>
      </c>
      <c r="Y709">
        <v>3</v>
      </c>
      <c r="Z709">
        <v>0</v>
      </c>
      <c r="AA709">
        <v>20</v>
      </c>
      <c r="AB709">
        <v>3</v>
      </c>
      <c r="AC709">
        <v>4</v>
      </c>
      <c r="AD709" s="14">
        <v>19</v>
      </c>
      <c r="AE709" t="str">
        <f t="shared" si="23"/>
        <v>10+ years</v>
      </c>
      <c r="AF709" s="14">
        <v>10</v>
      </c>
      <c r="AG709" s="14">
        <v>2</v>
      </c>
      <c r="AH709" s="14">
        <v>7</v>
      </c>
    </row>
    <row r="710" spans="1:34" x14ac:dyDescent="0.3">
      <c r="A710" s="14">
        <v>36</v>
      </c>
      <c r="B710" s="17" t="s">
        <v>43</v>
      </c>
      <c r="C710" t="s">
        <v>55</v>
      </c>
      <c r="D710">
        <v>1229</v>
      </c>
      <c r="E710" s="17" t="s">
        <v>37</v>
      </c>
      <c r="F710">
        <v>8</v>
      </c>
      <c r="G710">
        <v>4</v>
      </c>
      <c r="H710" t="s">
        <v>60</v>
      </c>
      <c r="I710">
        <v>990</v>
      </c>
      <c r="J710">
        <v>1</v>
      </c>
      <c r="K710" s="17" t="s">
        <v>46</v>
      </c>
      <c r="L710">
        <v>84</v>
      </c>
      <c r="M710">
        <v>3</v>
      </c>
      <c r="N710">
        <v>2</v>
      </c>
      <c r="O710" s="17" t="s">
        <v>40</v>
      </c>
      <c r="P710" s="14">
        <v>4</v>
      </c>
      <c r="Q710" t="s">
        <v>52</v>
      </c>
      <c r="R710" s="14">
        <v>5079</v>
      </c>
      <c r="S710" s="17" t="str">
        <f t="shared" si="22"/>
        <v>medium</v>
      </c>
      <c r="T710">
        <v>25952</v>
      </c>
      <c r="U710">
        <v>4</v>
      </c>
      <c r="V710" s="17" t="s">
        <v>43</v>
      </c>
      <c r="W710">
        <v>13</v>
      </c>
      <c r="X710">
        <v>3</v>
      </c>
      <c r="Y710">
        <v>4</v>
      </c>
      <c r="Z710">
        <v>2</v>
      </c>
      <c r="AA710">
        <v>12</v>
      </c>
      <c r="AB710">
        <v>3</v>
      </c>
      <c r="AC710">
        <v>3</v>
      </c>
      <c r="AD710" s="14">
        <v>7</v>
      </c>
      <c r="AE710" t="str">
        <f t="shared" si="23"/>
        <v>6-10 years</v>
      </c>
      <c r="AF710" s="14">
        <v>7</v>
      </c>
      <c r="AG710" s="14">
        <v>0</v>
      </c>
      <c r="AH710" s="14">
        <v>7</v>
      </c>
    </row>
    <row r="711" spans="1:34" x14ac:dyDescent="0.3">
      <c r="A711" s="14">
        <v>31</v>
      </c>
      <c r="B711" s="17" t="s">
        <v>35</v>
      </c>
      <c r="C711" t="s">
        <v>55</v>
      </c>
      <c r="D711">
        <v>335</v>
      </c>
      <c r="E711" s="17" t="s">
        <v>45</v>
      </c>
      <c r="F711">
        <v>9</v>
      </c>
      <c r="G711">
        <v>2</v>
      </c>
      <c r="H711" t="s">
        <v>51</v>
      </c>
      <c r="I711">
        <v>991</v>
      </c>
      <c r="J711">
        <v>3</v>
      </c>
      <c r="K711" s="17" t="s">
        <v>46</v>
      </c>
      <c r="L711">
        <v>46</v>
      </c>
      <c r="M711">
        <v>2</v>
      </c>
      <c r="N711">
        <v>1</v>
      </c>
      <c r="O711" s="17" t="s">
        <v>47</v>
      </c>
      <c r="P711" s="14">
        <v>1</v>
      </c>
      <c r="Q711" t="s">
        <v>41</v>
      </c>
      <c r="R711" s="14">
        <v>2321</v>
      </c>
      <c r="S711" s="17" t="str">
        <f t="shared" si="22"/>
        <v>low</v>
      </c>
      <c r="T711">
        <v>10322</v>
      </c>
      <c r="U711">
        <v>0</v>
      </c>
      <c r="V711" s="17" t="s">
        <v>35</v>
      </c>
      <c r="W711">
        <v>22</v>
      </c>
      <c r="X711">
        <v>4</v>
      </c>
      <c r="Y711">
        <v>1</v>
      </c>
      <c r="Z711">
        <v>0</v>
      </c>
      <c r="AA711">
        <v>4</v>
      </c>
      <c r="AB711">
        <v>0</v>
      </c>
      <c r="AC711">
        <v>3</v>
      </c>
      <c r="AD711" s="14">
        <v>3</v>
      </c>
      <c r="AE711" t="str">
        <f t="shared" si="23"/>
        <v>3-5 years</v>
      </c>
      <c r="AF711" s="14">
        <v>2</v>
      </c>
      <c r="AG711" s="14">
        <v>1</v>
      </c>
      <c r="AH711" s="14">
        <v>2</v>
      </c>
    </row>
    <row r="712" spans="1:34" x14ac:dyDescent="0.3">
      <c r="A712" s="14">
        <v>33</v>
      </c>
      <c r="B712" s="17" t="s">
        <v>43</v>
      </c>
      <c r="C712" t="s">
        <v>55</v>
      </c>
      <c r="D712">
        <v>722</v>
      </c>
      <c r="E712" s="17" t="s">
        <v>37</v>
      </c>
      <c r="F712">
        <v>17</v>
      </c>
      <c r="G712">
        <v>3</v>
      </c>
      <c r="H712" t="s">
        <v>38</v>
      </c>
      <c r="I712">
        <v>992</v>
      </c>
      <c r="J712">
        <v>4</v>
      </c>
      <c r="K712" s="17" t="s">
        <v>46</v>
      </c>
      <c r="L712">
        <v>38</v>
      </c>
      <c r="M712">
        <v>3</v>
      </c>
      <c r="N712">
        <v>4</v>
      </c>
      <c r="O712" s="17" t="s">
        <v>56</v>
      </c>
      <c r="P712" s="14">
        <v>3</v>
      </c>
      <c r="Q712" t="s">
        <v>41</v>
      </c>
      <c r="R712" s="14">
        <v>17444</v>
      </c>
      <c r="S712" s="17" t="str">
        <f t="shared" si="22"/>
        <v>high</v>
      </c>
      <c r="T712">
        <v>20489</v>
      </c>
      <c r="U712">
        <v>1</v>
      </c>
      <c r="V712" s="17" t="s">
        <v>43</v>
      </c>
      <c r="W712">
        <v>11</v>
      </c>
      <c r="X712">
        <v>3</v>
      </c>
      <c r="Y712">
        <v>4</v>
      </c>
      <c r="Z712">
        <v>0</v>
      </c>
      <c r="AA712">
        <v>10</v>
      </c>
      <c r="AB712">
        <v>2</v>
      </c>
      <c r="AC712">
        <v>3</v>
      </c>
      <c r="AD712" s="14">
        <v>10</v>
      </c>
      <c r="AE712" t="str">
        <f t="shared" si="23"/>
        <v>6-10 years</v>
      </c>
      <c r="AF712" s="14">
        <v>8</v>
      </c>
      <c r="AG712" s="14">
        <v>6</v>
      </c>
      <c r="AH712" s="14">
        <v>0</v>
      </c>
    </row>
    <row r="713" spans="1:34" x14ac:dyDescent="0.3">
      <c r="A713" s="14">
        <v>29</v>
      </c>
      <c r="B713" s="17" t="s">
        <v>35</v>
      </c>
      <c r="C713" t="s">
        <v>36</v>
      </c>
      <c r="D713">
        <v>906</v>
      </c>
      <c r="E713" s="17" t="s">
        <v>45</v>
      </c>
      <c r="F713">
        <v>10</v>
      </c>
      <c r="G713">
        <v>3</v>
      </c>
      <c r="H713" t="s">
        <v>38</v>
      </c>
      <c r="I713">
        <v>994</v>
      </c>
      <c r="J713">
        <v>4</v>
      </c>
      <c r="K713" s="17" t="s">
        <v>39</v>
      </c>
      <c r="L713">
        <v>92</v>
      </c>
      <c r="M713">
        <v>2</v>
      </c>
      <c r="N713">
        <v>1</v>
      </c>
      <c r="O713" s="17" t="s">
        <v>47</v>
      </c>
      <c r="P713" s="14">
        <v>1</v>
      </c>
      <c r="Q713" t="s">
        <v>41</v>
      </c>
      <c r="R713" s="14">
        <v>2404</v>
      </c>
      <c r="S713" s="17" t="str">
        <f t="shared" si="22"/>
        <v>low</v>
      </c>
      <c r="T713">
        <v>11479</v>
      </c>
      <c r="U713">
        <v>6</v>
      </c>
      <c r="V713" s="17" t="s">
        <v>35</v>
      </c>
      <c r="W713">
        <v>20</v>
      </c>
      <c r="X713">
        <v>4</v>
      </c>
      <c r="Y713">
        <v>3</v>
      </c>
      <c r="Z713">
        <v>0</v>
      </c>
      <c r="AA713">
        <v>3</v>
      </c>
      <c r="AB713">
        <v>5</v>
      </c>
      <c r="AC713">
        <v>3</v>
      </c>
      <c r="AD713" s="14">
        <v>0</v>
      </c>
      <c r="AE713" t="str">
        <f t="shared" si="23"/>
        <v>0-2 years</v>
      </c>
      <c r="AF713" s="14">
        <v>0</v>
      </c>
      <c r="AG713" s="14">
        <v>0</v>
      </c>
      <c r="AH713" s="14">
        <v>0</v>
      </c>
    </row>
    <row r="714" spans="1:34" x14ac:dyDescent="0.3">
      <c r="A714" s="14">
        <v>33</v>
      </c>
      <c r="B714" s="17" t="s">
        <v>43</v>
      </c>
      <c r="C714" t="s">
        <v>36</v>
      </c>
      <c r="D714">
        <v>461</v>
      </c>
      <c r="E714" s="17" t="s">
        <v>45</v>
      </c>
      <c r="F714">
        <v>13</v>
      </c>
      <c r="G714">
        <v>1</v>
      </c>
      <c r="H714" t="s">
        <v>38</v>
      </c>
      <c r="I714">
        <v>995</v>
      </c>
      <c r="J714">
        <v>2</v>
      </c>
      <c r="K714" s="17" t="s">
        <v>39</v>
      </c>
      <c r="L714">
        <v>53</v>
      </c>
      <c r="M714">
        <v>3</v>
      </c>
      <c r="N714">
        <v>1</v>
      </c>
      <c r="O714" s="17" t="s">
        <v>47</v>
      </c>
      <c r="P714" s="14">
        <v>4</v>
      </c>
      <c r="Q714" t="s">
        <v>41</v>
      </c>
      <c r="R714" s="14">
        <v>3452</v>
      </c>
      <c r="S714" s="17" t="str">
        <f t="shared" si="22"/>
        <v>medium</v>
      </c>
      <c r="T714">
        <v>17241</v>
      </c>
      <c r="U714">
        <v>3</v>
      </c>
      <c r="V714" s="17" t="s">
        <v>43</v>
      </c>
      <c r="W714">
        <v>18</v>
      </c>
      <c r="X714">
        <v>3</v>
      </c>
      <c r="Y714">
        <v>1</v>
      </c>
      <c r="Z714">
        <v>0</v>
      </c>
      <c r="AA714">
        <v>5</v>
      </c>
      <c r="AB714">
        <v>4</v>
      </c>
      <c r="AC714">
        <v>3</v>
      </c>
      <c r="AD714" s="14">
        <v>3</v>
      </c>
      <c r="AE714" t="str">
        <f t="shared" si="23"/>
        <v>3-5 years</v>
      </c>
      <c r="AF714" s="14">
        <v>2</v>
      </c>
      <c r="AG714" s="14">
        <v>0</v>
      </c>
      <c r="AH714" s="14">
        <v>2</v>
      </c>
    </row>
    <row r="715" spans="1:34" x14ac:dyDescent="0.3">
      <c r="A715" s="14">
        <v>45</v>
      </c>
      <c r="B715" s="17" t="s">
        <v>43</v>
      </c>
      <c r="C715" t="s">
        <v>36</v>
      </c>
      <c r="D715">
        <v>974</v>
      </c>
      <c r="E715" s="17" t="s">
        <v>45</v>
      </c>
      <c r="F715">
        <v>1</v>
      </c>
      <c r="G715">
        <v>4</v>
      </c>
      <c r="H715" t="s">
        <v>51</v>
      </c>
      <c r="I715">
        <v>996</v>
      </c>
      <c r="J715">
        <v>4</v>
      </c>
      <c r="K715" s="17" t="s">
        <v>39</v>
      </c>
      <c r="L715">
        <v>91</v>
      </c>
      <c r="M715">
        <v>3</v>
      </c>
      <c r="N715">
        <v>1</v>
      </c>
      <c r="O715" s="17" t="s">
        <v>50</v>
      </c>
      <c r="P715" s="14">
        <v>4</v>
      </c>
      <c r="Q715" t="s">
        <v>52</v>
      </c>
      <c r="R715" s="14">
        <v>2270</v>
      </c>
      <c r="S715" s="17" t="str">
        <f t="shared" si="22"/>
        <v>low</v>
      </c>
      <c r="T715">
        <v>11005</v>
      </c>
      <c r="U715">
        <v>3</v>
      </c>
      <c r="V715" s="17" t="s">
        <v>43</v>
      </c>
      <c r="W715">
        <v>14</v>
      </c>
      <c r="X715">
        <v>3</v>
      </c>
      <c r="Y715">
        <v>4</v>
      </c>
      <c r="Z715">
        <v>2</v>
      </c>
      <c r="AA715">
        <v>8</v>
      </c>
      <c r="AB715">
        <v>2</v>
      </c>
      <c r="AC715">
        <v>3</v>
      </c>
      <c r="AD715" s="14">
        <v>5</v>
      </c>
      <c r="AE715" t="str">
        <f t="shared" si="23"/>
        <v>3-5 years</v>
      </c>
      <c r="AF715" s="14">
        <v>3</v>
      </c>
      <c r="AG715" s="14">
        <v>0</v>
      </c>
      <c r="AH715" s="14">
        <v>2</v>
      </c>
    </row>
    <row r="716" spans="1:34" x14ac:dyDescent="0.3">
      <c r="A716" s="14">
        <v>50</v>
      </c>
      <c r="B716" s="17" t="s">
        <v>43</v>
      </c>
      <c r="C716" t="s">
        <v>36</v>
      </c>
      <c r="D716">
        <v>1126</v>
      </c>
      <c r="E716" s="17" t="s">
        <v>45</v>
      </c>
      <c r="F716">
        <v>1</v>
      </c>
      <c r="G716">
        <v>2</v>
      </c>
      <c r="H716" t="s">
        <v>51</v>
      </c>
      <c r="I716">
        <v>997</v>
      </c>
      <c r="J716">
        <v>4</v>
      </c>
      <c r="K716" s="17" t="s">
        <v>46</v>
      </c>
      <c r="L716">
        <v>66</v>
      </c>
      <c r="M716">
        <v>3</v>
      </c>
      <c r="N716">
        <v>4</v>
      </c>
      <c r="O716" s="17" t="s">
        <v>58</v>
      </c>
      <c r="P716" s="14">
        <v>4</v>
      </c>
      <c r="Q716" t="s">
        <v>52</v>
      </c>
      <c r="R716" s="14">
        <v>17399</v>
      </c>
      <c r="S716" s="17" t="str">
        <f t="shared" si="22"/>
        <v>high</v>
      </c>
      <c r="T716">
        <v>6615</v>
      </c>
      <c r="U716">
        <v>9</v>
      </c>
      <c r="V716" s="17" t="s">
        <v>43</v>
      </c>
      <c r="W716">
        <v>22</v>
      </c>
      <c r="X716">
        <v>4</v>
      </c>
      <c r="Y716">
        <v>3</v>
      </c>
      <c r="Z716">
        <v>1</v>
      </c>
      <c r="AA716">
        <v>32</v>
      </c>
      <c r="AB716">
        <v>1</v>
      </c>
      <c r="AC716">
        <v>2</v>
      </c>
      <c r="AD716" s="14">
        <v>5</v>
      </c>
      <c r="AE716" t="str">
        <f t="shared" si="23"/>
        <v>3-5 years</v>
      </c>
      <c r="AF716" s="14">
        <v>4</v>
      </c>
      <c r="AG716" s="14">
        <v>1</v>
      </c>
      <c r="AH716" s="14">
        <v>3</v>
      </c>
    </row>
    <row r="717" spans="1:34" x14ac:dyDescent="0.3">
      <c r="A717" s="14">
        <v>33</v>
      </c>
      <c r="B717" s="17" t="s">
        <v>43</v>
      </c>
      <c r="C717" t="s">
        <v>44</v>
      </c>
      <c r="D717">
        <v>827</v>
      </c>
      <c r="E717" s="17" t="s">
        <v>45</v>
      </c>
      <c r="F717">
        <v>1</v>
      </c>
      <c r="G717">
        <v>4</v>
      </c>
      <c r="H717" t="s">
        <v>49</v>
      </c>
      <c r="I717">
        <v>998</v>
      </c>
      <c r="J717">
        <v>3</v>
      </c>
      <c r="K717" s="17" t="s">
        <v>39</v>
      </c>
      <c r="L717">
        <v>84</v>
      </c>
      <c r="M717">
        <v>4</v>
      </c>
      <c r="N717">
        <v>2</v>
      </c>
      <c r="O717" s="17" t="s">
        <v>54</v>
      </c>
      <c r="P717" s="14">
        <v>2</v>
      </c>
      <c r="Q717" t="s">
        <v>48</v>
      </c>
      <c r="R717" s="14">
        <v>5488</v>
      </c>
      <c r="S717" s="17" t="str">
        <f t="shared" si="22"/>
        <v>medium</v>
      </c>
      <c r="T717">
        <v>20161</v>
      </c>
      <c r="U717">
        <v>1</v>
      </c>
      <c r="V717" s="17" t="s">
        <v>35</v>
      </c>
      <c r="W717">
        <v>13</v>
      </c>
      <c r="X717">
        <v>3</v>
      </c>
      <c r="Y717">
        <v>1</v>
      </c>
      <c r="Z717">
        <v>1</v>
      </c>
      <c r="AA717">
        <v>6</v>
      </c>
      <c r="AB717">
        <v>2</v>
      </c>
      <c r="AC717">
        <v>3</v>
      </c>
      <c r="AD717" s="14">
        <v>6</v>
      </c>
      <c r="AE717" t="str">
        <f t="shared" si="23"/>
        <v>6-10 years</v>
      </c>
      <c r="AF717" s="14">
        <v>5</v>
      </c>
      <c r="AG717" s="14">
        <v>1</v>
      </c>
      <c r="AH717" s="14">
        <v>2</v>
      </c>
    </row>
    <row r="718" spans="1:34" x14ac:dyDescent="0.3">
      <c r="A718" s="14">
        <v>41</v>
      </c>
      <c r="B718" s="17" t="s">
        <v>43</v>
      </c>
      <c r="C718" t="s">
        <v>44</v>
      </c>
      <c r="D718">
        <v>840</v>
      </c>
      <c r="E718" s="17" t="s">
        <v>45</v>
      </c>
      <c r="F718">
        <v>9</v>
      </c>
      <c r="G718">
        <v>3</v>
      </c>
      <c r="H718" t="s">
        <v>51</v>
      </c>
      <c r="I718">
        <v>999</v>
      </c>
      <c r="J718">
        <v>1</v>
      </c>
      <c r="K718" s="17" t="s">
        <v>46</v>
      </c>
      <c r="L718">
        <v>64</v>
      </c>
      <c r="M718">
        <v>3</v>
      </c>
      <c r="N718">
        <v>5</v>
      </c>
      <c r="O718" s="17" t="s">
        <v>58</v>
      </c>
      <c r="P718" s="14">
        <v>3</v>
      </c>
      <c r="Q718" t="s">
        <v>52</v>
      </c>
      <c r="R718" s="14">
        <v>19419</v>
      </c>
      <c r="S718" s="17" t="str">
        <f t="shared" si="22"/>
        <v>high</v>
      </c>
      <c r="T718">
        <v>3735</v>
      </c>
      <c r="U718">
        <v>2</v>
      </c>
      <c r="V718" s="17" t="s">
        <v>43</v>
      </c>
      <c r="W718">
        <v>17</v>
      </c>
      <c r="X718">
        <v>3</v>
      </c>
      <c r="Y718">
        <v>2</v>
      </c>
      <c r="Z718">
        <v>1</v>
      </c>
      <c r="AA718">
        <v>21</v>
      </c>
      <c r="AB718">
        <v>2</v>
      </c>
      <c r="AC718">
        <v>4</v>
      </c>
      <c r="AD718" s="14">
        <v>18</v>
      </c>
      <c r="AE718" t="str">
        <f t="shared" si="23"/>
        <v>10+ years</v>
      </c>
      <c r="AF718" s="14">
        <v>16</v>
      </c>
      <c r="AG718" s="14">
        <v>0</v>
      </c>
      <c r="AH718" s="14">
        <v>11</v>
      </c>
    </row>
    <row r="719" spans="1:34" x14ac:dyDescent="0.3">
      <c r="A719" s="14">
        <v>27</v>
      </c>
      <c r="B719" s="17" t="s">
        <v>43</v>
      </c>
      <c r="C719" t="s">
        <v>36</v>
      </c>
      <c r="D719">
        <v>1134</v>
      </c>
      <c r="E719" s="17" t="s">
        <v>45</v>
      </c>
      <c r="F719">
        <v>16</v>
      </c>
      <c r="G719">
        <v>4</v>
      </c>
      <c r="H719" t="s">
        <v>60</v>
      </c>
      <c r="I719">
        <v>1001</v>
      </c>
      <c r="J719">
        <v>3</v>
      </c>
      <c r="K719" s="17" t="s">
        <v>39</v>
      </c>
      <c r="L719">
        <v>37</v>
      </c>
      <c r="M719">
        <v>3</v>
      </c>
      <c r="N719">
        <v>1</v>
      </c>
      <c r="O719" s="17" t="s">
        <v>50</v>
      </c>
      <c r="P719" s="14">
        <v>2</v>
      </c>
      <c r="Q719" t="s">
        <v>48</v>
      </c>
      <c r="R719" s="14">
        <v>2811</v>
      </c>
      <c r="S719" s="17" t="str">
        <f t="shared" si="22"/>
        <v>low</v>
      </c>
      <c r="T719">
        <v>12086</v>
      </c>
      <c r="U719">
        <v>9</v>
      </c>
      <c r="V719" s="17" t="s">
        <v>43</v>
      </c>
      <c r="W719">
        <v>14</v>
      </c>
      <c r="X719">
        <v>3</v>
      </c>
      <c r="Y719">
        <v>2</v>
      </c>
      <c r="Z719">
        <v>1</v>
      </c>
      <c r="AA719">
        <v>4</v>
      </c>
      <c r="AB719">
        <v>2</v>
      </c>
      <c r="AC719">
        <v>3</v>
      </c>
      <c r="AD719" s="14">
        <v>2</v>
      </c>
      <c r="AE719" t="str">
        <f t="shared" si="23"/>
        <v>0-2 years</v>
      </c>
      <c r="AF719" s="14">
        <v>2</v>
      </c>
      <c r="AG719" s="14">
        <v>2</v>
      </c>
      <c r="AH719" s="14">
        <v>2</v>
      </c>
    </row>
    <row r="720" spans="1:34" x14ac:dyDescent="0.3">
      <c r="A720" s="14">
        <v>45</v>
      </c>
      <c r="B720" s="17" t="s">
        <v>43</v>
      </c>
      <c r="C720" t="s">
        <v>55</v>
      </c>
      <c r="D720">
        <v>248</v>
      </c>
      <c r="E720" s="17" t="s">
        <v>45</v>
      </c>
      <c r="F720">
        <v>23</v>
      </c>
      <c r="G720">
        <v>2</v>
      </c>
      <c r="H720" t="s">
        <v>38</v>
      </c>
      <c r="I720">
        <v>1002</v>
      </c>
      <c r="J720">
        <v>4</v>
      </c>
      <c r="K720" s="17" t="s">
        <v>46</v>
      </c>
      <c r="L720">
        <v>42</v>
      </c>
      <c r="M720">
        <v>3</v>
      </c>
      <c r="N720">
        <v>2</v>
      </c>
      <c r="O720" s="17" t="s">
        <v>50</v>
      </c>
      <c r="P720" s="14">
        <v>1</v>
      </c>
      <c r="Q720" t="s">
        <v>48</v>
      </c>
      <c r="R720" s="14">
        <v>3633</v>
      </c>
      <c r="S720" s="17" t="str">
        <f t="shared" si="22"/>
        <v>medium</v>
      </c>
      <c r="T720">
        <v>14039</v>
      </c>
      <c r="U720">
        <v>1</v>
      </c>
      <c r="V720" s="17" t="s">
        <v>35</v>
      </c>
      <c r="W720">
        <v>15</v>
      </c>
      <c r="X720">
        <v>3</v>
      </c>
      <c r="Y720">
        <v>3</v>
      </c>
      <c r="Z720">
        <v>1</v>
      </c>
      <c r="AA720">
        <v>9</v>
      </c>
      <c r="AB720">
        <v>2</v>
      </c>
      <c r="AC720">
        <v>3</v>
      </c>
      <c r="AD720" s="14">
        <v>9</v>
      </c>
      <c r="AE720" t="str">
        <f t="shared" si="23"/>
        <v>6-10 years</v>
      </c>
      <c r="AF720" s="14">
        <v>8</v>
      </c>
      <c r="AG720" s="14">
        <v>0</v>
      </c>
      <c r="AH720" s="14">
        <v>8</v>
      </c>
    </row>
    <row r="721" spans="1:34" x14ac:dyDescent="0.3">
      <c r="A721" s="14">
        <v>47</v>
      </c>
      <c r="B721" s="17" t="s">
        <v>43</v>
      </c>
      <c r="C721" t="s">
        <v>36</v>
      </c>
      <c r="D721">
        <v>955</v>
      </c>
      <c r="E721" s="17" t="s">
        <v>37</v>
      </c>
      <c r="F721">
        <v>4</v>
      </c>
      <c r="G721">
        <v>2</v>
      </c>
      <c r="H721" t="s">
        <v>38</v>
      </c>
      <c r="I721">
        <v>1003</v>
      </c>
      <c r="J721">
        <v>4</v>
      </c>
      <c r="K721" s="17" t="s">
        <v>39</v>
      </c>
      <c r="L721">
        <v>83</v>
      </c>
      <c r="M721">
        <v>3</v>
      </c>
      <c r="N721">
        <v>2</v>
      </c>
      <c r="O721" s="17" t="s">
        <v>40</v>
      </c>
      <c r="P721" s="14">
        <v>4</v>
      </c>
      <c r="Q721" t="s">
        <v>41</v>
      </c>
      <c r="R721" s="14">
        <v>4163</v>
      </c>
      <c r="S721" s="17" t="str">
        <f t="shared" si="22"/>
        <v>medium</v>
      </c>
      <c r="T721">
        <v>8571</v>
      </c>
      <c r="U721">
        <v>1</v>
      </c>
      <c r="V721" s="17" t="s">
        <v>35</v>
      </c>
      <c r="W721">
        <v>17</v>
      </c>
      <c r="X721">
        <v>3</v>
      </c>
      <c r="Y721">
        <v>3</v>
      </c>
      <c r="Z721">
        <v>0</v>
      </c>
      <c r="AA721">
        <v>9</v>
      </c>
      <c r="AB721">
        <v>0</v>
      </c>
      <c r="AC721">
        <v>3</v>
      </c>
      <c r="AD721" s="14">
        <v>9</v>
      </c>
      <c r="AE721" t="str">
        <f t="shared" si="23"/>
        <v>6-10 years</v>
      </c>
      <c r="AF721" s="14">
        <v>0</v>
      </c>
      <c r="AG721" s="14">
        <v>0</v>
      </c>
      <c r="AH721" s="14">
        <v>7</v>
      </c>
    </row>
    <row r="722" spans="1:34" x14ac:dyDescent="0.3">
      <c r="A722" s="14">
        <v>30</v>
      </c>
      <c r="B722" s="17" t="s">
        <v>35</v>
      </c>
      <c r="C722" t="s">
        <v>36</v>
      </c>
      <c r="D722">
        <v>138</v>
      </c>
      <c r="E722" s="17" t="s">
        <v>45</v>
      </c>
      <c r="F722">
        <v>22</v>
      </c>
      <c r="G722">
        <v>3</v>
      </c>
      <c r="H722" t="s">
        <v>38</v>
      </c>
      <c r="I722">
        <v>1004</v>
      </c>
      <c r="J722">
        <v>1</v>
      </c>
      <c r="K722" s="17" t="s">
        <v>39</v>
      </c>
      <c r="L722">
        <v>48</v>
      </c>
      <c r="M722">
        <v>3</v>
      </c>
      <c r="N722">
        <v>1</v>
      </c>
      <c r="O722" s="17" t="s">
        <v>47</v>
      </c>
      <c r="P722" s="14">
        <v>3</v>
      </c>
      <c r="Q722" t="s">
        <v>48</v>
      </c>
      <c r="R722" s="14">
        <v>2132</v>
      </c>
      <c r="S722" s="17" t="str">
        <f t="shared" si="22"/>
        <v>low</v>
      </c>
      <c r="T722">
        <v>11539</v>
      </c>
      <c r="U722">
        <v>4</v>
      </c>
      <c r="V722" s="17" t="s">
        <v>35</v>
      </c>
      <c r="W722">
        <v>11</v>
      </c>
      <c r="X722">
        <v>3</v>
      </c>
      <c r="Y722">
        <v>2</v>
      </c>
      <c r="Z722">
        <v>0</v>
      </c>
      <c r="AA722">
        <v>7</v>
      </c>
      <c r="AB722">
        <v>2</v>
      </c>
      <c r="AC722">
        <v>3</v>
      </c>
      <c r="AD722" s="14">
        <v>5</v>
      </c>
      <c r="AE722" t="str">
        <f t="shared" si="23"/>
        <v>3-5 years</v>
      </c>
      <c r="AF722" s="14">
        <v>2</v>
      </c>
      <c r="AG722" s="14">
        <v>0</v>
      </c>
      <c r="AH722" s="14">
        <v>1</v>
      </c>
    </row>
    <row r="723" spans="1:34" x14ac:dyDescent="0.3">
      <c r="A723" s="14">
        <v>50</v>
      </c>
      <c r="B723" s="17" t="s">
        <v>43</v>
      </c>
      <c r="C723" t="s">
        <v>36</v>
      </c>
      <c r="D723">
        <v>939</v>
      </c>
      <c r="E723" s="17" t="s">
        <v>45</v>
      </c>
      <c r="F723">
        <v>24</v>
      </c>
      <c r="G723">
        <v>3</v>
      </c>
      <c r="H723" t="s">
        <v>38</v>
      </c>
      <c r="I723">
        <v>1005</v>
      </c>
      <c r="J723">
        <v>4</v>
      </c>
      <c r="K723" s="17" t="s">
        <v>46</v>
      </c>
      <c r="L723">
        <v>95</v>
      </c>
      <c r="M723">
        <v>3</v>
      </c>
      <c r="N723">
        <v>4</v>
      </c>
      <c r="O723" s="17" t="s">
        <v>53</v>
      </c>
      <c r="P723" s="14">
        <v>3</v>
      </c>
      <c r="Q723" t="s">
        <v>48</v>
      </c>
      <c r="R723" s="14">
        <v>13973</v>
      </c>
      <c r="S723" s="17" t="str">
        <f t="shared" si="22"/>
        <v>high</v>
      </c>
      <c r="T723">
        <v>4161</v>
      </c>
      <c r="U723">
        <v>3</v>
      </c>
      <c r="V723" s="17" t="s">
        <v>35</v>
      </c>
      <c r="W723">
        <v>18</v>
      </c>
      <c r="X723">
        <v>3</v>
      </c>
      <c r="Y723">
        <v>4</v>
      </c>
      <c r="Z723">
        <v>1</v>
      </c>
      <c r="AA723">
        <v>22</v>
      </c>
      <c r="AB723">
        <v>2</v>
      </c>
      <c r="AC723">
        <v>3</v>
      </c>
      <c r="AD723" s="14">
        <v>12</v>
      </c>
      <c r="AE723" t="str">
        <f t="shared" si="23"/>
        <v>10+ years</v>
      </c>
      <c r="AF723" s="14">
        <v>11</v>
      </c>
      <c r="AG723" s="14">
        <v>1</v>
      </c>
      <c r="AH723" s="14">
        <v>5</v>
      </c>
    </row>
    <row r="724" spans="1:34" x14ac:dyDescent="0.3">
      <c r="A724" s="14">
        <v>38</v>
      </c>
      <c r="B724" s="17" t="s">
        <v>43</v>
      </c>
      <c r="C724" t="s">
        <v>44</v>
      </c>
      <c r="D724">
        <v>1391</v>
      </c>
      <c r="E724" s="17" t="s">
        <v>45</v>
      </c>
      <c r="F724">
        <v>10</v>
      </c>
      <c r="G724">
        <v>1</v>
      </c>
      <c r="H724" t="s">
        <v>51</v>
      </c>
      <c r="I724">
        <v>1006</v>
      </c>
      <c r="J724">
        <v>3</v>
      </c>
      <c r="K724" s="17" t="s">
        <v>46</v>
      </c>
      <c r="L724">
        <v>66</v>
      </c>
      <c r="M724">
        <v>3</v>
      </c>
      <c r="N724">
        <v>1</v>
      </c>
      <c r="O724" s="17" t="s">
        <v>47</v>
      </c>
      <c r="P724" s="14">
        <v>3</v>
      </c>
      <c r="Q724" t="s">
        <v>48</v>
      </c>
      <c r="R724" s="14">
        <v>2684</v>
      </c>
      <c r="S724" s="17" t="str">
        <f t="shared" si="22"/>
        <v>low</v>
      </c>
      <c r="T724">
        <v>12127</v>
      </c>
      <c r="U724">
        <v>0</v>
      </c>
      <c r="V724" s="17" t="s">
        <v>43</v>
      </c>
      <c r="W724">
        <v>17</v>
      </c>
      <c r="X724">
        <v>3</v>
      </c>
      <c r="Y724">
        <v>2</v>
      </c>
      <c r="Z724">
        <v>1</v>
      </c>
      <c r="AA724">
        <v>3</v>
      </c>
      <c r="AB724">
        <v>0</v>
      </c>
      <c r="AC724">
        <v>2</v>
      </c>
      <c r="AD724" s="14">
        <v>2</v>
      </c>
      <c r="AE724" t="str">
        <f t="shared" si="23"/>
        <v>0-2 years</v>
      </c>
      <c r="AF724" s="14">
        <v>1</v>
      </c>
      <c r="AG724" s="14">
        <v>0</v>
      </c>
      <c r="AH724" s="14">
        <v>2</v>
      </c>
    </row>
    <row r="725" spans="1:34" x14ac:dyDescent="0.3">
      <c r="A725" s="14">
        <v>46</v>
      </c>
      <c r="B725" s="17" t="s">
        <v>43</v>
      </c>
      <c r="C725" t="s">
        <v>36</v>
      </c>
      <c r="D725">
        <v>566</v>
      </c>
      <c r="E725" s="17" t="s">
        <v>45</v>
      </c>
      <c r="F725">
        <v>7</v>
      </c>
      <c r="G725">
        <v>2</v>
      </c>
      <c r="H725" t="s">
        <v>51</v>
      </c>
      <c r="I725">
        <v>1007</v>
      </c>
      <c r="J725">
        <v>4</v>
      </c>
      <c r="K725" s="17" t="s">
        <v>46</v>
      </c>
      <c r="L725">
        <v>75</v>
      </c>
      <c r="M725">
        <v>3</v>
      </c>
      <c r="N725">
        <v>3</v>
      </c>
      <c r="O725" s="17" t="s">
        <v>53</v>
      </c>
      <c r="P725" s="14">
        <v>3</v>
      </c>
      <c r="Q725" t="s">
        <v>52</v>
      </c>
      <c r="R725" s="14">
        <v>10845</v>
      </c>
      <c r="S725" s="17" t="str">
        <f t="shared" si="22"/>
        <v>high</v>
      </c>
      <c r="T725">
        <v>24208</v>
      </c>
      <c r="U725">
        <v>6</v>
      </c>
      <c r="V725" s="17" t="s">
        <v>43</v>
      </c>
      <c r="W725">
        <v>13</v>
      </c>
      <c r="X725">
        <v>3</v>
      </c>
      <c r="Y725">
        <v>2</v>
      </c>
      <c r="Z725">
        <v>1</v>
      </c>
      <c r="AA725">
        <v>13</v>
      </c>
      <c r="AB725">
        <v>3</v>
      </c>
      <c r="AC725">
        <v>3</v>
      </c>
      <c r="AD725" s="14">
        <v>8</v>
      </c>
      <c r="AE725" t="str">
        <f t="shared" si="23"/>
        <v>6-10 years</v>
      </c>
      <c r="AF725" s="14">
        <v>7</v>
      </c>
      <c r="AG725" s="14">
        <v>0</v>
      </c>
      <c r="AH725" s="14">
        <v>7</v>
      </c>
    </row>
    <row r="726" spans="1:34" x14ac:dyDescent="0.3">
      <c r="A726" s="14">
        <v>24</v>
      </c>
      <c r="B726" s="17" t="s">
        <v>43</v>
      </c>
      <c r="C726" t="s">
        <v>36</v>
      </c>
      <c r="D726">
        <v>1206</v>
      </c>
      <c r="E726" s="17" t="s">
        <v>45</v>
      </c>
      <c r="F726">
        <v>17</v>
      </c>
      <c r="G726">
        <v>1</v>
      </c>
      <c r="H726" t="s">
        <v>51</v>
      </c>
      <c r="I726">
        <v>1009</v>
      </c>
      <c r="J726">
        <v>4</v>
      </c>
      <c r="K726" s="17" t="s">
        <v>39</v>
      </c>
      <c r="L726">
        <v>41</v>
      </c>
      <c r="M726">
        <v>2</v>
      </c>
      <c r="N726">
        <v>2</v>
      </c>
      <c r="O726" s="17" t="s">
        <v>53</v>
      </c>
      <c r="P726" s="14">
        <v>3</v>
      </c>
      <c r="Q726" t="s">
        <v>52</v>
      </c>
      <c r="R726" s="14">
        <v>4377</v>
      </c>
      <c r="S726" s="17" t="str">
        <f t="shared" si="22"/>
        <v>medium</v>
      </c>
      <c r="T726">
        <v>24117</v>
      </c>
      <c r="U726">
        <v>1</v>
      </c>
      <c r="V726" s="17" t="s">
        <v>43</v>
      </c>
      <c r="W726">
        <v>15</v>
      </c>
      <c r="X726">
        <v>3</v>
      </c>
      <c r="Y726">
        <v>2</v>
      </c>
      <c r="Z726">
        <v>2</v>
      </c>
      <c r="AA726">
        <v>5</v>
      </c>
      <c r="AB726">
        <v>6</v>
      </c>
      <c r="AC726">
        <v>3</v>
      </c>
      <c r="AD726" s="14">
        <v>4</v>
      </c>
      <c r="AE726" t="str">
        <f t="shared" si="23"/>
        <v>3-5 years</v>
      </c>
      <c r="AF726" s="14">
        <v>2</v>
      </c>
      <c r="AG726" s="14">
        <v>3</v>
      </c>
      <c r="AH726" s="14">
        <v>2</v>
      </c>
    </row>
    <row r="727" spans="1:34" x14ac:dyDescent="0.3">
      <c r="A727" s="14">
        <v>35</v>
      </c>
      <c r="B727" s="17" t="s">
        <v>35</v>
      </c>
      <c r="C727" t="s">
        <v>36</v>
      </c>
      <c r="D727">
        <v>622</v>
      </c>
      <c r="E727" s="17" t="s">
        <v>45</v>
      </c>
      <c r="F727">
        <v>14</v>
      </c>
      <c r="G727">
        <v>4</v>
      </c>
      <c r="H727" t="s">
        <v>49</v>
      </c>
      <c r="I727">
        <v>1010</v>
      </c>
      <c r="J727">
        <v>3</v>
      </c>
      <c r="K727" s="17" t="s">
        <v>46</v>
      </c>
      <c r="L727">
        <v>39</v>
      </c>
      <c r="M727">
        <v>2</v>
      </c>
      <c r="N727">
        <v>1</v>
      </c>
      <c r="O727" s="17" t="s">
        <v>50</v>
      </c>
      <c r="P727" s="14">
        <v>2</v>
      </c>
      <c r="Q727" t="s">
        <v>52</v>
      </c>
      <c r="R727" s="14">
        <v>3743</v>
      </c>
      <c r="S727" s="17" t="str">
        <f t="shared" si="22"/>
        <v>medium</v>
      </c>
      <c r="T727">
        <v>10074</v>
      </c>
      <c r="U727">
        <v>1</v>
      </c>
      <c r="V727" s="17" t="s">
        <v>35</v>
      </c>
      <c r="W727">
        <v>24</v>
      </c>
      <c r="X727">
        <v>4</v>
      </c>
      <c r="Y727">
        <v>4</v>
      </c>
      <c r="Z727">
        <v>1</v>
      </c>
      <c r="AA727">
        <v>5</v>
      </c>
      <c r="AB727">
        <v>2</v>
      </c>
      <c r="AC727">
        <v>1</v>
      </c>
      <c r="AD727" s="14">
        <v>4</v>
      </c>
      <c r="AE727" t="str">
        <f t="shared" si="23"/>
        <v>3-5 years</v>
      </c>
      <c r="AF727" s="14">
        <v>2</v>
      </c>
      <c r="AG727" s="14">
        <v>0</v>
      </c>
      <c r="AH727" s="14">
        <v>2</v>
      </c>
    </row>
    <row r="728" spans="1:34" x14ac:dyDescent="0.3">
      <c r="A728" s="14">
        <v>31</v>
      </c>
      <c r="B728" s="17" t="s">
        <v>43</v>
      </c>
      <c r="C728" t="s">
        <v>44</v>
      </c>
      <c r="D728">
        <v>853</v>
      </c>
      <c r="E728" s="17" t="s">
        <v>45</v>
      </c>
      <c r="F728">
        <v>1</v>
      </c>
      <c r="G728">
        <v>1</v>
      </c>
      <c r="H728" t="s">
        <v>38</v>
      </c>
      <c r="I728">
        <v>1011</v>
      </c>
      <c r="J728">
        <v>3</v>
      </c>
      <c r="K728" s="17" t="s">
        <v>39</v>
      </c>
      <c r="L728">
        <v>96</v>
      </c>
      <c r="M728">
        <v>3</v>
      </c>
      <c r="N728">
        <v>2</v>
      </c>
      <c r="O728" s="17" t="s">
        <v>53</v>
      </c>
      <c r="P728" s="14">
        <v>1</v>
      </c>
      <c r="Q728" t="s">
        <v>48</v>
      </c>
      <c r="R728" s="14">
        <v>4148</v>
      </c>
      <c r="S728" s="17" t="str">
        <f t="shared" si="22"/>
        <v>medium</v>
      </c>
      <c r="T728">
        <v>11275</v>
      </c>
      <c r="U728">
        <v>1</v>
      </c>
      <c r="V728" s="17" t="s">
        <v>43</v>
      </c>
      <c r="W728">
        <v>12</v>
      </c>
      <c r="X728">
        <v>3</v>
      </c>
      <c r="Y728">
        <v>3</v>
      </c>
      <c r="Z728">
        <v>1</v>
      </c>
      <c r="AA728">
        <v>4</v>
      </c>
      <c r="AB728">
        <v>1</v>
      </c>
      <c r="AC728">
        <v>3</v>
      </c>
      <c r="AD728" s="14">
        <v>4</v>
      </c>
      <c r="AE728" t="str">
        <f t="shared" si="23"/>
        <v>3-5 years</v>
      </c>
      <c r="AF728" s="14">
        <v>3</v>
      </c>
      <c r="AG728" s="14">
        <v>0</v>
      </c>
      <c r="AH728" s="14">
        <v>3</v>
      </c>
    </row>
    <row r="729" spans="1:34" x14ac:dyDescent="0.3">
      <c r="A729" s="14">
        <v>18</v>
      </c>
      <c r="B729" s="17" t="s">
        <v>43</v>
      </c>
      <c r="C729" t="s">
        <v>55</v>
      </c>
      <c r="D729">
        <v>287</v>
      </c>
      <c r="E729" s="17" t="s">
        <v>45</v>
      </c>
      <c r="F729">
        <v>5</v>
      </c>
      <c r="G729">
        <v>2</v>
      </c>
      <c r="H729" t="s">
        <v>38</v>
      </c>
      <c r="I729">
        <v>1012</v>
      </c>
      <c r="J729">
        <v>2</v>
      </c>
      <c r="K729" s="17" t="s">
        <v>46</v>
      </c>
      <c r="L729">
        <v>73</v>
      </c>
      <c r="M729">
        <v>3</v>
      </c>
      <c r="N729">
        <v>1</v>
      </c>
      <c r="O729" s="17" t="s">
        <v>47</v>
      </c>
      <c r="P729" s="14">
        <v>4</v>
      </c>
      <c r="Q729" t="s">
        <v>41</v>
      </c>
      <c r="R729" s="14">
        <v>1051</v>
      </c>
      <c r="S729" s="17" t="str">
        <f t="shared" si="22"/>
        <v>low</v>
      </c>
      <c r="T729">
        <v>13493</v>
      </c>
      <c r="U729">
        <v>1</v>
      </c>
      <c r="V729" s="17" t="s">
        <v>43</v>
      </c>
      <c r="W729">
        <v>15</v>
      </c>
      <c r="X729">
        <v>3</v>
      </c>
      <c r="Y729">
        <v>4</v>
      </c>
      <c r="Z729">
        <v>0</v>
      </c>
      <c r="AA729">
        <v>0</v>
      </c>
      <c r="AB729">
        <v>2</v>
      </c>
      <c r="AC729">
        <v>3</v>
      </c>
      <c r="AD729" s="14">
        <v>0</v>
      </c>
      <c r="AE729" t="str">
        <f t="shared" si="23"/>
        <v>0-2 years</v>
      </c>
      <c r="AF729" s="14">
        <v>0</v>
      </c>
      <c r="AG729" s="14">
        <v>0</v>
      </c>
      <c r="AH729" s="14">
        <v>0</v>
      </c>
    </row>
    <row r="730" spans="1:34" x14ac:dyDescent="0.3">
      <c r="A730" s="14">
        <v>54</v>
      </c>
      <c r="B730" s="17" t="s">
        <v>43</v>
      </c>
      <c r="C730" t="s">
        <v>36</v>
      </c>
      <c r="D730">
        <v>1441</v>
      </c>
      <c r="E730" s="17" t="s">
        <v>45</v>
      </c>
      <c r="F730">
        <v>17</v>
      </c>
      <c r="G730">
        <v>3</v>
      </c>
      <c r="H730" t="s">
        <v>60</v>
      </c>
      <c r="I730">
        <v>1013</v>
      </c>
      <c r="J730">
        <v>3</v>
      </c>
      <c r="K730" s="17" t="s">
        <v>39</v>
      </c>
      <c r="L730">
        <v>56</v>
      </c>
      <c r="M730">
        <v>3</v>
      </c>
      <c r="N730">
        <v>3</v>
      </c>
      <c r="O730" s="17" t="s">
        <v>53</v>
      </c>
      <c r="P730" s="14">
        <v>3</v>
      </c>
      <c r="Q730" t="s">
        <v>48</v>
      </c>
      <c r="R730" s="14">
        <v>10739</v>
      </c>
      <c r="S730" s="17" t="str">
        <f t="shared" si="22"/>
        <v>high</v>
      </c>
      <c r="T730">
        <v>13943</v>
      </c>
      <c r="U730">
        <v>8</v>
      </c>
      <c r="V730" s="17" t="s">
        <v>43</v>
      </c>
      <c r="W730">
        <v>11</v>
      </c>
      <c r="X730">
        <v>3</v>
      </c>
      <c r="Y730">
        <v>3</v>
      </c>
      <c r="Z730">
        <v>1</v>
      </c>
      <c r="AA730">
        <v>22</v>
      </c>
      <c r="AB730">
        <v>2</v>
      </c>
      <c r="AC730">
        <v>3</v>
      </c>
      <c r="AD730" s="14">
        <v>10</v>
      </c>
      <c r="AE730" t="str">
        <f t="shared" si="23"/>
        <v>6-10 years</v>
      </c>
      <c r="AF730" s="14">
        <v>7</v>
      </c>
      <c r="AG730" s="14">
        <v>0</v>
      </c>
      <c r="AH730" s="14">
        <v>8</v>
      </c>
    </row>
    <row r="731" spans="1:34" x14ac:dyDescent="0.3">
      <c r="A731" s="14">
        <v>35</v>
      </c>
      <c r="B731" s="17" t="s">
        <v>43</v>
      </c>
      <c r="C731" t="s">
        <v>36</v>
      </c>
      <c r="D731">
        <v>583</v>
      </c>
      <c r="E731" s="17" t="s">
        <v>45</v>
      </c>
      <c r="F731">
        <v>25</v>
      </c>
      <c r="G731">
        <v>4</v>
      </c>
      <c r="H731" t="s">
        <v>51</v>
      </c>
      <c r="I731">
        <v>1014</v>
      </c>
      <c r="J731">
        <v>3</v>
      </c>
      <c r="K731" s="17" t="s">
        <v>39</v>
      </c>
      <c r="L731">
        <v>57</v>
      </c>
      <c r="M731">
        <v>3</v>
      </c>
      <c r="N731">
        <v>3</v>
      </c>
      <c r="O731" s="17" t="s">
        <v>54</v>
      </c>
      <c r="P731" s="14">
        <v>3</v>
      </c>
      <c r="Q731" t="s">
        <v>52</v>
      </c>
      <c r="R731" s="14">
        <v>10388</v>
      </c>
      <c r="S731" s="17" t="str">
        <f t="shared" si="22"/>
        <v>high</v>
      </c>
      <c r="T731">
        <v>6975</v>
      </c>
      <c r="U731">
        <v>1</v>
      </c>
      <c r="V731" s="17" t="s">
        <v>35</v>
      </c>
      <c r="W731">
        <v>11</v>
      </c>
      <c r="X731">
        <v>3</v>
      </c>
      <c r="Y731">
        <v>3</v>
      </c>
      <c r="Z731">
        <v>1</v>
      </c>
      <c r="AA731">
        <v>16</v>
      </c>
      <c r="AB731">
        <v>3</v>
      </c>
      <c r="AC731">
        <v>2</v>
      </c>
      <c r="AD731" s="14">
        <v>16</v>
      </c>
      <c r="AE731" t="str">
        <f t="shared" si="23"/>
        <v>10+ years</v>
      </c>
      <c r="AF731" s="14">
        <v>10</v>
      </c>
      <c r="AG731" s="14">
        <v>10</v>
      </c>
      <c r="AH731" s="14">
        <v>1</v>
      </c>
    </row>
    <row r="732" spans="1:34" x14ac:dyDescent="0.3">
      <c r="A732" s="14">
        <v>30</v>
      </c>
      <c r="B732" s="17" t="s">
        <v>43</v>
      </c>
      <c r="C732" t="s">
        <v>36</v>
      </c>
      <c r="D732">
        <v>153</v>
      </c>
      <c r="E732" s="17" t="s">
        <v>45</v>
      </c>
      <c r="F732">
        <v>8</v>
      </c>
      <c r="G732">
        <v>2</v>
      </c>
      <c r="H732" t="s">
        <v>38</v>
      </c>
      <c r="I732">
        <v>1015</v>
      </c>
      <c r="J732">
        <v>2</v>
      </c>
      <c r="K732" s="17" t="s">
        <v>39</v>
      </c>
      <c r="L732">
        <v>73</v>
      </c>
      <c r="M732">
        <v>4</v>
      </c>
      <c r="N732">
        <v>3</v>
      </c>
      <c r="O732" s="17" t="s">
        <v>58</v>
      </c>
      <c r="P732" s="14">
        <v>1</v>
      </c>
      <c r="Q732" t="s">
        <v>48</v>
      </c>
      <c r="R732" s="14">
        <v>11416</v>
      </c>
      <c r="S732" s="17" t="str">
        <f t="shared" si="22"/>
        <v>high</v>
      </c>
      <c r="T732">
        <v>17802</v>
      </c>
      <c r="U732">
        <v>0</v>
      </c>
      <c r="V732" s="17" t="s">
        <v>35</v>
      </c>
      <c r="W732">
        <v>12</v>
      </c>
      <c r="X732">
        <v>3</v>
      </c>
      <c r="Y732">
        <v>3</v>
      </c>
      <c r="Z732">
        <v>3</v>
      </c>
      <c r="AA732">
        <v>9</v>
      </c>
      <c r="AB732">
        <v>4</v>
      </c>
      <c r="AC732">
        <v>2</v>
      </c>
      <c r="AD732" s="14">
        <v>8</v>
      </c>
      <c r="AE732" t="str">
        <f t="shared" si="23"/>
        <v>6-10 years</v>
      </c>
      <c r="AF732" s="14">
        <v>7</v>
      </c>
      <c r="AG732" s="14">
        <v>1</v>
      </c>
      <c r="AH732" s="14">
        <v>7</v>
      </c>
    </row>
    <row r="733" spans="1:34" x14ac:dyDescent="0.3">
      <c r="A733" s="14">
        <v>20</v>
      </c>
      <c r="B733" s="17" t="s">
        <v>35</v>
      </c>
      <c r="C733" t="s">
        <v>36</v>
      </c>
      <c r="D733">
        <v>1097</v>
      </c>
      <c r="E733" s="17" t="s">
        <v>45</v>
      </c>
      <c r="F733">
        <v>11</v>
      </c>
      <c r="G733">
        <v>3</v>
      </c>
      <c r="H733" t="s">
        <v>51</v>
      </c>
      <c r="I733">
        <v>1016</v>
      </c>
      <c r="J733">
        <v>4</v>
      </c>
      <c r="K733" s="17" t="s">
        <v>39</v>
      </c>
      <c r="L733">
        <v>98</v>
      </c>
      <c r="M733">
        <v>2</v>
      </c>
      <c r="N733">
        <v>1</v>
      </c>
      <c r="O733" s="17" t="s">
        <v>47</v>
      </c>
      <c r="P733" s="14">
        <v>1</v>
      </c>
      <c r="Q733" t="s">
        <v>41</v>
      </c>
      <c r="R733" s="14">
        <v>2600</v>
      </c>
      <c r="S733" s="17" t="str">
        <f t="shared" si="22"/>
        <v>low</v>
      </c>
      <c r="T733">
        <v>18275</v>
      </c>
      <c r="U733">
        <v>1</v>
      </c>
      <c r="V733" s="17" t="s">
        <v>35</v>
      </c>
      <c r="W733">
        <v>15</v>
      </c>
      <c r="X733">
        <v>3</v>
      </c>
      <c r="Y733">
        <v>1</v>
      </c>
      <c r="Z733">
        <v>0</v>
      </c>
      <c r="AA733">
        <v>1</v>
      </c>
      <c r="AB733">
        <v>2</v>
      </c>
      <c r="AC733">
        <v>3</v>
      </c>
      <c r="AD733" s="14">
        <v>1</v>
      </c>
      <c r="AE733" t="str">
        <f t="shared" si="23"/>
        <v>0-2 years</v>
      </c>
      <c r="AF733" s="14">
        <v>0</v>
      </c>
      <c r="AG733" s="14">
        <v>0</v>
      </c>
      <c r="AH733" s="14">
        <v>0</v>
      </c>
    </row>
    <row r="734" spans="1:34" x14ac:dyDescent="0.3">
      <c r="A734" s="14">
        <v>30</v>
      </c>
      <c r="B734" s="17" t="s">
        <v>35</v>
      </c>
      <c r="C734" t="s">
        <v>44</v>
      </c>
      <c r="D734">
        <v>109</v>
      </c>
      <c r="E734" s="17" t="s">
        <v>45</v>
      </c>
      <c r="F734">
        <v>5</v>
      </c>
      <c r="G734">
        <v>3</v>
      </c>
      <c r="H734" t="s">
        <v>51</v>
      </c>
      <c r="I734">
        <v>1017</v>
      </c>
      <c r="J734">
        <v>2</v>
      </c>
      <c r="K734" s="17" t="s">
        <v>39</v>
      </c>
      <c r="L734">
        <v>60</v>
      </c>
      <c r="M734">
        <v>3</v>
      </c>
      <c r="N734">
        <v>1</v>
      </c>
      <c r="O734" s="17" t="s">
        <v>50</v>
      </c>
      <c r="P734" s="14">
        <v>2</v>
      </c>
      <c r="Q734" t="s">
        <v>41</v>
      </c>
      <c r="R734" s="14">
        <v>2422</v>
      </c>
      <c r="S734" s="17" t="str">
        <f t="shared" si="22"/>
        <v>low</v>
      </c>
      <c r="T734">
        <v>25725</v>
      </c>
      <c r="U734">
        <v>0</v>
      </c>
      <c r="V734" s="17" t="s">
        <v>43</v>
      </c>
      <c r="W734">
        <v>17</v>
      </c>
      <c r="X734">
        <v>3</v>
      </c>
      <c r="Y734">
        <v>1</v>
      </c>
      <c r="Z734">
        <v>0</v>
      </c>
      <c r="AA734">
        <v>4</v>
      </c>
      <c r="AB734">
        <v>3</v>
      </c>
      <c r="AC734">
        <v>3</v>
      </c>
      <c r="AD734" s="14">
        <v>3</v>
      </c>
      <c r="AE734" t="str">
        <f t="shared" si="23"/>
        <v>3-5 years</v>
      </c>
      <c r="AF734" s="14">
        <v>2</v>
      </c>
      <c r="AG734" s="14">
        <v>1</v>
      </c>
      <c r="AH734" s="14">
        <v>2</v>
      </c>
    </row>
    <row r="735" spans="1:34" x14ac:dyDescent="0.3">
      <c r="A735" s="14">
        <v>26</v>
      </c>
      <c r="B735" s="17" t="s">
        <v>43</v>
      </c>
      <c r="C735" t="s">
        <v>36</v>
      </c>
      <c r="D735">
        <v>1066</v>
      </c>
      <c r="E735" s="17" t="s">
        <v>45</v>
      </c>
      <c r="F735">
        <v>2</v>
      </c>
      <c r="G735">
        <v>2</v>
      </c>
      <c r="H735" t="s">
        <v>51</v>
      </c>
      <c r="I735">
        <v>1018</v>
      </c>
      <c r="J735">
        <v>4</v>
      </c>
      <c r="K735" s="17" t="s">
        <v>46</v>
      </c>
      <c r="L735">
        <v>32</v>
      </c>
      <c r="M735">
        <v>4</v>
      </c>
      <c r="N735">
        <v>2</v>
      </c>
      <c r="O735" s="17" t="s">
        <v>53</v>
      </c>
      <c r="P735" s="14">
        <v>4</v>
      </c>
      <c r="Q735" t="s">
        <v>48</v>
      </c>
      <c r="R735" s="14">
        <v>5472</v>
      </c>
      <c r="S735" s="17" t="str">
        <f t="shared" si="22"/>
        <v>medium</v>
      </c>
      <c r="T735">
        <v>3334</v>
      </c>
      <c r="U735">
        <v>1</v>
      </c>
      <c r="V735" s="17" t="s">
        <v>43</v>
      </c>
      <c r="W735">
        <v>12</v>
      </c>
      <c r="X735">
        <v>3</v>
      </c>
      <c r="Y735">
        <v>2</v>
      </c>
      <c r="Z735">
        <v>0</v>
      </c>
      <c r="AA735">
        <v>8</v>
      </c>
      <c r="AB735">
        <v>2</v>
      </c>
      <c r="AC735">
        <v>3</v>
      </c>
      <c r="AD735" s="14">
        <v>8</v>
      </c>
      <c r="AE735" t="str">
        <f t="shared" si="23"/>
        <v>6-10 years</v>
      </c>
      <c r="AF735" s="14">
        <v>7</v>
      </c>
      <c r="AG735" s="14">
        <v>1</v>
      </c>
      <c r="AH735" s="14">
        <v>3</v>
      </c>
    </row>
    <row r="736" spans="1:34" x14ac:dyDescent="0.3">
      <c r="A736" s="14">
        <v>22</v>
      </c>
      <c r="B736" s="17" t="s">
        <v>43</v>
      </c>
      <c r="C736" t="s">
        <v>36</v>
      </c>
      <c r="D736">
        <v>217</v>
      </c>
      <c r="E736" s="17" t="s">
        <v>45</v>
      </c>
      <c r="F736">
        <v>8</v>
      </c>
      <c r="G736">
        <v>1</v>
      </c>
      <c r="H736" t="s">
        <v>38</v>
      </c>
      <c r="I736">
        <v>1019</v>
      </c>
      <c r="J736">
        <v>2</v>
      </c>
      <c r="K736" s="17" t="s">
        <v>46</v>
      </c>
      <c r="L736">
        <v>94</v>
      </c>
      <c r="M736">
        <v>1</v>
      </c>
      <c r="N736">
        <v>1</v>
      </c>
      <c r="O736" s="17" t="s">
        <v>50</v>
      </c>
      <c r="P736" s="14">
        <v>1</v>
      </c>
      <c r="Q736" t="s">
        <v>48</v>
      </c>
      <c r="R736" s="14">
        <v>2451</v>
      </c>
      <c r="S736" s="17" t="str">
        <f t="shared" si="22"/>
        <v>low</v>
      </c>
      <c r="T736">
        <v>6881</v>
      </c>
      <c r="U736">
        <v>1</v>
      </c>
      <c r="V736" s="17" t="s">
        <v>43</v>
      </c>
      <c r="W736">
        <v>15</v>
      </c>
      <c r="X736">
        <v>3</v>
      </c>
      <c r="Y736">
        <v>1</v>
      </c>
      <c r="Z736">
        <v>1</v>
      </c>
      <c r="AA736">
        <v>4</v>
      </c>
      <c r="AB736">
        <v>3</v>
      </c>
      <c r="AC736">
        <v>2</v>
      </c>
      <c r="AD736" s="14">
        <v>4</v>
      </c>
      <c r="AE736" t="str">
        <f t="shared" si="23"/>
        <v>3-5 years</v>
      </c>
      <c r="AF736" s="14">
        <v>3</v>
      </c>
      <c r="AG736" s="14">
        <v>1</v>
      </c>
      <c r="AH736" s="14">
        <v>1</v>
      </c>
    </row>
    <row r="737" spans="1:34" x14ac:dyDescent="0.3">
      <c r="A737" s="14">
        <v>48</v>
      </c>
      <c r="B737" s="17" t="s">
        <v>43</v>
      </c>
      <c r="C737" t="s">
        <v>36</v>
      </c>
      <c r="D737">
        <v>277</v>
      </c>
      <c r="E737" s="17" t="s">
        <v>45</v>
      </c>
      <c r="F737">
        <v>6</v>
      </c>
      <c r="G737">
        <v>3</v>
      </c>
      <c r="H737" t="s">
        <v>38</v>
      </c>
      <c r="I737">
        <v>1022</v>
      </c>
      <c r="J737">
        <v>1</v>
      </c>
      <c r="K737" s="17" t="s">
        <v>46</v>
      </c>
      <c r="L737">
        <v>97</v>
      </c>
      <c r="M737">
        <v>2</v>
      </c>
      <c r="N737">
        <v>2</v>
      </c>
      <c r="O737" s="17" t="s">
        <v>54</v>
      </c>
      <c r="P737" s="14">
        <v>3</v>
      </c>
      <c r="Q737" t="s">
        <v>41</v>
      </c>
      <c r="R737" s="14">
        <v>4240</v>
      </c>
      <c r="S737" s="17" t="str">
        <f t="shared" si="22"/>
        <v>medium</v>
      </c>
      <c r="T737">
        <v>13119</v>
      </c>
      <c r="U737">
        <v>2</v>
      </c>
      <c r="V737" s="17" t="s">
        <v>43</v>
      </c>
      <c r="W737">
        <v>13</v>
      </c>
      <c r="X737">
        <v>3</v>
      </c>
      <c r="Y737">
        <v>4</v>
      </c>
      <c r="Z737">
        <v>0</v>
      </c>
      <c r="AA737">
        <v>19</v>
      </c>
      <c r="AB737">
        <v>0</v>
      </c>
      <c r="AC737">
        <v>3</v>
      </c>
      <c r="AD737" s="14">
        <v>2</v>
      </c>
      <c r="AE737" t="str">
        <f t="shared" si="23"/>
        <v>0-2 years</v>
      </c>
      <c r="AF737" s="14">
        <v>2</v>
      </c>
      <c r="AG737" s="14">
        <v>2</v>
      </c>
      <c r="AH737" s="14">
        <v>2</v>
      </c>
    </row>
    <row r="738" spans="1:34" x14ac:dyDescent="0.3">
      <c r="A738" s="14">
        <v>48</v>
      </c>
      <c r="B738" s="17" t="s">
        <v>43</v>
      </c>
      <c r="C738" t="s">
        <v>36</v>
      </c>
      <c r="D738">
        <v>1355</v>
      </c>
      <c r="E738" s="17" t="s">
        <v>45</v>
      </c>
      <c r="F738">
        <v>4</v>
      </c>
      <c r="G738">
        <v>4</v>
      </c>
      <c r="H738" t="s">
        <v>38</v>
      </c>
      <c r="I738">
        <v>1024</v>
      </c>
      <c r="J738">
        <v>3</v>
      </c>
      <c r="K738" s="17" t="s">
        <v>46</v>
      </c>
      <c r="L738">
        <v>78</v>
      </c>
      <c r="M738">
        <v>2</v>
      </c>
      <c r="N738">
        <v>3</v>
      </c>
      <c r="O738" s="17" t="s">
        <v>54</v>
      </c>
      <c r="P738" s="14">
        <v>3</v>
      </c>
      <c r="Q738" t="s">
        <v>41</v>
      </c>
      <c r="R738" s="14">
        <v>10999</v>
      </c>
      <c r="S738" s="17" t="str">
        <f t="shared" si="22"/>
        <v>high</v>
      </c>
      <c r="T738">
        <v>22245</v>
      </c>
      <c r="U738">
        <v>7</v>
      </c>
      <c r="V738" s="17" t="s">
        <v>43</v>
      </c>
      <c r="W738">
        <v>14</v>
      </c>
      <c r="X738">
        <v>3</v>
      </c>
      <c r="Y738">
        <v>2</v>
      </c>
      <c r="Z738">
        <v>0</v>
      </c>
      <c r="AA738">
        <v>27</v>
      </c>
      <c r="AB738">
        <v>3</v>
      </c>
      <c r="AC738">
        <v>3</v>
      </c>
      <c r="AD738" s="14">
        <v>15</v>
      </c>
      <c r="AE738" t="str">
        <f t="shared" si="23"/>
        <v>10+ years</v>
      </c>
      <c r="AF738" s="14">
        <v>11</v>
      </c>
      <c r="AG738" s="14">
        <v>4</v>
      </c>
      <c r="AH738" s="14">
        <v>8</v>
      </c>
    </row>
    <row r="739" spans="1:34" x14ac:dyDescent="0.3">
      <c r="A739" s="14">
        <v>41</v>
      </c>
      <c r="B739" s="17" t="s">
        <v>43</v>
      </c>
      <c r="C739" t="s">
        <v>36</v>
      </c>
      <c r="D739">
        <v>549</v>
      </c>
      <c r="E739" s="17" t="s">
        <v>45</v>
      </c>
      <c r="F739">
        <v>7</v>
      </c>
      <c r="G739">
        <v>2</v>
      </c>
      <c r="H739" t="s">
        <v>51</v>
      </c>
      <c r="I739">
        <v>1025</v>
      </c>
      <c r="J739">
        <v>4</v>
      </c>
      <c r="K739" s="17" t="s">
        <v>39</v>
      </c>
      <c r="L739">
        <v>42</v>
      </c>
      <c r="M739">
        <v>3</v>
      </c>
      <c r="N739">
        <v>2</v>
      </c>
      <c r="O739" s="17" t="s">
        <v>53</v>
      </c>
      <c r="P739" s="14">
        <v>3</v>
      </c>
      <c r="Q739" t="s">
        <v>41</v>
      </c>
      <c r="R739" s="14">
        <v>5003</v>
      </c>
      <c r="S739" s="17" t="str">
        <f t="shared" si="22"/>
        <v>medium</v>
      </c>
      <c r="T739">
        <v>23371</v>
      </c>
      <c r="U739">
        <v>6</v>
      </c>
      <c r="V739" s="17" t="s">
        <v>43</v>
      </c>
      <c r="W739">
        <v>14</v>
      </c>
      <c r="X739">
        <v>3</v>
      </c>
      <c r="Y739">
        <v>2</v>
      </c>
      <c r="Z739">
        <v>0</v>
      </c>
      <c r="AA739">
        <v>8</v>
      </c>
      <c r="AB739">
        <v>6</v>
      </c>
      <c r="AC739">
        <v>3</v>
      </c>
      <c r="AD739" s="14">
        <v>2</v>
      </c>
      <c r="AE739" t="str">
        <f t="shared" si="23"/>
        <v>0-2 years</v>
      </c>
      <c r="AF739" s="14">
        <v>2</v>
      </c>
      <c r="AG739" s="14">
        <v>2</v>
      </c>
      <c r="AH739" s="14">
        <v>1</v>
      </c>
    </row>
    <row r="740" spans="1:34" x14ac:dyDescent="0.3">
      <c r="A740" s="14">
        <v>39</v>
      </c>
      <c r="B740" s="17" t="s">
        <v>43</v>
      </c>
      <c r="C740" t="s">
        <v>36</v>
      </c>
      <c r="D740">
        <v>466</v>
      </c>
      <c r="E740" s="17" t="s">
        <v>45</v>
      </c>
      <c r="F740">
        <v>1</v>
      </c>
      <c r="G740">
        <v>1</v>
      </c>
      <c r="H740" t="s">
        <v>38</v>
      </c>
      <c r="I740">
        <v>1026</v>
      </c>
      <c r="J740">
        <v>4</v>
      </c>
      <c r="K740" s="17" t="s">
        <v>39</v>
      </c>
      <c r="L740">
        <v>65</v>
      </c>
      <c r="M740">
        <v>2</v>
      </c>
      <c r="N740">
        <v>4</v>
      </c>
      <c r="O740" s="17" t="s">
        <v>53</v>
      </c>
      <c r="P740" s="14">
        <v>4</v>
      </c>
      <c r="Q740" t="s">
        <v>48</v>
      </c>
      <c r="R740" s="14">
        <v>12742</v>
      </c>
      <c r="S740" s="17" t="str">
        <f t="shared" si="22"/>
        <v>high</v>
      </c>
      <c r="T740">
        <v>7060</v>
      </c>
      <c r="U740">
        <v>1</v>
      </c>
      <c r="V740" s="17" t="s">
        <v>43</v>
      </c>
      <c r="W740">
        <v>16</v>
      </c>
      <c r="X740">
        <v>3</v>
      </c>
      <c r="Y740">
        <v>3</v>
      </c>
      <c r="Z740">
        <v>1</v>
      </c>
      <c r="AA740">
        <v>21</v>
      </c>
      <c r="AB740">
        <v>3</v>
      </c>
      <c r="AC740">
        <v>3</v>
      </c>
      <c r="AD740" s="14">
        <v>21</v>
      </c>
      <c r="AE740" t="str">
        <f t="shared" si="23"/>
        <v>10+ years</v>
      </c>
      <c r="AF740" s="14">
        <v>6</v>
      </c>
      <c r="AG740" s="14">
        <v>11</v>
      </c>
      <c r="AH740" s="14">
        <v>8</v>
      </c>
    </row>
    <row r="741" spans="1:34" x14ac:dyDescent="0.3">
      <c r="A741" s="14">
        <v>27</v>
      </c>
      <c r="B741" s="17" t="s">
        <v>43</v>
      </c>
      <c r="C741" t="s">
        <v>36</v>
      </c>
      <c r="D741">
        <v>1055</v>
      </c>
      <c r="E741" s="17" t="s">
        <v>45</v>
      </c>
      <c r="F741">
        <v>2</v>
      </c>
      <c r="G741">
        <v>4</v>
      </c>
      <c r="H741" t="s">
        <v>38</v>
      </c>
      <c r="I741">
        <v>1027</v>
      </c>
      <c r="J741">
        <v>1</v>
      </c>
      <c r="K741" s="17" t="s">
        <v>39</v>
      </c>
      <c r="L741">
        <v>47</v>
      </c>
      <c r="M741">
        <v>3</v>
      </c>
      <c r="N741">
        <v>2</v>
      </c>
      <c r="O741" s="17" t="s">
        <v>53</v>
      </c>
      <c r="P741" s="14">
        <v>4</v>
      </c>
      <c r="Q741" t="s">
        <v>48</v>
      </c>
      <c r="R741" s="14">
        <v>4227</v>
      </c>
      <c r="S741" s="17" t="str">
        <f t="shared" si="22"/>
        <v>medium</v>
      </c>
      <c r="T741">
        <v>4658</v>
      </c>
      <c r="U741">
        <v>0</v>
      </c>
      <c r="V741" s="17" t="s">
        <v>43</v>
      </c>
      <c r="W741">
        <v>18</v>
      </c>
      <c r="X741">
        <v>3</v>
      </c>
      <c r="Y741">
        <v>2</v>
      </c>
      <c r="Z741">
        <v>1</v>
      </c>
      <c r="AA741">
        <v>4</v>
      </c>
      <c r="AB741">
        <v>2</v>
      </c>
      <c r="AC741">
        <v>3</v>
      </c>
      <c r="AD741" s="14">
        <v>3</v>
      </c>
      <c r="AE741" t="str">
        <f t="shared" si="23"/>
        <v>3-5 years</v>
      </c>
      <c r="AF741" s="14">
        <v>2</v>
      </c>
      <c r="AG741" s="14">
        <v>2</v>
      </c>
      <c r="AH741" s="14">
        <v>2</v>
      </c>
    </row>
    <row r="742" spans="1:34" x14ac:dyDescent="0.3">
      <c r="A742" s="14">
        <v>35</v>
      </c>
      <c r="B742" s="17" t="s">
        <v>43</v>
      </c>
      <c r="C742" t="s">
        <v>36</v>
      </c>
      <c r="D742">
        <v>802</v>
      </c>
      <c r="E742" s="17" t="s">
        <v>45</v>
      </c>
      <c r="F742">
        <v>10</v>
      </c>
      <c r="G742">
        <v>3</v>
      </c>
      <c r="H742" t="s">
        <v>49</v>
      </c>
      <c r="I742">
        <v>1028</v>
      </c>
      <c r="J742">
        <v>2</v>
      </c>
      <c r="K742" s="17" t="s">
        <v>46</v>
      </c>
      <c r="L742">
        <v>45</v>
      </c>
      <c r="M742">
        <v>3</v>
      </c>
      <c r="N742">
        <v>1</v>
      </c>
      <c r="O742" s="17" t="s">
        <v>50</v>
      </c>
      <c r="P742" s="14">
        <v>4</v>
      </c>
      <c r="Q742" t="s">
        <v>52</v>
      </c>
      <c r="R742" s="14">
        <v>3917</v>
      </c>
      <c r="S742" s="17" t="str">
        <f t="shared" si="22"/>
        <v>medium</v>
      </c>
      <c r="T742">
        <v>9541</v>
      </c>
      <c r="U742">
        <v>1</v>
      </c>
      <c r="V742" s="17" t="s">
        <v>43</v>
      </c>
      <c r="W742">
        <v>20</v>
      </c>
      <c r="X742">
        <v>4</v>
      </c>
      <c r="Y742">
        <v>1</v>
      </c>
      <c r="Z742">
        <v>1</v>
      </c>
      <c r="AA742">
        <v>3</v>
      </c>
      <c r="AB742">
        <v>4</v>
      </c>
      <c r="AC742">
        <v>2</v>
      </c>
      <c r="AD742" s="14">
        <v>3</v>
      </c>
      <c r="AE742" t="str">
        <f t="shared" si="23"/>
        <v>3-5 years</v>
      </c>
      <c r="AF742" s="14">
        <v>2</v>
      </c>
      <c r="AG742" s="14">
        <v>1</v>
      </c>
      <c r="AH742" s="14">
        <v>2</v>
      </c>
    </row>
    <row r="743" spans="1:34" x14ac:dyDescent="0.3">
      <c r="A743" s="14">
        <v>42</v>
      </c>
      <c r="B743" s="17" t="s">
        <v>43</v>
      </c>
      <c r="C743" t="s">
        <v>36</v>
      </c>
      <c r="D743">
        <v>265</v>
      </c>
      <c r="E743" s="17" t="s">
        <v>37</v>
      </c>
      <c r="F743">
        <v>5</v>
      </c>
      <c r="G743">
        <v>2</v>
      </c>
      <c r="H743" t="s">
        <v>59</v>
      </c>
      <c r="I743">
        <v>1029</v>
      </c>
      <c r="J743">
        <v>4</v>
      </c>
      <c r="K743" s="17" t="s">
        <v>46</v>
      </c>
      <c r="L743">
        <v>90</v>
      </c>
      <c r="M743">
        <v>3</v>
      </c>
      <c r="N743">
        <v>5</v>
      </c>
      <c r="O743" s="17" t="s">
        <v>56</v>
      </c>
      <c r="P743" s="14">
        <v>3</v>
      </c>
      <c r="Q743" t="s">
        <v>48</v>
      </c>
      <c r="R743" s="14">
        <v>18303</v>
      </c>
      <c r="S743" s="17" t="str">
        <f t="shared" si="22"/>
        <v>high</v>
      </c>
      <c r="T743">
        <v>7770</v>
      </c>
      <c r="U743">
        <v>6</v>
      </c>
      <c r="V743" s="17" t="s">
        <v>43</v>
      </c>
      <c r="W743">
        <v>13</v>
      </c>
      <c r="X743">
        <v>3</v>
      </c>
      <c r="Y743">
        <v>2</v>
      </c>
      <c r="Z743">
        <v>0</v>
      </c>
      <c r="AA743">
        <v>21</v>
      </c>
      <c r="AB743">
        <v>3</v>
      </c>
      <c r="AC743">
        <v>4</v>
      </c>
      <c r="AD743" s="14">
        <v>1</v>
      </c>
      <c r="AE743" t="str">
        <f t="shared" si="23"/>
        <v>0-2 years</v>
      </c>
      <c r="AF743" s="14">
        <v>0</v>
      </c>
      <c r="AG743" s="14">
        <v>0</v>
      </c>
      <c r="AH743" s="14">
        <v>0</v>
      </c>
    </row>
    <row r="744" spans="1:34" x14ac:dyDescent="0.3">
      <c r="A744" s="14">
        <v>50</v>
      </c>
      <c r="B744" s="17" t="s">
        <v>43</v>
      </c>
      <c r="C744" t="s">
        <v>36</v>
      </c>
      <c r="D744">
        <v>804</v>
      </c>
      <c r="E744" s="17" t="s">
        <v>45</v>
      </c>
      <c r="F744">
        <v>9</v>
      </c>
      <c r="G744">
        <v>3</v>
      </c>
      <c r="H744" t="s">
        <v>38</v>
      </c>
      <c r="I744">
        <v>1030</v>
      </c>
      <c r="J744">
        <v>1</v>
      </c>
      <c r="K744" s="17" t="s">
        <v>46</v>
      </c>
      <c r="L744">
        <v>64</v>
      </c>
      <c r="M744">
        <v>3</v>
      </c>
      <c r="N744">
        <v>1</v>
      </c>
      <c r="O744" s="17" t="s">
        <v>50</v>
      </c>
      <c r="P744" s="14">
        <v>4</v>
      </c>
      <c r="Q744" t="s">
        <v>48</v>
      </c>
      <c r="R744" s="14">
        <v>2380</v>
      </c>
      <c r="S744" s="17" t="str">
        <f t="shared" si="22"/>
        <v>low</v>
      </c>
      <c r="T744">
        <v>20165</v>
      </c>
      <c r="U744">
        <v>4</v>
      </c>
      <c r="V744" s="17" t="s">
        <v>43</v>
      </c>
      <c r="W744">
        <v>18</v>
      </c>
      <c r="X744">
        <v>3</v>
      </c>
      <c r="Y744">
        <v>2</v>
      </c>
      <c r="Z744">
        <v>0</v>
      </c>
      <c r="AA744">
        <v>8</v>
      </c>
      <c r="AB744">
        <v>5</v>
      </c>
      <c r="AC744">
        <v>3</v>
      </c>
      <c r="AD744" s="14">
        <v>1</v>
      </c>
      <c r="AE744" t="str">
        <f t="shared" si="23"/>
        <v>0-2 years</v>
      </c>
      <c r="AF744" s="14">
        <v>0</v>
      </c>
      <c r="AG744" s="14">
        <v>0</v>
      </c>
      <c r="AH744" s="14">
        <v>0</v>
      </c>
    </row>
    <row r="745" spans="1:34" x14ac:dyDescent="0.3">
      <c r="A745" s="14">
        <v>59</v>
      </c>
      <c r="B745" s="17" t="s">
        <v>43</v>
      </c>
      <c r="C745" t="s">
        <v>36</v>
      </c>
      <c r="D745">
        <v>715</v>
      </c>
      <c r="E745" s="17" t="s">
        <v>45</v>
      </c>
      <c r="F745">
        <v>2</v>
      </c>
      <c r="G745">
        <v>3</v>
      </c>
      <c r="H745" t="s">
        <v>38</v>
      </c>
      <c r="I745">
        <v>1032</v>
      </c>
      <c r="J745">
        <v>3</v>
      </c>
      <c r="K745" s="17" t="s">
        <v>39</v>
      </c>
      <c r="L745">
        <v>69</v>
      </c>
      <c r="M745">
        <v>2</v>
      </c>
      <c r="N745">
        <v>4</v>
      </c>
      <c r="O745" s="17" t="s">
        <v>53</v>
      </c>
      <c r="P745" s="14">
        <v>4</v>
      </c>
      <c r="Q745" t="s">
        <v>41</v>
      </c>
      <c r="R745" s="14">
        <v>13726</v>
      </c>
      <c r="S745" s="17" t="str">
        <f t="shared" si="22"/>
        <v>high</v>
      </c>
      <c r="T745">
        <v>21829</v>
      </c>
      <c r="U745">
        <v>3</v>
      </c>
      <c r="V745" s="17" t="s">
        <v>35</v>
      </c>
      <c r="W745">
        <v>13</v>
      </c>
      <c r="X745">
        <v>3</v>
      </c>
      <c r="Y745">
        <v>1</v>
      </c>
      <c r="Z745">
        <v>0</v>
      </c>
      <c r="AA745">
        <v>30</v>
      </c>
      <c r="AB745">
        <v>4</v>
      </c>
      <c r="AC745">
        <v>3</v>
      </c>
      <c r="AD745" s="14">
        <v>5</v>
      </c>
      <c r="AE745" t="str">
        <f t="shared" si="23"/>
        <v>3-5 years</v>
      </c>
      <c r="AF745" s="14">
        <v>3</v>
      </c>
      <c r="AG745" s="14">
        <v>4</v>
      </c>
      <c r="AH745" s="14">
        <v>3</v>
      </c>
    </row>
    <row r="746" spans="1:34" x14ac:dyDescent="0.3">
      <c r="A746" s="14">
        <v>37</v>
      </c>
      <c r="B746" s="17" t="s">
        <v>35</v>
      </c>
      <c r="C746" t="s">
        <v>36</v>
      </c>
      <c r="D746">
        <v>1141</v>
      </c>
      <c r="E746" s="17" t="s">
        <v>45</v>
      </c>
      <c r="F746">
        <v>11</v>
      </c>
      <c r="G746">
        <v>2</v>
      </c>
      <c r="H746" t="s">
        <v>51</v>
      </c>
      <c r="I746">
        <v>1033</v>
      </c>
      <c r="J746">
        <v>1</v>
      </c>
      <c r="K746" s="17" t="s">
        <v>39</v>
      </c>
      <c r="L746">
        <v>61</v>
      </c>
      <c r="M746">
        <v>1</v>
      </c>
      <c r="N746">
        <v>2</v>
      </c>
      <c r="O746" s="17" t="s">
        <v>54</v>
      </c>
      <c r="P746" s="14">
        <v>2</v>
      </c>
      <c r="Q746" t="s">
        <v>48</v>
      </c>
      <c r="R746" s="14">
        <v>4777</v>
      </c>
      <c r="S746" s="17" t="str">
        <f t="shared" si="22"/>
        <v>medium</v>
      </c>
      <c r="T746">
        <v>14382</v>
      </c>
      <c r="U746">
        <v>5</v>
      </c>
      <c r="V746" s="17" t="s">
        <v>43</v>
      </c>
      <c r="W746">
        <v>15</v>
      </c>
      <c r="X746">
        <v>3</v>
      </c>
      <c r="Y746">
        <v>1</v>
      </c>
      <c r="Z746">
        <v>0</v>
      </c>
      <c r="AA746">
        <v>15</v>
      </c>
      <c r="AB746">
        <v>2</v>
      </c>
      <c r="AC746">
        <v>1</v>
      </c>
      <c r="AD746" s="14">
        <v>1</v>
      </c>
      <c r="AE746" t="str">
        <f t="shared" si="23"/>
        <v>0-2 years</v>
      </c>
      <c r="AF746" s="14">
        <v>0</v>
      </c>
      <c r="AG746" s="14">
        <v>0</v>
      </c>
      <c r="AH746" s="14">
        <v>0</v>
      </c>
    </row>
    <row r="747" spans="1:34" x14ac:dyDescent="0.3">
      <c r="A747" s="14">
        <v>55</v>
      </c>
      <c r="B747" s="17" t="s">
        <v>43</v>
      </c>
      <c r="C747" t="s">
        <v>44</v>
      </c>
      <c r="D747">
        <v>135</v>
      </c>
      <c r="E747" s="17" t="s">
        <v>45</v>
      </c>
      <c r="F747">
        <v>18</v>
      </c>
      <c r="G747">
        <v>4</v>
      </c>
      <c r="H747" t="s">
        <v>51</v>
      </c>
      <c r="I747">
        <v>1034</v>
      </c>
      <c r="J747">
        <v>3</v>
      </c>
      <c r="K747" s="17" t="s">
        <v>46</v>
      </c>
      <c r="L747">
        <v>62</v>
      </c>
      <c r="M747">
        <v>3</v>
      </c>
      <c r="N747">
        <v>2</v>
      </c>
      <c r="O747" s="17" t="s">
        <v>54</v>
      </c>
      <c r="P747" s="14">
        <v>2</v>
      </c>
      <c r="Q747" t="s">
        <v>48</v>
      </c>
      <c r="R747" s="14">
        <v>6385</v>
      </c>
      <c r="S747" s="17" t="str">
        <f t="shared" si="22"/>
        <v>medium</v>
      </c>
      <c r="T747">
        <v>12992</v>
      </c>
      <c r="U747">
        <v>3</v>
      </c>
      <c r="V747" s="17" t="s">
        <v>35</v>
      </c>
      <c r="W747">
        <v>14</v>
      </c>
      <c r="X747">
        <v>3</v>
      </c>
      <c r="Y747">
        <v>4</v>
      </c>
      <c r="Z747">
        <v>2</v>
      </c>
      <c r="AA747">
        <v>17</v>
      </c>
      <c r="AB747">
        <v>3</v>
      </c>
      <c r="AC747">
        <v>3</v>
      </c>
      <c r="AD747" s="14">
        <v>8</v>
      </c>
      <c r="AE747" t="str">
        <f t="shared" si="23"/>
        <v>6-10 years</v>
      </c>
      <c r="AF747" s="14">
        <v>7</v>
      </c>
      <c r="AG747" s="14">
        <v>6</v>
      </c>
      <c r="AH747" s="14">
        <v>7</v>
      </c>
    </row>
    <row r="748" spans="1:34" x14ac:dyDescent="0.3">
      <c r="A748" s="14">
        <v>41</v>
      </c>
      <c r="B748" s="17" t="s">
        <v>43</v>
      </c>
      <c r="C748" t="s">
        <v>55</v>
      </c>
      <c r="D748">
        <v>247</v>
      </c>
      <c r="E748" s="17" t="s">
        <v>45</v>
      </c>
      <c r="F748">
        <v>7</v>
      </c>
      <c r="G748">
        <v>1</v>
      </c>
      <c r="H748" t="s">
        <v>38</v>
      </c>
      <c r="I748">
        <v>1035</v>
      </c>
      <c r="J748">
        <v>2</v>
      </c>
      <c r="K748" s="17" t="s">
        <v>39</v>
      </c>
      <c r="L748">
        <v>55</v>
      </c>
      <c r="M748">
        <v>1</v>
      </c>
      <c r="N748">
        <v>5</v>
      </c>
      <c r="O748" s="17" t="s">
        <v>58</v>
      </c>
      <c r="P748" s="14">
        <v>3</v>
      </c>
      <c r="Q748" t="s">
        <v>52</v>
      </c>
      <c r="R748" s="14">
        <v>19973</v>
      </c>
      <c r="S748" s="17" t="str">
        <f t="shared" si="22"/>
        <v>high</v>
      </c>
      <c r="T748">
        <v>20284</v>
      </c>
      <c r="U748">
        <v>1</v>
      </c>
      <c r="V748" s="17" t="s">
        <v>43</v>
      </c>
      <c r="W748">
        <v>22</v>
      </c>
      <c r="X748">
        <v>4</v>
      </c>
      <c r="Y748">
        <v>2</v>
      </c>
      <c r="Z748">
        <v>2</v>
      </c>
      <c r="AA748">
        <v>21</v>
      </c>
      <c r="AB748">
        <v>3</v>
      </c>
      <c r="AC748">
        <v>3</v>
      </c>
      <c r="AD748" s="14">
        <v>21</v>
      </c>
      <c r="AE748" t="str">
        <f t="shared" si="23"/>
        <v>10+ years</v>
      </c>
      <c r="AF748" s="14">
        <v>16</v>
      </c>
      <c r="AG748" s="14">
        <v>5</v>
      </c>
      <c r="AH748" s="14">
        <v>10</v>
      </c>
    </row>
    <row r="749" spans="1:34" x14ac:dyDescent="0.3">
      <c r="A749" s="14">
        <v>38</v>
      </c>
      <c r="B749" s="17" t="s">
        <v>43</v>
      </c>
      <c r="C749" t="s">
        <v>36</v>
      </c>
      <c r="D749">
        <v>1035</v>
      </c>
      <c r="E749" s="17" t="s">
        <v>37</v>
      </c>
      <c r="F749">
        <v>3</v>
      </c>
      <c r="G749">
        <v>4</v>
      </c>
      <c r="H749" t="s">
        <v>38</v>
      </c>
      <c r="I749">
        <v>1036</v>
      </c>
      <c r="J749">
        <v>2</v>
      </c>
      <c r="K749" s="17" t="s">
        <v>46</v>
      </c>
      <c r="L749">
        <v>42</v>
      </c>
      <c r="M749">
        <v>3</v>
      </c>
      <c r="N749">
        <v>2</v>
      </c>
      <c r="O749" s="17" t="s">
        <v>40</v>
      </c>
      <c r="P749" s="14">
        <v>4</v>
      </c>
      <c r="Q749" t="s">
        <v>41</v>
      </c>
      <c r="R749" s="14">
        <v>6861</v>
      </c>
      <c r="S749" s="17" t="str">
        <f t="shared" si="22"/>
        <v>medium</v>
      </c>
      <c r="T749">
        <v>4981</v>
      </c>
      <c r="U749">
        <v>8</v>
      </c>
      <c r="V749" s="17" t="s">
        <v>35</v>
      </c>
      <c r="W749">
        <v>12</v>
      </c>
      <c r="X749">
        <v>3</v>
      </c>
      <c r="Y749">
        <v>3</v>
      </c>
      <c r="Z749">
        <v>0</v>
      </c>
      <c r="AA749">
        <v>19</v>
      </c>
      <c r="AB749">
        <v>1</v>
      </c>
      <c r="AC749">
        <v>3</v>
      </c>
      <c r="AD749" s="14">
        <v>1</v>
      </c>
      <c r="AE749" t="str">
        <f t="shared" si="23"/>
        <v>0-2 years</v>
      </c>
      <c r="AF749" s="14">
        <v>0</v>
      </c>
      <c r="AG749" s="14">
        <v>0</v>
      </c>
      <c r="AH749" s="14">
        <v>0</v>
      </c>
    </row>
    <row r="750" spans="1:34" x14ac:dyDescent="0.3">
      <c r="A750" s="14">
        <v>26</v>
      </c>
      <c r="B750" s="17" t="s">
        <v>35</v>
      </c>
      <c r="C750" t="s">
        <v>55</v>
      </c>
      <c r="D750">
        <v>265</v>
      </c>
      <c r="E750" s="17" t="s">
        <v>37</v>
      </c>
      <c r="F750">
        <v>29</v>
      </c>
      <c r="G750">
        <v>2</v>
      </c>
      <c r="H750" t="s">
        <v>51</v>
      </c>
      <c r="I750">
        <v>1037</v>
      </c>
      <c r="J750">
        <v>2</v>
      </c>
      <c r="K750" s="17" t="s">
        <v>46</v>
      </c>
      <c r="L750">
        <v>79</v>
      </c>
      <c r="M750">
        <v>1</v>
      </c>
      <c r="N750">
        <v>2</v>
      </c>
      <c r="O750" s="17" t="s">
        <v>40</v>
      </c>
      <c r="P750" s="14">
        <v>1</v>
      </c>
      <c r="Q750" t="s">
        <v>41</v>
      </c>
      <c r="R750" s="14">
        <v>4969</v>
      </c>
      <c r="S750" s="17" t="str">
        <f t="shared" si="22"/>
        <v>medium</v>
      </c>
      <c r="T750">
        <v>21813</v>
      </c>
      <c r="U750">
        <v>8</v>
      </c>
      <c r="V750" s="17" t="s">
        <v>43</v>
      </c>
      <c r="W750">
        <v>18</v>
      </c>
      <c r="X750">
        <v>3</v>
      </c>
      <c r="Y750">
        <v>4</v>
      </c>
      <c r="Z750">
        <v>0</v>
      </c>
      <c r="AA750">
        <v>7</v>
      </c>
      <c r="AB750">
        <v>6</v>
      </c>
      <c r="AC750">
        <v>3</v>
      </c>
      <c r="AD750" s="14">
        <v>2</v>
      </c>
      <c r="AE750" t="str">
        <f t="shared" si="23"/>
        <v>0-2 years</v>
      </c>
      <c r="AF750" s="14">
        <v>2</v>
      </c>
      <c r="AG750" s="14">
        <v>2</v>
      </c>
      <c r="AH750" s="14">
        <v>2</v>
      </c>
    </row>
    <row r="751" spans="1:34" x14ac:dyDescent="0.3">
      <c r="A751" s="14">
        <v>52</v>
      </c>
      <c r="B751" s="17" t="s">
        <v>35</v>
      </c>
      <c r="C751" t="s">
        <v>36</v>
      </c>
      <c r="D751">
        <v>266</v>
      </c>
      <c r="E751" s="17" t="s">
        <v>37</v>
      </c>
      <c r="F751">
        <v>2</v>
      </c>
      <c r="G751">
        <v>1</v>
      </c>
      <c r="H751" t="s">
        <v>59</v>
      </c>
      <c r="I751">
        <v>1038</v>
      </c>
      <c r="J751">
        <v>1</v>
      </c>
      <c r="K751" s="17" t="s">
        <v>39</v>
      </c>
      <c r="L751">
        <v>57</v>
      </c>
      <c r="M751">
        <v>1</v>
      </c>
      <c r="N751">
        <v>5</v>
      </c>
      <c r="O751" s="17" t="s">
        <v>56</v>
      </c>
      <c r="P751" s="14">
        <v>4</v>
      </c>
      <c r="Q751" t="s">
        <v>48</v>
      </c>
      <c r="R751" s="14">
        <v>19845</v>
      </c>
      <c r="S751" s="17" t="str">
        <f t="shared" si="22"/>
        <v>high</v>
      </c>
      <c r="T751">
        <v>25846</v>
      </c>
      <c r="U751">
        <v>1</v>
      </c>
      <c r="V751" s="17" t="s">
        <v>43</v>
      </c>
      <c r="W751">
        <v>15</v>
      </c>
      <c r="X751">
        <v>3</v>
      </c>
      <c r="Y751">
        <v>4</v>
      </c>
      <c r="Z751">
        <v>1</v>
      </c>
      <c r="AA751">
        <v>33</v>
      </c>
      <c r="AB751">
        <v>3</v>
      </c>
      <c r="AC751">
        <v>3</v>
      </c>
      <c r="AD751" s="14">
        <v>32</v>
      </c>
      <c r="AE751" t="str">
        <f t="shared" si="23"/>
        <v>10+ years</v>
      </c>
      <c r="AF751" s="14">
        <v>14</v>
      </c>
      <c r="AG751" s="14">
        <v>6</v>
      </c>
      <c r="AH751" s="14">
        <v>9</v>
      </c>
    </row>
    <row r="752" spans="1:34" x14ac:dyDescent="0.3">
      <c r="A752" s="14">
        <v>44</v>
      </c>
      <c r="B752" s="17" t="s">
        <v>43</v>
      </c>
      <c r="C752" t="s">
        <v>36</v>
      </c>
      <c r="D752">
        <v>1448</v>
      </c>
      <c r="E752" s="17" t="s">
        <v>37</v>
      </c>
      <c r="F752">
        <v>28</v>
      </c>
      <c r="G752">
        <v>3</v>
      </c>
      <c r="H752" t="s">
        <v>51</v>
      </c>
      <c r="I752">
        <v>1039</v>
      </c>
      <c r="J752">
        <v>4</v>
      </c>
      <c r="K752" s="17" t="s">
        <v>39</v>
      </c>
      <c r="L752">
        <v>53</v>
      </c>
      <c r="M752">
        <v>4</v>
      </c>
      <c r="N752">
        <v>4</v>
      </c>
      <c r="O752" s="17" t="s">
        <v>40</v>
      </c>
      <c r="P752" s="14">
        <v>4</v>
      </c>
      <c r="Q752" t="s">
        <v>48</v>
      </c>
      <c r="R752" s="14">
        <v>13320</v>
      </c>
      <c r="S752" s="17" t="str">
        <f t="shared" si="22"/>
        <v>high</v>
      </c>
      <c r="T752">
        <v>11737</v>
      </c>
      <c r="U752">
        <v>3</v>
      </c>
      <c r="V752" s="17" t="s">
        <v>35</v>
      </c>
      <c r="W752">
        <v>18</v>
      </c>
      <c r="X752">
        <v>3</v>
      </c>
      <c r="Y752">
        <v>3</v>
      </c>
      <c r="Z752">
        <v>1</v>
      </c>
      <c r="AA752">
        <v>23</v>
      </c>
      <c r="AB752">
        <v>2</v>
      </c>
      <c r="AC752">
        <v>3</v>
      </c>
      <c r="AD752" s="14">
        <v>12</v>
      </c>
      <c r="AE752" t="str">
        <f t="shared" si="23"/>
        <v>10+ years</v>
      </c>
      <c r="AF752" s="14">
        <v>11</v>
      </c>
      <c r="AG752" s="14">
        <v>11</v>
      </c>
      <c r="AH752" s="14">
        <v>11</v>
      </c>
    </row>
    <row r="753" spans="1:34" x14ac:dyDescent="0.3">
      <c r="A753" s="14">
        <v>50</v>
      </c>
      <c r="B753" s="17" t="s">
        <v>43</v>
      </c>
      <c r="C753" t="s">
        <v>55</v>
      </c>
      <c r="D753">
        <v>145</v>
      </c>
      <c r="E753" s="17" t="s">
        <v>37</v>
      </c>
      <c r="F753">
        <v>1</v>
      </c>
      <c r="G753">
        <v>3</v>
      </c>
      <c r="H753" t="s">
        <v>38</v>
      </c>
      <c r="I753">
        <v>1040</v>
      </c>
      <c r="J753">
        <v>4</v>
      </c>
      <c r="K753" s="17" t="s">
        <v>39</v>
      </c>
      <c r="L753">
        <v>95</v>
      </c>
      <c r="M753">
        <v>3</v>
      </c>
      <c r="N753">
        <v>2</v>
      </c>
      <c r="O753" s="17" t="s">
        <v>40</v>
      </c>
      <c r="P753" s="14">
        <v>3</v>
      </c>
      <c r="Q753" t="s">
        <v>48</v>
      </c>
      <c r="R753" s="14">
        <v>6347</v>
      </c>
      <c r="S753" s="17" t="str">
        <f t="shared" si="22"/>
        <v>medium</v>
      </c>
      <c r="T753">
        <v>24920</v>
      </c>
      <c r="U753">
        <v>0</v>
      </c>
      <c r="V753" s="17" t="s">
        <v>43</v>
      </c>
      <c r="W753">
        <v>12</v>
      </c>
      <c r="X753">
        <v>3</v>
      </c>
      <c r="Y753">
        <v>1</v>
      </c>
      <c r="Z753">
        <v>1</v>
      </c>
      <c r="AA753">
        <v>19</v>
      </c>
      <c r="AB753">
        <v>3</v>
      </c>
      <c r="AC753">
        <v>3</v>
      </c>
      <c r="AD753" s="14">
        <v>18</v>
      </c>
      <c r="AE753" t="str">
        <f t="shared" si="23"/>
        <v>10+ years</v>
      </c>
      <c r="AF753" s="14">
        <v>7</v>
      </c>
      <c r="AG753" s="14">
        <v>0</v>
      </c>
      <c r="AH753" s="14">
        <v>13</v>
      </c>
    </row>
    <row r="754" spans="1:34" x14ac:dyDescent="0.3">
      <c r="A754" s="14">
        <v>36</v>
      </c>
      <c r="B754" s="17" t="s">
        <v>35</v>
      </c>
      <c r="C754" t="s">
        <v>36</v>
      </c>
      <c r="D754">
        <v>885</v>
      </c>
      <c r="E754" s="17" t="s">
        <v>45</v>
      </c>
      <c r="F754">
        <v>16</v>
      </c>
      <c r="G754">
        <v>4</v>
      </c>
      <c r="H754" t="s">
        <v>38</v>
      </c>
      <c r="I754">
        <v>1042</v>
      </c>
      <c r="J754">
        <v>3</v>
      </c>
      <c r="K754" s="17" t="s">
        <v>39</v>
      </c>
      <c r="L754">
        <v>43</v>
      </c>
      <c r="M754">
        <v>4</v>
      </c>
      <c r="N754">
        <v>1</v>
      </c>
      <c r="O754" s="17" t="s">
        <v>50</v>
      </c>
      <c r="P754" s="14">
        <v>1</v>
      </c>
      <c r="Q754" t="s">
        <v>41</v>
      </c>
      <c r="R754" s="14">
        <v>2743</v>
      </c>
      <c r="S754" s="17" t="str">
        <f t="shared" si="22"/>
        <v>low</v>
      </c>
      <c r="T754">
        <v>8269</v>
      </c>
      <c r="U754">
        <v>1</v>
      </c>
      <c r="V754" s="17" t="s">
        <v>43</v>
      </c>
      <c r="W754">
        <v>16</v>
      </c>
      <c r="X754">
        <v>3</v>
      </c>
      <c r="Y754">
        <v>3</v>
      </c>
      <c r="Z754">
        <v>0</v>
      </c>
      <c r="AA754">
        <v>18</v>
      </c>
      <c r="AB754">
        <v>1</v>
      </c>
      <c r="AC754">
        <v>3</v>
      </c>
      <c r="AD754" s="14">
        <v>17</v>
      </c>
      <c r="AE754" t="str">
        <f t="shared" si="23"/>
        <v>10+ years</v>
      </c>
      <c r="AF754" s="14">
        <v>13</v>
      </c>
      <c r="AG754" s="14">
        <v>15</v>
      </c>
      <c r="AH754" s="14">
        <v>14</v>
      </c>
    </row>
    <row r="755" spans="1:34" x14ac:dyDescent="0.3">
      <c r="A755" s="14">
        <v>39</v>
      </c>
      <c r="B755" s="17" t="s">
        <v>43</v>
      </c>
      <c r="C755" t="s">
        <v>44</v>
      </c>
      <c r="D755">
        <v>945</v>
      </c>
      <c r="E755" s="17" t="s">
        <v>45</v>
      </c>
      <c r="F755">
        <v>22</v>
      </c>
      <c r="G755">
        <v>3</v>
      </c>
      <c r="H755" t="s">
        <v>51</v>
      </c>
      <c r="I755">
        <v>1043</v>
      </c>
      <c r="J755">
        <v>4</v>
      </c>
      <c r="K755" s="17" t="s">
        <v>39</v>
      </c>
      <c r="L755">
        <v>82</v>
      </c>
      <c r="M755">
        <v>3</v>
      </c>
      <c r="N755">
        <v>3</v>
      </c>
      <c r="O755" s="17" t="s">
        <v>53</v>
      </c>
      <c r="P755" s="14">
        <v>1</v>
      </c>
      <c r="Q755" t="s">
        <v>41</v>
      </c>
      <c r="R755" s="14">
        <v>10880</v>
      </c>
      <c r="S755" s="17" t="str">
        <f t="shared" si="22"/>
        <v>high</v>
      </c>
      <c r="T755">
        <v>5083</v>
      </c>
      <c r="U755">
        <v>1</v>
      </c>
      <c r="V755" s="17" t="s">
        <v>35</v>
      </c>
      <c r="W755">
        <v>13</v>
      </c>
      <c r="X755">
        <v>3</v>
      </c>
      <c r="Y755">
        <v>3</v>
      </c>
      <c r="Z755">
        <v>0</v>
      </c>
      <c r="AA755">
        <v>21</v>
      </c>
      <c r="AB755">
        <v>2</v>
      </c>
      <c r="AC755">
        <v>3</v>
      </c>
      <c r="AD755" s="14">
        <v>21</v>
      </c>
      <c r="AE755" t="str">
        <f t="shared" si="23"/>
        <v>10+ years</v>
      </c>
      <c r="AF755" s="14">
        <v>6</v>
      </c>
      <c r="AG755" s="14">
        <v>2</v>
      </c>
      <c r="AH755" s="14">
        <v>8</v>
      </c>
    </row>
    <row r="756" spans="1:34" x14ac:dyDescent="0.3">
      <c r="A756" s="14">
        <v>33</v>
      </c>
      <c r="B756" s="17" t="s">
        <v>43</v>
      </c>
      <c r="C756" t="s">
        <v>55</v>
      </c>
      <c r="D756">
        <v>1038</v>
      </c>
      <c r="E756" s="17" t="s">
        <v>37</v>
      </c>
      <c r="F756">
        <v>8</v>
      </c>
      <c r="G756">
        <v>1</v>
      </c>
      <c r="H756" t="s">
        <v>38</v>
      </c>
      <c r="I756">
        <v>1044</v>
      </c>
      <c r="J756">
        <v>2</v>
      </c>
      <c r="K756" s="17" t="s">
        <v>39</v>
      </c>
      <c r="L756">
        <v>88</v>
      </c>
      <c r="M756">
        <v>2</v>
      </c>
      <c r="N756">
        <v>1</v>
      </c>
      <c r="O756" s="17" t="s">
        <v>57</v>
      </c>
      <c r="P756" s="14">
        <v>4</v>
      </c>
      <c r="Q756" t="s">
        <v>41</v>
      </c>
      <c r="R756" s="14">
        <v>2342</v>
      </c>
      <c r="S756" s="17" t="str">
        <f t="shared" si="22"/>
        <v>low</v>
      </c>
      <c r="T756">
        <v>21437</v>
      </c>
      <c r="U756">
        <v>0</v>
      </c>
      <c r="V756" s="17" t="s">
        <v>43</v>
      </c>
      <c r="W756">
        <v>19</v>
      </c>
      <c r="X756">
        <v>3</v>
      </c>
      <c r="Y756">
        <v>4</v>
      </c>
      <c r="Z756">
        <v>0</v>
      </c>
      <c r="AA756">
        <v>3</v>
      </c>
      <c r="AB756">
        <v>2</v>
      </c>
      <c r="AC756">
        <v>2</v>
      </c>
      <c r="AD756" s="14">
        <v>2</v>
      </c>
      <c r="AE756" t="str">
        <f t="shared" si="23"/>
        <v>0-2 years</v>
      </c>
      <c r="AF756" s="14">
        <v>2</v>
      </c>
      <c r="AG756" s="14">
        <v>2</v>
      </c>
      <c r="AH756" s="14">
        <v>2</v>
      </c>
    </row>
    <row r="757" spans="1:34" x14ac:dyDescent="0.3">
      <c r="A757" s="14">
        <v>45</v>
      </c>
      <c r="B757" s="17" t="s">
        <v>43</v>
      </c>
      <c r="C757" t="s">
        <v>36</v>
      </c>
      <c r="D757">
        <v>1234</v>
      </c>
      <c r="E757" s="17" t="s">
        <v>37</v>
      </c>
      <c r="F757">
        <v>11</v>
      </c>
      <c r="G757">
        <v>2</v>
      </c>
      <c r="H757" t="s">
        <v>38</v>
      </c>
      <c r="I757">
        <v>1045</v>
      </c>
      <c r="J757">
        <v>4</v>
      </c>
      <c r="K757" s="17" t="s">
        <v>39</v>
      </c>
      <c r="L757">
        <v>90</v>
      </c>
      <c r="M757">
        <v>3</v>
      </c>
      <c r="N757">
        <v>4</v>
      </c>
      <c r="O757" s="17" t="s">
        <v>56</v>
      </c>
      <c r="P757" s="14">
        <v>4</v>
      </c>
      <c r="Q757" t="s">
        <v>48</v>
      </c>
      <c r="R757" s="14">
        <v>17650</v>
      </c>
      <c r="S757" s="17" t="str">
        <f t="shared" si="22"/>
        <v>high</v>
      </c>
      <c r="T757">
        <v>5404</v>
      </c>
      <c r="U757">
        <v>3</v>
      </c>
      <c r="V757" s="17" t="s">
        <v>43</v>
      </c>
      <c r="W757">
        <v>13</v>
      </c>
      <c r="X757">
        <v>3</v>
      </c>
      <c r="Y757">
        <v>2</v>
      </c>
      <c r="Z757">
        <v>1</v>
      </c>
      <c r="AA757">
        <v>26</v>
      </c>
      <c r="AB757">
        <v>4</v>
      </c>
      <c r="AC757">
        <v>4</v>
      </c>
      <c r="AD757" s="14">
        <v>9</v>
      </c>
      <c r="AE757" t="str">
        <f t="shared" si="23"/>
        <v>6-10 years</v>
      </c>
      <c r="AF757" s="14">
        <v>3</v>
      </c>
      <c r="AG757" s="14">
        <v>1</v>
      </c>
      <c r="AH757" s="14">
        <v>1</v>
      </c>
    </row>
    <row r="758" spans="1:34" x14ac:dyDescent="0.3">
      <c r="A758" s="14">
        <v>32</v>
      </c>
      <c r="B758" s="17" t="s">
        <v>43</v>
      </c>
      <c r="C758" t="s">
        <v>55</v>
      </c>
      <c r="D758">
        <v>1109</v>
      </c>
      <c r="E758" s="17" t="s">
        <v>45</v>
      </c>
      <c r="F758">
        <v>29</v>
      </c>
      <c r="G758">
        <v>4</v>
      </c>
      <c r="H758" t="s">
        <v>51</v>
      </c>
      <c r="I758">
        <v>1046</v>
      </c>
      <c r="J758">
        <v>4</v>
      </c>
      <c r="K758" s="17" t="s">
        <v>39</v>
      </c>
      <c r="L758">
        <v>69</v>
      </c>
      <c r="M758">
        <v>3</v>
      </c>
      <c r="N758">
        <v>1</v>
      </c>
      <c r="O758" s="17" t="s">
        <v>50</v>
      </c>
      <c r="P758" s="14">
        <v>3</v>
      </c>
      <c r="Q758" t="s">
        <v>41</v>
      </c>
      <c r="R758" s="14">
        <v>4025</v>
      </c>
      <c r="S758" s="17" t="str">
        <f t="shared" si="22"/>
        <v>medium</v>
      </c>
      <c r="T758">
        <v>11135</v>
      </c>
      <c r="U758">
        <v>9</v>
      </c>
      <c r="V758" s="17" t="s">
        <v>43</v>
      </c>
      <c r="W758">
        <v>12</v>
      </c>
      <c r="X758">
        <v>3</v>
      </c>
      <c r="Y758">
        <v>2</v>
      </c>
      <c r="Z758">
        <v>0</v>
      </c>
      <c r="AA758">
        <v>10</v>
      </c>
      <c r="AB758">
        <v>2</v>
      </c>
      <c r="AC758">
        <v>3</v>
      </c>
      <c r="AD758" s="14">
        <v>8</v>
      </c>
      <c r="AE758" t="str">
        <f t="shared" si="23"/>
        <v>6-10 years</v>
      </c>
      <c r="AF758" s="14">
        <v>7</v>
      </c>
      <c r="AG758" s="14">
        <v>7</v>
      </c>
      <c r="AH758" s="14">
        <v>7</v>
      </c>
    </row>
    <row r="759" spans="1:34" x14ac:dyDescent="0.3">
      <c r="A759" s="14">
        <v>34</v>
      </c>
      <c r="B759" s="17" t="s">
        <v>43</v>
      </c>
      <c r="C759" t="s">
        <v>36</v>
      </c>
      <c r="D759">
        <v>216</v>
      </c>
      <c r="E759" s="17" t="s">
        <v>37</v>
      </c>
      <c r="F759">
        <v>1</v>
      </c>
      <c r="G759">
        <v>4</v>
      </c>
      <c r="H759" t="s">
        <v>59</v>
      </c>
      <c r="I759">
        <v>1047</v>
      </c>
      <c r="J759">
        <v>2</v>
      </c>
      <c r="K759" s="17" t="s">
        <v>46</v>
      </c>
      <c r="L759">
        <v>75</v>
      </c>
      <c r="M759">
        <v>4</v>
      </c>
      <c r="N759">
        <v>2</v>
      </c>
      <c r="O759" s="17" t="s">
        <v>40</v>
      </c>
      <c r="P759" s="14">
        <v>4</v>
      </c>
      <c r="Q759" t="s">
        <v>52</v>
      </c>
      <c r="R759" s="14">
        <v>9725</v>
      </c>
      <c r="S759" s="17" t="str">
        <f t="shared" si="22"/>
        <v>high</v>
      </c>
      <c r="T759">
        <v>12278</v>
      </c>
      <c r="U759">
        <v>0</v>
      </c>
      <c r="V759" s="17" t="s">
        <v>43</v>
      </c>
      <c r="W759">
        <v>11</v>
      </c>
      <c r="X759">
        <v>3</v>
      </c>
      <c r="Y759">
        <v>4</v>
      </c>
      <c r="Z759">
        <v>1</v>
      </c>
      <c r="AA759">
        <v>16</v>
      </c>
      <c r="AB759">
        <v>2</v>
      </c>
      <c r="AC759">
        <v>2</v>
      </c>
      <c r="AD759" s="14">
        <v>15</v>
      </c>
      <c r="AE759" t="str">
        <f t="shared" si="23"/>
        <v>10+ years</v>
      </c>
      <c r="AF759" s="14">
        <v>1</v>
      </c>
      <c r="AG759" s="14">
        <v>0</v>
      </c>
      <c r="AH759" s="14">
        <v>9</v>
      </c>
    </row>
    <row r="760" spans="1:34" x14ac:dyDescent="0.3">
      <c r="A760" s="14">
        <v>59</v>
      </c>
      <c r="B760" s="17" t="s">
        <v>43</v>
      </c>
      <c r="C760" t="s">
        <v>36</v>
      </c>
      <c r="D760">
        <v>1089</v>
      </c>
      <c r="E760" s="17" t="s">
        <v>37</v>
      </c>
      <c r="F760">
        <v>1</v>
      </c>
      <c r="G760">
        <v>2</v>
      </c>
      <c r="H760" t="s">
        <v>60</v>
      </c>
      <c r="I760">
        <v>1048</v>
      </c>
      <c r="J760">
        <v>2</v>
      </c>
      <c r="K760" s="17" t="s">
        <v>46</v>
      </c>
      <c r="L760">
        <v>66</v>
      </c>
      <c r="M760">
        <v>3</v>
      </c>
      <c r="N760">
        <v>3</v>
      </c>
      <c r="O760" s="17" t="s">
        <v>56</v>
      </c>
      <c r="P760" s="14">
        <v>4</v>
      </c>
      <c r="Q760" t="s">
        <v>48</v>
      </c>
      <c r="R760" s="14">
        <v>11904</v>
      </c>
      <c r="S760" s="17" t="str">
        <f t="shared" si="22"/>
        <v>high</v>
      </c>
      <c r="T760">
        <v>11038</v>
      </c>
      <c r="U760">
        <v>3</v>
      </c>
      <c r="V760" s="17" t="s">
        <v>35</v>
      </c>
      <c r="W760">
        <v>14</v>
      </c>
      <c r="X760">
        <v>3</v>
      </c>
      <c r="Y760">
        <v>3</v>
      </c>
      <c r="Z760">
        <v>1</v>
      </c>
      <c r="AA760">
        <v>14</v>
      </c>
      <c r="AB760">
        <v>1</v>
      </c>
      <c r="AC760">
        <v>1</v>
      </c>
      <c r="AD760" s="14">
        <v>6</v>
      </c>
      <c r="AE760" t="str">
        <f t="shared" si="23"/>
        <v>6-10 years</v>
      </c>
      <c r="AF760" s="14">
        <v>4</v>
      </c>
      <c r="AG760" s="14">
        <v>0</v>
      </c>
      <c r="AH760" s="14">
        <v>4</v>
      </c>
    </row>
    <row r="761" spans="1:34" x14ac:dyDescent="0.3">
      <c r="A761" s="14">
        <v>45</v>
      </c>
      <c r="B761" s="17" t="s">
        <v>43</v>
      </c>
      <c r="C761" t="s">
        <v>36</v>
      </c>
      <c r="D761">
        <v>788</v>
      </c>
      <c r="E761" s="17" t="s">
        <v>61</v>
      </c>
      <c r="F761">
        <v>24</v>
      </c>
      <c r="G761">
        <v>4</v>
      </c>
      <c r="H761" t="s">
        <v>51</v>
      </c>
      <c r="I761">
        <v>1049</v>
      </c>
      <c r="J761">
        <v>2</v>
      </c>
      <c r="K761" s="17" t="s">
        <v>46</v>
      </c>
      <c r="L761">
        <v>36</v>
      </c>
      <c r="M761">
        <v>3</v>
      </c>
      <c r="N761">
        <v>1</v>
      </c>
      <c r="O761" s="17" t="s">
        <v>61</v>
      </c>
      <c r="P761" s="14">
        <v>2</v>
      </c>
      <c r="Q761" t="s">
        <v>41</v>
      </c>
      <c r="R761" s="14">
        <v>2177</v>
      </c>
      <c r="S761" s="17" t="str">
        <f t="shared" si="22"/>
        <v>low</v>
      </c>
      <c r="T761">
        <v>8318</v>
      </c>
      <c r="U761">
        <v>1</v>
      </c>
      <c r="V761" s="17" t="s">
        <v>43</v>
      </c>
      <c r="W761">
        <v>16</v>
      </c>
      <c r="X761">
        <v>3</v>
      </c>
      <c r="Y761">
        <v>1</v>
      </c>
      <c r="Z761">
        <v>0</v>
      </c>
      <c r="AA761">
        <v>6</v>
      </c>
      <c r="AB761">
        <v>3</v>
      </c>
      <c r="AC761">
        <v>3</v>
      </c>
      <c r="AD761" s="14">
        <v>6</v>
      </c>
      <c r="AE761" t="str">
        <f t="shared" si="23"/>
        <v>6-10 years</v>
      </c>
      <c r="AF761" s="14">
        <v>3</v>
      </c>
      <c r="AG761" s="14">
        <v>0</v>
      </c>
      <c r="AH761" s="14">
        <v>4</v>
      </c>
    </row>
    <row r="762" spans="1:34" x14ac:dyDescent="0.3">
      <c r="A762" s="14">
        <v>53</v>
      </c>
      <c r="B762" s="17" t="s">
        <v>43</v>
      </c>
      <c r="C762" t="s">
        <v>44</v>
      </c>
      <c r="D762">
        <v>124</v>
      </c>
      <c r="E762" s="17" t="s">
        <v>37</v>
      </c>
      <c r="F762">
        <v>2</v>
      </c>
      <c r="G762">
        <v>3</v>
      </c>
      <c r="H762" t="s">
        <v>59</v>
      </c>
      <c r="I762">
        <v>1050</v>
      </c>
      <c r="J762">
        <v>3</v>
      </c>
      <c r="K762" s="17" t="s">
        <v>39</v>
      </c>
      <c r="L762">
        <v>38</v>
      </c>
      <c r="M762">
        <v>2</v>
      </c>
      <c r="N762">
        <v>3</v>
      </c>
      <c r="O762" s="17" t="s">
        <v>40</v>
      </c>
      <c r="P762" s="14">
        <v>2</v>
      </c>
      <c r="Q762" t="s">
        <v>48</v>
      </c>
      <c r="R762" s="14">
        <v>7525</v>
      </c>
      <c r="S762" s="17" t="str">
        <f t="shared" si="22"/>
        <v>high</v>
      </c>
      <c r="T762">
        <v>23537</v>
      </c>
      <c r="U762">
        <v>2</v>
      </c>
      <c r="V762" s="17" t="s">
        <v>43</v>
      </c>
      <c r="W762">
        <v>12</v>
      </c>
      <c r="X762">
        <v>3</v>
      </c>
      <c r="Y762">
        <v>1</v>
      </c>
      <c r="Z762">
        <v>1</v>
      </c>
      <c r="AA762">
        <v>30</v>
      </c>
      <c r="AB762">
        <v>2</v>
      </c>
      <c r="AC762">
        <v>3</v>
      </c>
      <c r="AD762" s="14">
        <v>15</v>
      </c>
      <c r="AE762" t="str">
        <f t="shared" si="23"/>
        <v>10+ years</v>
      </c>
      <c r="AF762" s="14">
        <v>7</v>
      </c>
      <c r="AG762" s="14">
        <v>6</v>
      </c>
      <c r="AH762" s="14">
        <v>12</v>
      </c>
    </row>
    <row r="763" spans="1:34" x14ac:dyDescent="0.3">
      <c r="A763" s="14">
        <v>36</v>
      </c>
      <c r="B763" s="17" t="s">
        <v>35</v>
      </c>
      <c r="C763" t="s">
        <v>36</v>
      </c>
      <c r="D763">
        <v>660</v>
      </c>
      <c r="E763" s="17" t="s">
        <v>45</v>
      </c>
      <c r="F763">
        <v>15</v>
      </c>
      <c r="G763">
        <v>3</v>
      </c>
      <c r="H763" t="s">
        <v>49</v>
      </c>
      <c r="I763">
        <v>1052</v>
      </c>
      <c r="J763">
        <v>1</v>
      </c>
      <c r="K763" s="17" t="s">
        <v>46</v>
      </c>
      <c r="L763">
        <v>81</v>
      </c>
      <c r="M763">
        <v>3</v>
      </c>
      <c r="N763">
        <v>2</v>
      </c>
      <c r="O763" s="17" t="s">
        <v>50</v>
      </c>
      <c r="P763" s="14">
        <v>3</v>
      </c>
      <c r="Q763" t="s">
        <v>52</v>
      </c>
      <c r="R763" s="14">
        <v>4834</v>
      </c>
      <c r="S763" s="17" t="str">
        <f t="shared" si="22"/>
        <v>medium</v>
      </c>
      <c r="T763">
        <v>7858</v>
      </c>
      <c r="U763">
        <v>7</v>
      </c>
      <c r="V763" s="17" t="s">
        <v>43</v>
      </c>
      <c r="W763">
        <v>14</v>
      </c>
      <c r="X763">
        <v>3</v>
      </c>
      <c r="Y763">
        <v>2</v>
      </c>
      <c r="Z763">
        <v>1</v>
      </c>
      <c r="AA763">
        <v>9</v>
      </c>
      <c r="AB763">
        <v>3</v>
      </c>
      <c r="AC763">
        <v>2</v>
      </c>
      <c r="AD763" s="14">
        <v>1</v>
      </c>
      <c r="AE763" t="str">
        <f t="shared" si="23"/>
        <v>0-2 years</v>
      </c>
      <c r="AF763" s="14">
        <v>0</v>
      </c>
      <c r="AG763" s="14">
        <v>0</v>
      </c>
      <c r="AH763" s="14">
        <v>0</v>
      </c>
    </row>
    <row r="764" spans="1:34" x14ac:dyDescent="0.3">
      <c r="A764" s="14">
        <v>26</v>
      </c>
      <c r="B764" s="17" t="s">
        <v>35</v>
      </c>
      <c r="C764" t="s">
        <v>44</v>
      </c>
      <c r="D764">
        <v>342</v>
      </c>
      <c r="E764" s="17" t="s">
        <v>45</v>
      </c>
      <c r="F764">
        <v>2</v>
      </c>
      <c r="G764">
        <v>3</v>
      </c>
      <c r="H764" t="s">
        <v>38</v>
      </c>
      <c r="I764">
        <v>1053</v>
      </c>
      <c r="J764">
        <v>1</v>
      </c>
      <c r="K764" s="17" t="s">
        <v>46</v>
      </c>
      <c r="L764">
        <v>57</v>
      </c>
      <c r="M764">
        <v>3</v>
      </c>
      <c r="N764">
        <v>1</v>
      </c>
      <c r="O764" s="17" t="s">
        <v>47</v>
      </c>
      <c r="P764" s="14">
        <v>1</v>
      </c>
      <c r="Q764" t="s">
        <v>48</v>
      </c>
      <c r="R764" s="14">
        <v>2042</v>
      </c>
      <c r="S764" s="17" t="str">
        <f t="shared" si="22"/>
        <v>low</v>
      </c>
      <c r="T764">
        <v>15346</v>
      </c>
      <c r="U764">
        <v>6</v>
      </c>
      <c r="V764" s="17" t="s">
        <v>35</v>
      </c>
      <c r="W764">
        <v>14</v>
      </c>
      <c r="X764">
        <v>3</v>
      </c>
      <c r="Y764">
        <v>2</v>
      </c>
      <c r="Z764">
        <v>1</v>
      </c>
      <c r="AA764">
        <v>6</v>
      </c>
      <c r="AB764">
        <v>2</v>
      </c>
      <c r="AC764">
        <v>3</v>
      </c>
      <c r="AD764" s="14">
        <v>3</v>
      </c>
      <c r="AE764" t="str">
        <f t="shared" si="23"/>
        <v>3-5 years</v>
      </c>
      <c r="AF764" s="14">
        <v>2</v>
      </c>
      <c r="AG764" s="14">
        <v>1</v>
      </c>
      <c r="AH764" s="14">
        <v>2</v>
      </c>
    </row>
    <row r="765" spans="1:34" x14ac:dyDescent="0.3">
      <c r="A765" s="14">
        <v>34</v>
      </c>
      <c r="B765" s="17" t="s">
        <v>43</v>
      </c>
      <c r="C765" t="s">
        <v>36</v>
      </c>
      <c r="D765">
        <v>1333</v>
      </c>
      <c r="E765" s="17" t="s">
        <v>37</v>
      </c>
      <c r="F765">
        <v>10</v>
      </c>
      <c r="G765">
        <v>4</v>
      </c>
      <c r="H765" t="s">
        <v>38</v>
      </c>
      <c r="I765">
        <v>1055</v>
      </c>
      <c r="J765">
        <v>3</v>
      </c>
      <c r="K765" s="17" t="s">
        <v>39</v>
      </c>
      <c r="L765">
        <v>87</v>
      </c>
      <c r="M765">
        <v>3</v>
      </c>
      <c r="N765">
        <v>1</v>
      </c>
      <c r="O765" s="17" t="s">
        <v>57</v>
      </c>
      <c r="P765" s="14">
        <v>3</v>
      </c>
      <c r="Q765" t="s">
        <v>48</v>
      </c>
      <c r="R765" s="14">
        <v>2220</v>
      </c>
      <c r="S765" s="17" t="str">
        <f t="shared" si="22"/>
        <v>low</v>
      </c>
      <c r="T765">
        <v>18410</v>
      </c>
      <c r="U765">
        <v>1</v>
      </c>
      <c r="V765" s="17" t="s">
        <v>35</v>
      </c>
      <c r="W765">
        <v>19</v>
      </c>
      <c r="X765">
        <v>3</v>
      </c>
      <c r="Y765">
        <v>4</v>
      </c>
      <c r="Z765">
        <v>1</v>
      </c>
      <c r="AA765">
        <v>1</v>
      </c>
      <c r="AB765">
        <v>2</v>
      </c>
      <c r="AC765">
        <v>3</v>
      </c>
      <c r="AD765" s="14">
        <v>1</v>
      </c>
      <c r="AE765" t="str">
        <f t="shared" si="23"/>
        <v>0-2 years</v>
      </c>
      <c r="AF765" s="14">
        <v>1</v>
      </c>
      <c r="AG765" s="14">
        <v>0</v>
      </c>
      <c r="AH765" s="14">
        <v>0</v>
      </c>
    </row>
    <row r="766" spans="1:34" x14ac:dyDescent="0.3">
      <c r="A766" s="14">
        <v>28</v>
      </c>
      <c r="B766" s="17" t="s">
        <v>43</v>
      </c>
      <c r="C766" t="s">
        <v>36</v>
      </c>
      <c r="D766">
        <v>1144</v>
      </c>
      <c r="E766" s="17" t="s">
        <v>37</v>
      </c>
      <c r="F766">
        <v>10</v>
      </c>
      <c r="G766">
        <v>1</v>
      </c>
      <c r="H766" t="s">
        <v>51</v>
      </c>
      <c r="I766">
        <v>1056</v>
      </c>
      <c r="J766">
        <v>4</v>
      </c>
      <c r="K766" s="17" t="s">
        <v>46</v>
      </c>
      <c r="L766">
        <v>74</v>
      </c>
      <c r="M766">
        <v>3</v>
      </c>
      <c r="N766">
        <v>1</v>
      </c>
      <c r="O766" s="17" t="s">
        <v>57</v>
      </c>
      <c r="P766" s="14">
        <v>2</v>
      </c>
      <c r="Q766" t="s">
        <v>48</v>
      </c>
      <c r="R766" s="14">
        <v>1052</v>
      </c>
      <c r="S766" s="17" t="str">
        <f t="shared" si="22"/>
        <v>low</v>
      </c>
      <c r="T766">
        <v>23384</v>
      </c>
      <c r="U766">
        <v>1</v>
      </c>
      <c r="V766" s="17" t="s">
        <v>43</v>
      </c>
      <c r="W766">
        <v>22</v>
      </c>
      <c r="X766">
        <v>4</v>
      </c>
      <c r="Y766">
        <v>2</v>
      </c>
      <c r="Z766">
        <v>0</v>
      </c>
      <c r="AA766">
        <v>1</v>
      </c>
      <c r="AB766">
        <v>5</v>
      </c>
      <c r="AC766">
        <v>3</v>
      </c>
      <c r="AD766" s="14">
        <v>1</v>
      </c>
      <c r="AE766" t="str">
        <f t="shared" si="23"/>
        <v>0-2 years</v>
      </c>
      <c r="AF766" s="14">
        <v>0</v>
      </c>
      <c r="AG766" s="14">
        <v>0</v>
      </c>
      <c r="AH766" s="14">
        <v>0</v>
      </c>
    </row>
    <row r="767" spans="1:34" x14ac:dyDescent="0.3">
      <c r="A767" s="14">
        <v>38</v>
      </c>
      <c r="B767" s="17" t="s">
        <v>43</v>
      </c>
      <c r="C767" t="s">
        <v>44</v>
      </c>
      <c r="D767">
        <v>1186</v>
      </c>
      <c r="E767" s="17" t="s">
        <v>45</v>
      </c>
      <c r="F767">
        <v>3</v>
      </c>
      <c r="G767">
        <v>4</v>
      </c>
      <c r="H767" t="s">
        <v>49</v>
      </c>
      <c r="I767">
        <v>1060</v>
      </c>
      <c r="J767">
        <v>3</v>
      </c>
      <c r="K767" s="17" t="s">
        <v>46</v>
      </c>
      <c r="L767">
        <v>44</v>
      </c>
      <c r="M767">
        <v>3</v>
      </c>
      <c r="N767">
        <v>1</v>
      </c>
      <c r="O767" s="17" t="s">
        <v>47</v>
      </c>
      <c r="P767" s="14">
        <v>3</v>
      </c>
      <c r="Q767" t="s">
        <v>48</v>
      </c>
      <c r="R767" s="14">
        <v>2821</v>
      </c>
      <c r="S767" s="17" t="str">
        <f t="shared" si="22"/>
        <v>low</v>
      </c>
      <c r="T767">
        <v>2997</v>
      </c>
      <c r="U767">
        <v>3</v>
      </c>
      <c r="V767" s="17" t="s">
        <v>43</v>
      </c>
      <c r="W767">
        <v>16</v>
      </c>
      <c r="X767">
        <v>3</v>
      </c>
      <c r="Y767">
        <v>1</v>
      </c>
      <c r="Z767">
        <v>1</v>
      </c>
      <c r="AA767">
        <v>8</v>
      </c>
      <c r="AB767">
        <v>2</v>
      </c>
      <c r="AC767">
        <v>3</v>
      </c>
      <c r="AD767" s="14">
        <v>2</v>
      </c>
      <c r="AE767" t="str">
        <f t="shared" si="23"/>
        <v>0-2 years</v>
      </c>
      <c r="AF767" s="14">
        <v>2</v>
      </c>
      <c r="AG767" s="14">
        <v>2</v>
      </c>
      <c r="AH767" s="14">
        <v>2</v>
      </c>
    </row>
    <row r="768" spans="1:34" x14ac:dyDescent="0.3">
      <c r="A768" s="14">
        <v>50</v>
      </c>
      <c r="B768" s="17" t="s">
        <v>43</v>
      </c>
      <c r="C768" t="s">
        <v>36</v>
      </c>
      <c r="D768">
        <v>1464</v>
      </c>
      <c r="E768" s="17" t="s">
        <v>45</v>
      </c>
      <c r="F768">
        <v>2</v>
      </c>
      <c r="G768">
        <v>4</v>
      </c>
      <c r="H768" t="s">
        <v>51</v>
      </c>
      <c r="I768">
        <v>1061</v>
      </c>
      <c r="J768">
        <v>2</v>
      </c>
      <c r="K768" s="17" t="s">
        <v>46</v>
      </c>
      <c r="L768">
        <v>62</v>
      </c>
      <c r="M768">
        <v>3</v>
      </c>
      <c r="N768">
        <v>5</v>
      </c>
      <c r="O768" s="17" t="s">
        <v>58</v>
      </c>
      <c r="P768" s="14">
        <v>3</v>
      </c>
      <c r="Q768" t="s">
        <v>48</v>
      </c>
      <c r="R768" s="14">
        <v>19237</v>
      </c>
      <c r="S768" s="17" t="str">
        <f t="shared" si="22"/>
        <v>high</v>
      </c>
      <c r="T768">
        <v>12853</v>
      </c>
      <c r="U768">
        <v>2</v>
      </c>
      <c r="V768" s="17" t="s">
        <v>35</v>
      </c>
      <c r="W768">
        <v>11</v>
      </c>
      <c r="X768">
        <v>3</v>
      </c>
      <c r="Y768">
        <v>4</v>
      </c>
      <c r="Z768">
        <v>1</v>
      </c>
      <c r="AA768">
        <v>29</v>
      </c>
      <c r="AB768">
        <v>2</v>
      </c>
      <c r="AC768">
        <v>2</v>
      </c>
      <c r="AD768" s="14">
        <v>8</v>
      </c>
      <c r="AE768" t="str">
        <f t="shared" si="23"/>
        <v>6-10 years</v>
      </c>
      <c r="AF768" s="14">
        <v>1</v>
      </c>
      <c r="AG768" s="14">
        <v>7</v>
      </c>
      <c r="AH768" s="14">
        <v>7</v>
      </c>
    </row>
    <row r="769" spans="1:34" x14ac:dyDescent="0.3">
      <c r="A769" s="14">
        <v>37</v>
      </c>
      <c r="B769" s="17" t="s">
        <v>43</v>
      </c>
      <c r="C769" t="s">
        <v>36</v>
      </c>
      <c r="D769">
        <v>124</v>
      </c>
      <c r="E769" s="17" t="s">
        <v>45</v>
      </c>
      <c r="F769">
        <v>3</v>
      </c>
      <c r="G769">
        <v>3</v>
      </c>
      <c r="H769" t="s">
        <v>49</v>
      </c>
      <c r="I769">
        <v>1062</v>
      </c>
      <c r="J769">
        <v>4</v>
      </c>
      <c r="K769" s="17" t="s">
        <v>39</v>
      </c>
      <c r="L769">
        <v>35</v>
      </c>
      <c r="M769">
        <v>3</v>
      </c>
      <c r="N769">
        <v>2</v>
      </c>
      <c r="O769" s="17" t="s">
        <v>54</v>
      </c>
      <c r="P769" s="14">
        <v>2</v>
      </c>
      <c r="Q769" t="s">
        <v>41</v>
      </c>
      <c r="R769" s="14">
        <v>4107</v>
      </c>
      <c r="S769" s="17" t="str">
        <f t="shared" si="22"/>
        <v>medium</v>
      </c>
      <c r="T769">
        <v>13848</v>
      </c>
      <c r="U769">
        <v>3</v>
      </c>
      <c r="V769" s="17" t="s">
        <v>43</v>
      </c>
      <c r="W769">
        <v>15</v>
      </c>
      <c r="X769">
        <v>3</v>
      </c>
      <c r="Y769">
        <v>1</v>
      </c>
      <c r="Z769">
        <v>0</v>
      </c>
      <c r="AA769">
        <v>8</v>
      </c>
      <c r="AB769">
        <v>3</v>
      </c>
      <c r="AC769">
        <v>2</v>
      </c>
      <c r="AD769" s="14">
        <v>4</v>
      </c>
      <c r="AE769" t="str">
        <f t="shared" si="23"/>
        <v>3-5 years</v>
      </c>
      <c r="AF769" s="14">
        <v>3</v>
      </c>
      <c r="AG769" s="14">
        <v>0</v>
      </c>
      <c r="AH769" s="14">
        <v>1</v>
      </c>
    </row>
    <row r="770" spans="1:34" x14ac:dyDescent="0.3">
      <c r="A770" s="14">
        <v>40</v>
      </c>
      <c r="B770" s="17" t="s">
        <v>43</v>
      </c>
      <c r="C770" t="s">
        <v>36</v>
      </c>
      <c r="D770">
        <v>300</v>
      </c>
      <c r="E770" s="17" t="s">
        <v>37</v>
      </c>
      <c r="F770">
        <v>26</v>
      </c>
      <c r="G770">
        <v>3</v>
      </c>
      <c r="H770" t="s">
        <v>59</v>
      </c>
      <c r="I770">
        <v>1066</v>
      </c>
      <c r="J770">
        <v>3</v>
      </c>
      <c r="K770" s="17" t="s">
        <v>46</v>
      </c>
      <c r="L770">
        <v>74</v>
      </c>
      <c r="M770">
        <v>3</v>
      </c>
      <c r="N770">
        <v>2</v>
      </c>
      <c r="O770" s="17" t="s">
        <v>40</v>
      </c>
      <c r="P770" s="14">
        <v>1</v>
      </c>
      <c r="Q770" t="s">
        <v>48</v>
      </c>
      <c r="R770" s="14">
        <v>8396</v>
      </c>
      <c r="S770" s="17" t="str">
        <f t="shared" ref="S770:S833" si="24">IF(R770&lt;=3000, "low",IF(R770&lt;=7000,"medium","high"))</f>
        <v>high</v>
      </c>
      <c r="T770">
        <v>22217</v>
      </c>
      <c r="U770">
        <v>1</v>
      </c>
      <c r="V770" s="17" t="s">
        <v>43</v>
      </c>
      <c r="W770">
        <v>14</v>
      </c>
      <c r="X770">
        <v>3</v>
      </c>
      <c r="Y770">
        <v>2</v>
      </c>
      <c r="Z770">
        <v>1</v>
      </c>
      <c r="AA770">
        <v>8</v>
      </c>
      <c r="AB770">
        <v>3</v>
      </c>
      <c r="AC770">
        <v>2</v>
      </c>
      <c r="AD770" s="14">
        <v>7</v>
      </c>
      <c r="AE770" t="str">
        <f t="shared" ref="AE770:AE833" si="25">IF(AD770&lt;=2,"0-2 years", IF(AD770&lt;=5,"3-5 years", IF(AD770&lt;=10,"6-10 years","10+ years")))</f>
        <v>6-10 years</v>
      </c>
      <c r="AF770" s="14">
        <v>7</v>
      </c>
      <c r="AG770" s="14">
        <v>7</v>
      </c>
      <c r="AH770" s="14">
        <v>5</v>
      </c>
    </row>
    <row r="771" spans="1:34" x14ac:dyDescent="0.3">
      <c r="A771" s="14">
        <v>26</v>
      </c>
      <c r="B771" s="17" t="s">
        <v>43</v>
      </c>
      <c r="C771" t="s">
        <v>44</v>
      </c>
      <c r="D771">
        <v>921</v>
      </c>
      <c r="E771" s="17" t="s">
        <v>45</v>
      </c>
      <c r="F771">
        <v>1</v>
      </c>
      <c r="G771">
        <v>1</v>
      </c>
      <c r="H771" t="s">
        <v>51</v>
      </c>
      <c r="I771">
        <v>1068</v>
      </c>
      <c r="J771">
        <v>1</v>
      </c>
      <c r="K771" s="17" t="s">
        <v>39</v>
      </c>
      <c r="L771">
        <v>66</v>
      </c>
      <c r="M771">
        <v>2</v>
      </c>
      <c r="N771">
        <v>1</v>
      </c>
      <c r="O771" s="17" t="s">
        <v>47</v>
      </c>
      <c r="P771" s="14">
        <v>3</v>
      </c>
      <c r="Q771" t="s">
        <v>52</v>
      </c>
      <c r="R771" s="14">
        <v>2007</v>
      </c>
      <c r="S771" s="17" t="str">
        <f t="shared" si="24"/>
        <v>low</v>
      </c>
      <c r="T771">
        <v>25265</v>
      </c>
      <c r="U771">
        <v>1</v>
      </c>
      <c r="V771" s="17" t="s">
        <v>43</v>
      </c>
      <c r="W771">
        <v>13</v>
      </c>
      <c r="X771">
        <v>3</v>
      </c>
      <c r="Y771">
        <v>3</v>
      </c>
      <c r="Z771">
        <v>2</v>
      </c>
      <c r="AA771">
        <v>5</v>
      </c>
      <c r="AB771">
        <v>5</v>
      </c>
      <c r="AC771">
        <v>3</v>
      </c>
      <c r="AD771" s="14">
        <v>5</v>
      </c>
      <c r="AE771" t="str">
        <f t="shared" si="25"/>
        <v>3-5 years</v>
      </c>
      <c r="AF771" s="14">
        <v>3</v>
      </c>
      <c r="AG771" s="14">
        <v>1</v>
      </c>
      <c r="AH771" s="14">
        <v>3</v>
      </c>
    </row>
    <row r="772" spans="1:34" x14ac:dyDescent="0.3">
      <c r="A772" s="14">
        <v>46</v>
      </c>
      <c r="B772" s="17" t="s">
        <v>43</v>
      </c>
      <c r="C772" t="s">
        <v>36</v>
      </c>
      <c r="D772">
        <v>430</v>
      </c>
      <c r="E772" s="17" t="s">
        <v>45</v>
      </c>
      <c r="F772">
        <v>1</v>
      </c>
      <c r="G772">
        <v>4</v>
      </c>
      <c r="H772" t="s">
        <v>51</v>
      </c>
      <c r="I772">
        <v>1069</v>
      </c>
      <c r="J772">
        <v>4</v>
      </c>
      <c r="K772" s="17" t="s">
        <v>46</v>
      </c>
      <c r="L772">
        <v>40</v>
      </c>
      <c r="M772">
        <v>3</v>
      </c>
      <c r="N772">
        <v>5</v>
      </c>
      <c r="O772" s="17" t="s">
        <v>58</v>
      </c>
      <c r="P772" s="14">
        <v>4</v>
      </c>
      <c r="Q772" t="s">
        <v>52</v>
      </c>
      <c r="R772" s="14">
        <v>19627</v>
      </c>
      <c r="S772" s="17" t="str">
        <f t="shared" si="24"/>
        <v>high</v>
      </c>
      <c r="T772">
        <v>21445</v>
      </c>
      <c r="U772">
        <v>9</v>
      </c>
      <c r="V772" s="17" t="s">
        <v>43</v>
      </c>
      <c r="W772">
        <v>17</v>
      </c>
      <c r="X772">
        <v>3</v>
      </c>
      <c r="Y772">
        <v>4</v>
      </c>
      <c r="Z772">
        <v>2</v>
      </c>
      <c r="AA772">
        <v>23</v>
      </c>
      <c r="AB772">
        <v>0</v>
      </c>
      <c r="AC772">
        <v>3</v>
      </c>
      <c r="AD772" s="14">
        <v>2</v>
      </c>
      <c r="AE772" t="str">
        <f t="shared" si="25"/>
        <v>0-2 years</v>
      </c>
      <c r="AF772" s="14">
        <v>2</v>
      </c>
      <c r="AG772" s="14">
        <v>2</v>
      </c>
      <c r="AH772" s="14">
        <v>2</v>
      </c>
    </row>
    <row r="773" spans="1:34" x14ac:dyDescent="0.3">
      <c r="A773" s="14">
        <v>54</v>
      </c>
      <c r="B773" s="17" t="s">
        <v>43</v>
      </c>
      <c r="C773" t="s">
        <v>36</v>
      </c>
      <c r="D773">
        <v>1082</v>
      </c>
      <c r="E773" s="17" t="s">
        <v>37</v>
      </c>
      <c r="F773">
        <v>2</v>
      </c>
      <c r="G773">
        <v>4</v>
      </c>
      <c r="H773" t="s">
        <v>38</v>
      </c>
      <c r="I773">
        <v>1070</v>
      </c>
      <c r="J773">
        <v>3</v>
      </c>
      <c r="K773" s="17" t="s">
        <v>39</v>
      </c>
      <c r="L773">
        <v>41</v>
      </c>
      <c r="M773">
        <v>2</v>
      </c>
      <c r="N773">
        <v>3</v>
      </c>
      <c r="O773" s="17" t="s">
        <v>40</v>
      </c>
      <c r="P773" s="14">
        <v>3</v>
      </c>
      <c r="Q773" t="s">
        <v>48</v>
      </c>
      <c r="R773" s="14">
        <v>10686</v>
      </c>
      <c r="S773" s="17" t="str">
        <f t="shared" si="24"/>
        <v>high</v>
      </c>
      <c r="T773">
        <v>8392</v>
      </c>
      <c r="U773">
        <v>6</v>
      </c>
      <c r="V773" s="17" t="s">
        <v>43</v>
      </c>
      <c r="W773">
        <v>11</v>
      </c>
      <c r="X773">
        <v>3</v>
      </c>
      <c r="Y773">
        <v>2</v>
      </c>
      <c r="Z773">
        <v>1</v>
      </c>
      <c r="AA773">
        <v>13</v>
      </c>
      <c r="AB773">
        <v>4</v>
      </c>
      <c r="AC773">
        <v>3</v>
      </c>
      <c r="AD773" s="14">
        <v>9</v>
      </c>
      <c r="AE773" t="str">
        <f t="shared" si="25"/>
        <v>6-10 years</v>
      </c>
      <c r="AF773" s="14">
        <v>4</v>
      </c>
      <c r="AG773" s="14">
        <v>7</v>
      </c>
      <c r="AH773" s="14">
        <v>0</v>
      </c>
    </row>
    <row r="774" spans="1:34" x14ac:dyDescent="0.3">
      <c r="A774" s="14">
        <v>56</v>
      </c>
      <c r="B774" s="17" t="s">
        <v>43</v>
      </c>
      <c r="C774" t="s">
        <v>44</v>
      </c>
      <c r="D774">
        <v>1240</v>
      </c>
      <c r="E774" s="17" t="s">
        <v>45</v>
      </c>
      <c r="F774">
        <v>9</v>
      </c>
      <c r="G774">
        <v>3</v>
      </c>
      <c r="H774" t="s">
        <v>51</v>
      </c>
      <c r="I774">
        <v>1071</v>
      </c>
      <c r="J774">
        <v>1</v>
      </c>
      <c r="K774" s="17" t="s">
        <v>39</v>
      </c>
      <c r="L774">
        <v>63</v>
      </c>
      <c r="M774">
        <v>3</v>
      </c>
      <c r="N774">
        <v>1</v>
      </c>
      <c r="O774" s="17" t="s">
        <v>47</v>
      </c>
      <c r="P774" s="14">
        <v>3</v>
      </c>
      <c r="Q774" t="s">
        <v>48</v>
      </c>
      <c r="R774" s="14">
        <v>2942</v>
      </c>
      <c r="S774" s="17" t="str">
        <f t="shared" si="24"/>
        <v>low</v>
      </c>
      <c r="T774">
        <v>12154</v>
      </c>
      <c r="U774">
        <v>2</v>
      </c>
      <c r="V774" s="17" t="s">
        <v>43</v>
      </c>
      <c r="W774">
        <v>19</v>
      </c>
      <c r="X774">
        <v>3</v>
      </c>
      <c r="Y774">
        <v>2</v>
      </c>
      <c r="Z774">
        <v>1</v>
      </c>
      <c r="AA774">
        <v>18</v>
      </c>
      <c r="AB774">
        <v>4</v>
      </c>
      <c r="AC774">
        <v>3</v>
      </c>
      <c r="AD774" s="14">
        <v>5</v>
      </c>
      <c r="AE774" t="str">
        <f t="shared" si="25"/>
        <v>3-5 years</v>
      </c>
      <c r="AF774" s="14">
        <v>4</v>
      </c>
      <c r="AG774" s="14">
        <v>0</v>
      </c>
      <c r="AH774" s="14">
        <v>3</v>
      </c>
    </row>
    <row r="775" spans="1:34" x14ac:dyDescent="0.3">
      <c r="A775" s="14">
        <v>36</v>
      </c>
      <c r="B775" s="17" t="s">
        <v>43</v>
      </c>
      <c r="C775" t="s">
        <v>36</v>
      </c>
      <c r="D775">
        <v>796</v>
      </c>
      <c r="E775" s="17" t="s">
        <v>45</v>
      </c>
      <c r="F775">
        <v>12</v>
      </c>
      <c r="G775">
        <v>5</v>
      </c>
      <c r="H775" t="s">
        <v>51</v>
      </c>
      <c r="I775">
        <v>1073</v>
      </c>
      <c r="J775">
        <v>4</v>
      </c>
      <c r="K775" s="17" t="s">
        <v>39</v>
      </c>
      <c r="L775">
        <v>51</v>
      </c>
      <c r="M775">
        <v>2</v>
      </c>
      <c r="N775">
        <v>3</v>
      </c>
      <c r="O775" s="17" t="s">
        <v>53</v>
      </c>
      <c r="P775" s="14">
        <v>4</v>
      </c>
      <c r="Q775" t="s">
        <v>41</v>
      </c>
      <c r="R775" s="14">
        <v>8858</v>
      </c>
      <c r="S775" s="17" t="str">
        <f t="shared" si="24"/>
        <v>high</v>
      </c>
      <c r="T775">
        <v>15669</v>
      </c>
      <c r="U775">
        <v>0</v>
      </c>
      <c r="V775" s="17" t="s">
        <v>43</v>
      </c>
      <c r="W775">
        <v>11</v>
      </c>
      <c r="X775">
        <v>3</v>
      </c>
      <c r="Y775">
        <v>2</v>
      </c>
      <c r="Z775">
        <v>0</v>
      </c>
      <c r="AA775">
        <v>15</v>
      </c>
      <c r="AB775">
        <v>2</v>
      </c>
      <c r="AC775">
        <v>2</v>
      </c>
      <c r="AD775" s="14">
        <v>14</v>
      </c>
      <c r="AE775" t="str">
        <f t="shared" si="25"/>
        <v>10+ years</v>
      </c>
      <c r="AF775" s="14">
        <v>8</v>
      </c>
      <c r="AG775" s="14">
        <v>7</v>
      </c>
      <c r="AH775" s="14">
        <v>8</v>
      </c>
    </row>
    <row r="776" spans="1:34" x14ac:dyDescent="0.3">
      <c r="A776" s="14">
        <v>55</v>
      </c>
      <c r="B776" s="17" t="s">
        <v>43</v>
      </c>
      <c r="C776" t="s">
        <v>55</v>
      </c>
      <c r="D776">
        <v>444</v>
      </c>
      <c r="E776" s="17" t="s">
        <v>45</v>
      </c>
      <c r="F776">
        <v>2</v>
      </c>
      <c r="G776">
        <v>1</v>
      </c>
      <c r="H776" t="s">
        <v>51</v>
      </c>
      <c r="I776">
        <v>1074</v>
      </c>
      <c r="J776">
        <v>3</v>
      </c>
      <c r="K776" s="17" t="s">
        <v>46</v>
      </c>
      <c r="L776">
        <v>40</v>
      </c>
      <c r="M776">
        <v>2</v>
      </c>
      <c r="N776">
        <v>4</v>
      </c>
      <c r="O776" s="17" t="s">
        <v>56</v>
      </c>
      <c r="P776" s="14">
        <v>1</v>
      </c>
      <c r="Q776" t="s">
        <v>41</v>
      </c>
      <c r="R776" s="14">
        <v>16756</v>
      </c>
      <c r="S776" s="17" t="str">
        <f t="shared" si="24"/>
        <v>high</v>
      </c>
      <c r="T776">
        <v>17323</v>
      </c>
      <c r="U776">
        <v>7</v>
      </c>
      <c r="V776" s="17" t="s">
        <v>43</v>
      </c>
      <c r="W776">
        <v>15</v>
      </c>
      <c r="X776">
        <v>3</v>
      </c>
      <c r="Y776">
        <v>2</v>
      </c>
      <c r="Z776">
        <v>0</v>
      </c>
      <c r="AA776">
        <v>31</v>
      </c>
      <c r="AB776">
        <v>3</v>
      </c>
      <c r="AC776">
        <v>4</v>
      </c>
      <c r="AD776" s="14">
        <v>9</v>
      </c>
      <c r="AE776" t="str">
        <f t="shared" si="25"/>
        <v>6-10 years</v>
      </c>
      <c r="AF776" s="14">
        <v>7</v>
      </c>
      <c r="AG776" s="14">
        <v>6</v>
      </c>
      <c r="AH776" s="14">
        <v>2</v>
      </c>
    </row>
    <row r="777" spans="1:34" x14ac:dyDescent="0.3">
      <c r="A777" s="14">
        <v>43</v>
      </c>
      <c r="B777" s="17" t="s">
        <v>43</v>
      </c>
      <c r="C777" t="s">
        <v>36</v>
      </c>
      <c r="D777">
        <v>415</v>
      </c>
      <c r="E777" s="17" t="s">
        <v>37</v>
      </c>
      <c r="F777">
        <v>25</v>
      </c>
      <c r="G777">
        <v>3</v>
      </c>
      <c r="H777" t="s">
        <v>51</v>
      </c>
      <c r="I777">
        <v>1076</v>
      </c>
      <c r="J777">
        <v>3</v>
      </c>
      <c r="K777" s="17" t="s">
        <v>46</v>
      </c>
      <c r="L777">
        <v>79</v>
      </c>
      <c r="M777">
        <v>2</v>
      </c>
      <c r="N777">
        <v>3</v>
      </c>
      <c r="O777" s="17" t="s">
        <v>40</v>
      </c>
      <c r="P777" s="14">
        <v>4</v>
      </c>
      <c r="Q777" t="s">
        <v>52</v>
      </c>
      <c r="R777" s="14">
        <v>10798</v>
      </c>
      <c r="S777" s="17" t="str">
        <f t="shared" si="24"/>
        <v>high</v>
      </c>
      <c r="T777">
        <v>5268</v>
      </c>
      <c r="U777">
        <v>5</v>
      </c>
      <c r="V777" s="17" t="s">
        <v>43</v>
      </c>
      <c r="W777">
        <v>13</v>
      </c>
      <c r="X777">
        <v>3</v>
      </c>
      <c r="Y777">
        <v>3</v>
      </c>
      <c r="Z777">
        <v>1</v>
      </c>
      <c r="AA777">
        <v>18</v>
      </c>
      <c r="AB777">
        <v>5</v>
      </c>
      <c r="AC777">
        <v>3</v>
      </c>
      <c r="AD777" s="14">
        <v>1</v>
      </c>
      <c r="AE777" t="str">
        <f t="shared" si="25"/>
        <v>0-2 years</v>
      </c>
      <c r="AF777" s="14">
        <v>0</v>
      </c>
      <c r="AG777" s="14">
        <v>0</v>
      </c>
      <c r="AH777" s="14">
        <v>0</v>
      </c>
    </row>
    <row r="778" spans="1:34" x14ac:dyDescent="0.3">
      <c r="A778" s="14">
        <v>20</v>
      </c>
      <c r="B778" s="17" t="s">
        <v>35</v>
      </c>
      <c r="C778" t="s">
        <v>44</v>
      </c>
      <c r="D778">
        <v>769</v>
      </c>
      <c r="E778" s="17" t="s">
        <v>37</v>
      </c>
      <c r="F778">
        <v>9</v>
      </c>
      <c r="G778">
        <v>3</v>
      </c>
      <c r="H778" t="s">
        <v>59</v>
      </c>
      <c r="I778">
        <v>1077</v>
      </c>
      <c r="J778">
        <v>4</v>
      </c>
      <c r="K778" s="17" t="s">
        <v>39</v>
      </c>
      <c r="L778">
        <v>54</v>
      </c>
      <c r="M778">
        <v>3</v>
      </c>
      <c r="N778">
        <v>1</v>
      </c>
      <c r="O778" s="17" t="s">
        <v>57</v>
      </c>
      <c r="P778" s="14">
        <v>4</v>
      </c>
      <c r="Q778" t="s">
        <v>41</v>
      </c>
      <c r="R778" s="14">
        <v>2323</v>
      </c>
      <c r="S778" s="17" t="str">
        <f t="shared" si="24"/>
        <v>low</v>
      </c>
      <c r="T778">
        <v>17205</v>
      </c>
      <c r="U778">
        <v>1</v>
      </c>
      <c r="V778" s="17" t="s">
        <v>35</v>
      </c>
      <c r="W778">
        <v>14</v>
      </c>
      <c r="X778">
        <v>3</v>
      </c>
      <c r="Y778">
        <v>2</v>
      </c>
      <c r="Z778">
        <v>0</v>
      </c>
      <c r="AA778">
        <v>2</v>
      </c>
      <c r="AB778">
        <v>3</v>
      </c>
      <c r="AC778">
        <v>3</v>
      </c>
      <c r="AD778" s="14">
        <v>2</v>
      </c>
      <c r="AE778" t="str">
        <f t="shared" si="25"/>
        <v>0-2 years</v>
      </c>
      <c r="AF778" s="14">
        <v>2</v>
      </c>
      <c r="AG778" s="14">
        <v>0</v>
      </c>
      <c r="AH778" s="14">
        <v>2</v>
      </c>
    </row>
    <row r="779" spans="1:34" x14ac:dyDescent="0.3">
      <c r="A779" s="14">
        <v>21</v>
      </c>
      <c r="B779" s="17" t="s">
        <v>35</v>
      </c>
      <c r="C779" t="s">
        <v>36</v>
      </c>
      <c r="D779">
        <v>1334</v>
      </c>
      <c r="E779" s="17" t="s">
        <v>45</v>
      </c>
      <c r="F779">
        <v>10</v>
      </c>
      <c r="G779">
        <v>3</v>
      </c>
      <c r="H779" t="s">
        <v>38</v>
      </c>
      <c r="I779">
        <v>1079</v>
      </c>
      <c r="J779">
        <v>3</v>
      </c>
      <c r="K779" s="17" t="s">
        <v>39</v>
      </c>
      <c r="L779">
        <v>36</v>
      </c>
      <c r="M779">
        <v>2</v>
      </c>
      <c r="N779">
        <v>1</v>
      </c>
      <c r="O779" s="17" t="s">
        <v>50</v>
      </c>
      <c r="P779" s="14">
        <v>1</v>
      </c>
      <c r="Q779" t="s">
        <v>41</v>
      </c>
      <c r="R779" s="14">
        <v>1416</v>
      </c>
      <c r="S779" s="17" t="str">
        <f t="shared" si="24"/>
        <v>low</v>
      </c>
      <c r="T779">
        <v>17258</v>
      </c>
      <c r="U779">
        <v>1</v>
      </c>
      <c r="V779" s="17" t="s">
        <v>43</v>
      </c>
      <c r="W779">
        <v>13</v>
      </c>
      <c r="X779">
        <v>3</v>
      </c>
      <c r="Y779">
        <v>1</v>
      </c>
      <c r="Z779">
        <v>0</v>
      </c>
      <c r="AA779">
        <v>1</v>
      </c>
      <c r="AB779">
        <v>6</v>
      </c>
      <c r="AC779">
        <v>2</v>
      </c>
      <c r="AD779" s="14">
        <v>1</v>
      </c>
      <c r="AE779" t="str">
        <f t="shared" si="25"/>
        <v>0-2 years</v>
      </c>
      <c r="AF779" s="14">
        <v>0</v>
      </c>
      <c r="AG779" s="14">
        <v>1</v>
      </c>
      <c r="AH779" s="14">
        <v>0</v>
      </c>
    </row>
    <row r="780" spans="1:34" x14ac:dyDescent="0.3">
      <c r="A780" s="14">
        <v>46</v>
      </c>
      <c r="B780" s="17" t="s">
        <v>43</v>
      </c>
      <c r="C780" t="s">
        <v>36</v>
      </c>
      <c r="D780">
        <v>1003</v>
      </c>
      <c r="E780" s="17" t="s">
        <v>45</v>
      </c>
      <c r="F780">
        <v>8</v>
      </c>
      <c r="G780">
        <v>4</v>
      </c>
      <c r="H780" t="s">
        <v>38</v>
      </c>
      <c r="I780">
        <v>1080</v>
      </c>
      <c r="J780">
        <v>4</v>
      </c>
      <c r="K780" s="17" t="s">
        <v>39</v>
      </c>
      <c r="L780">
        <v>74</v>
      </c>
      <c r="M780">
        <v>2</v>
      </c>
      <c r="N780">
        <v>2</v>
      </c>
      <c r="O780" s="17" t="s">
        <v>47</v>
      </c>
      <c r="P780" s="14">
        <v>1</v>
      </c>
      <c r="Q780" t="s">
        <v>52</v>
      </c>
      <c r="R780" s="14">
        <v>4615</v>
      </c>
      <c r="S780" s="17" t="str">
        <f t="shared" si="24"/>
        <v>medium</v>
      </c>
      <c r="T780">
        <v>21029</v>
      </c>
      <c r="U780">
        <v>8</v>
      </c>
      <c r="V780" s="17" t="s">
        <v>35</v>
      </c>
      <c r="W780">
        <v>23</v>
      </c>
      <c r="X780">
        <v>4</v>
      </c>
      <c r="Y780">
        <v>1</v>
      </c>
      <c r="Z780">
        <v>3</v>
      </c>
      <c r="AA780">
        <v>19</v>
      </c>
      <c r="AB780">
        <v>2</v>
      </c>
      <c r="AC780">
        <v>3</v>
      </c>
      <c r="AD780" s="14">
        <v>16</v>
      </c>
      <c r="AE780" t="str">
        <f t="shared" si="25"/>
        <v>10+ years</v>
      </c>
      <c r="AF780" s="14">
        <v>13</v>
      </c>
      <c r="AG780" s="14">
        <v>1</v>
      </c>
      <c r="AH780" s="14">
        <v>7</v>
      </c>
    </row>
    <row r="781" spans="1:34" x14ac:dyDescent="0.3">
      <c r="A781" s="14">
        <v>51</v>
      </c>
      <c r="B781" s="17" t="s">
        <v>35</v>
      </c>
      <c r="C781" t="s">
        <v>36</v>
      </c>
      <c r="D781">
        <v>1323</v>
      </c>
      <c r="E781" s="17" t="s">
        <v>45</v>
      </c>
      <c r="F781">
        <v>4</v>
      </c>
      <c r="G781">
        <v>4</v>
      </c>
      <c r="H781" t="s">
        <v>38</v>
      </c>
      <c r="I781">
        <v>1081</v>
      </c>
      <c r="J781">
        <v>1</v>
      </c>
      <c r="K781" s="17" t="s">
        <v>46</v>
      </c>
      <c r="L781">
        <v>34</v>
      </c>
      <c r="M781">
        <v>3</v>
      </c>
      <c r="N781">
        <v>1</v>
      </c>
      <c r="O781" s="17" t="s">
        <v>47</v>
      </c>
      <c r="P781" s="14">
        <v>3</v>
      </c>
      <c r="Q781" t="s">
        <v>48</v>
      </c>
      <c r="R781" s="14">
        <v>2461</v>
      </c>
      <c r="S781" s="17" t="str">
        <f t="shared" si="24"/>
        <v>low</v>
      </c>
      <c r="T781">
        <v>10332</v>
      </c>
      <c r="U781">
        <v>9</v>
      </c>
      <c r="V781" s="17" t="s">
        <v>35</v>
      </c>
      <c r="W781">
        <v>12</v>
      </c>
      <c r="X781">
        <v>3</v>
      </c>
      <c r="Y781">
        <v>3</v>
      </c>
      <c r="Z781">
        <v>3</v>
      </c>
      <c r="AA781">
        <v>18</v>
      </c>
      <c r="AB781">
        <v>2</v>
      </c>
      <c r="AC781">
        <v>4</v>
      </c>
      <c r="AD781" s="14">
        <v>10</v>
      </c>
      <c r="AE781" t="str">
        <f t="shared" si="25"/>
        <v>6-10 years</v>
      </c>
      <c r="AF781" s="14">
        <v>0</v>
      </c>
      <c r="AG781" s="14">
        <v>2</v>
      </c>
      <c r="AH781" s="14">
        <v>7</v>
      </c>
    </row>
    <row r="782" spans="1:34" x14ac:dyDescent="0.3">
      <c r="A782" s="14">
        <v>28</v>
      </c>
      <c r="B782" s="17" t="s">
        <v>35</v>
      </c>
      <c r="C782" t="s">
        <v>55</v>
      </c>
      <c r="D782">
        <v>1366</v>
      </c>
      <c r="E782" s="17" t="s">
        <v>45</v>
      </c>
      <c r="F782">
        <v>24</v>
      </c>
      <c r="G782">
        <v>2</v>
      </c>
      <c r="H782" t="s">
        <v>60</v>
      </c>
      <c r="I782">
        <v>1082</v>
      </c>
      <c r="J782">
        <v>2</v>
      </c>
      <c r="K782" s="17" t="s">
        <v>46</v>
      </c>
      <c r="L782">
        <v>72</v>
      </c>
      <c r="M782">
        <v>2</v>
      </c>
      <c r="N782">
        <v>3</v>
      </c>
      <c r="O782" s="17" t="s">
        <v>54</v>
      </c>
      <c r="P782" s="14">
        <v>1</v>
      </c>
      <c r="Q782" t="s">
        <v>41</v>
      </c>
      <c r="R782" s="14">
        <v>8722</v>
      </c>
      <c r="S782" s="17" t="str">
        <f t="shared" si="24"/>
        <v>high</v>
      </c>
      <c r="T782">
        <v>12355</v>
      </c>
      <c r="U782">
        <v>1</v>
      </c>
      <c r="V782" s="17" t="s">
        <v>43</v>
      </c>
      <c r="W782">
        <v>12</v>
      </c>
      <c r="X782">
        <v>3</v>
      </c>
      <c r="Y782">
        <v>1</v>
      </c>
      <c r="Z782">
        <v>0</v>
      </c>
      <c r="AA782">
        <v>10</v>
      </c>
      <c r="AB782">
        <v>2</v>
      </c>
      <c r="AC782">
        <v>2</v>
      </c>
      <c r="AD782" s="14">
        <v>10</v>
      </c>
      <c r="AE782" t="str">
        <f t="shared" si="25"/>
        <v>6-10 years</v>
      </c>
      <c r="AF782" s="14">
        <v>7</v>
      </c>
      <c r="AG782" s="14">
        <v>1</v>
      </c>
      <c r="AH782" s="14">
        <v>9</v>
      </c>
    </row>
    <row r="783" spans="1:34" x14ac:dyDescent="0.3">
      <c r="A783" s="14">
        <v>26</v>
      </c>
      <c r="B783" s="17" t="s">
        <v>43</v>
      </c>
      <c r="C783" t="s">
        <v>36</v>
      </c>
      <c r="D783">
        <v>192</v>
      </c>
      <c r="E783" s="17" t="s">
        <v>45</v>
      </c>
      <c r="F783">
        <v>1</v>
      </c>
      <c r="G783">
        <v>2</v>
      </c>
      <c r="H783" t="s">
        <v>51</v>
      </c>
      <c r="I783">
        <v>1083</v>
      </c>
      <c r="J783">
        <v>1</v>
      </c>
      <c r="K783" s="17" t="s">
        <v>46</v>
      </c>
      <c r="L783">
        <v>59</v>
      </c>
      <c r="M783">
        <v>2</v>
      </c>
      <c r="N783">
        <v>1</v>
      </c>
      <c r="O783" s="17" t="s">
        <v>50</v>
      </c>
      <c r="P783" s="14">
        <v>1</v>
      </c>
      <c r="Q783" t="s">
        <v>48</v>
      </c>
      <c r="R783" s="14">
        <v>3955</v>
      </c>
      <c r="S783" s="17" t="str">
        <f t="shared" si="24"/>
        <v>medium</v>
      </c>
      <c r="T783">
        <v>11141</v>
      </c>
      <c r="U783">
        <v>1</v>
      </c>
      <c r="V783" s="17" t="s">
        <v>43</v>
      </c>
      <c r="W783">
        <v>16</v>
      </c>
      <c r="X783">
        <v>3</v>
      </c>
      <c r="Y783">
        <v>1</v>
      </c>
      <c r="Z783">
        <v>2</v>
      </c>
      <c r="AA783">
        <v>6</v>
      </c>
      <c r="AB783">
        <v>2</v>
      </c>
      <c r="AC783">
        <v>3</v>
      </c>
      <c r="AD783" s="14">
        <v>5</v>
      </c>
      <c r="AE783" t="str">
        <f t="shared" si="25"/>
        <v>3-5 years</v>
      </c>
      <c r="AF783" s="14">
        <v>3</v>
      </c>
      <c r="AG783" s="14">
        <v>1</v>
      </c>
      <c r="AH783" s="14">
        <v>3</v>
      </c>
    </row>
    <row r="784" spans="1:34" x14ac:dyDescent="0.3">
      <c r="A784" s="14">
        <v>30</v>
      </c>
      <c r="B784" s="17" t="s">
        <v>43</v>
      </c>
      <c r="C784" t="s">
        <v>36</v>
      </c>
      <c r="D784">
        <v>1176</v>
      </c>
      <c r="E784" s="17" t="s">
        <v>45</v>
      </c>
      <c r="F784">
        <v>20</v>
      </c>
      <c r="G784">
        <v>3</v>
      </c>
      <c r="H784" t="s">
        <v>49</v>
      </c>
      <c r="I784">
        <v>1084</v>
      </c>
      <c r="J784">
        <v>3</v>
      </c>
      <c r="K784" s="17" t="s">
        <v>46</v>
      </c>
      <c r="L784">
        <v>85</v>
      </c>
      <c r="M784">
        <v>3</v>
      </c>
      <c r="N784">
        <v>2</v>
      </c>
      <c r="O784" s="17" t="s">
        <v>53</v>
      </c>
      <c r="P784" s="14">
        <v>1</v>
      </c>
      <c r="Q784" t="s">
        <v>48</v>
      </c>
      <c r="R784" s="14">
        <v>9957</v>
      </c>
      <c r="S784" s="17" t="str">
        <f t="shared" si="24"/>
        <v>high</v>
      </c>
      <c r="T784">
        <v>9096</v>
      </c>
      <c r="U784">
        <v>0</v>
      </c>
      <c r="V784" s="17" t="s">
        <v>43</v>
      </c>
      <c r="W784">
        <v>15</v>
      </c>
      <c r="X784">
        <v>3</v>
      </c>
      <c r="Y784">
        <v>3</v>
      </c>
      <c r="Z784">
        <v>1</v>
      </c>
      <c r="AA784">
        <v>7</v>
      </c>
      <c r="AB784">
        <v>1</v>
      </c>
      <c r="AC784">
        <v>2</v>
      </c>
      <c r="AD784" s="14">
        <v>6</v>
      </c>
      <c r="AE784" t="str">
        <f t="shared" si="25"/>
        <v>6-10 years</v>
      </c>
      <c r="AF784" s="14">
        <v>2</v>
      </c>
      <c r="AG784" s="14">
        <v>0</v>
      </c>
      <c r="AH784" s="14">
        <v>2</v>
      </c>
    </row>
    <row r="785" spans="1:34" x14ac:dyDescent="0.3">
      <c r="A785" s="14">
        <v>41</v>
      </c>
      <c r="B785" s="17" t="s">
        <v>43</v>
      </c>
      <c r="C785" t="s">
        <v>36</v>
      </c>
      <c r="D785">
        <v>509</v>
      </c>
      <c r="E785" s="17" t="s">
        <v>45</v>
      </c>
      <c r="F785">
        <v>7</v>
      </c>
      <c r="G785">
        <v>2</v>
      </c>
      <c r="H785" t="s">
        <v>60</v>
      </c>
      <c r="I785">
        <v>1085</v>
      </c>
      <c r="J785">
        <v>2</v>
      </c>
      <c r="K785" s="17" t="s">
        <v>39</v>
      </c>
      <c r="L785">
        <v>43</v>
      </c>
      <c r="M785">
        <v>4</v>
      </c>
      <c r="N785">
        <v>1</v>
      </c>
      <c r="O785" s="17" t="s">
        <v>47</v>
      </c>
      <c r="P785" s="14">
        <v>3</v>
      </c>
      <c r="Q785" t="s">
        <v>48</v>
      </c>
      <c r="R785" s="14">
        <v>3376</v>
      </c>
      <c r="S785" s="17" t="str">
        <f t="shared" si="24"/>
        <v>medium</v>
      </c>
      <c r="T785">
        <v>18863</v>
      </c>
      <c r="U785">
        <v>1</v>
      </c>
      <c r="V785" s="17" t="s">
        <v>43</v>
      </c>
      <c r="W785">
        <v>13</v>
      </c>
      <c r="X785">
        <v>3</v>
      </c>
      <c r="Y785">
        <v>3</v>
      </c>
      <c r="Z785">
        <v>0</v>
      </c>
      <c r="AA785">
        <v>10</v>
      </c>
      <c r="AB785">
        <v>3</v>
      </c>
      <c r="AC785">
        <v>3</v>
      </c>
      <c r="AD785" s="14">
        <v>10</v>
      </c>
      <c r="AE785" t="str">
        <f t="shared" si="25"/>
        <v>6-10 years</v>
      </c>
      <c r="AF785" s="14">
        <v>6</v>
      </c>
      <c r="AG785" s="14">
        <v>0</v>
      </c>
      <c r="AH785" s="14">
        <v>8</v>
      </c>
    </row>
    <row r="786" spans="1:34" x14ac:dyDescent="0.3">
      <c r="A786" s="14">
        <v>38</v>
      </c>
      <c r="B786" s="17" t="s">
        <v>43</v>
      </c>
      <c r="C786" t="s">
        <v>36</v>
      </c>
      <c r="D786">
        <v>330</v>
      </c>
      <c r="E786" s="17" t="s">
        <v>45</v>
      </c>
      <c r="F786">
        <v>17</v>
      </c>
      <c r="G786">
        <v>1</v>
      </c>
      <c r="H786" t="s">
        <v>38</v>
      </c>
      <c r="I786">
        <v>1088</v>
      </c>
      <c r="J786">
        <v>3</v>
      </c>
      <c r="K786" s="17" t="s">
        <v>39</v>
      </c>
      <c r="L786">
        <v>65</v>
      </c>
      <c r="M786">
        <v>2</v>
      </c>
      <c r="N786">
        <v>3</v>
      </c>
      <c r="O786" s="17" t="s">
        <v>54</v>
      </c>
      <c r="P786" s="14">
        <v>3</v>
      </c>
      <c r="Q786" t="s">
        <v>48</v>
      </c>
      <c r="R786" s="14">
        <v>8823</v>
      </c>
      <c r="S786" s="17" t="str">
        <f t="shared" si="24"/>
        <v>high</v>
      </c>
      <c r="T786">
        <v>24608</v>
      </c>
      <c r="U786">
        <v>0</v>
      </c>
      <c r="V786" s="17" t="s">
        <v>43</v>
      </c>
      <c r="W786">
        <v>18</v>
      </c>
      <c r="X786">
        <v>3</v>
      </c>
      <c r="Y786">
        <v>1</v>
      </c>
      <c r="Z786">
        <v>1</v>
      </c>
      <c r="AA786">
        <v>20</v>
      </c>
      <c r="AB786">
        <v>4</v>
      </c>
      <c r="AC786">
        <v>2</v>
      </c>
      <c r="AD786" s="14">
        <v>19</v>
      </c>
      <c r="AE786" t="str">
        <f t="shared" si="25"/>
        <v>10+ years</v>
      </c>
      <c r="AF786" s="14">
        <v>9</v>
      </c>
      <c r="AG786" s="14">
        <v>1</v>
      </c>
      <c r="AH786" s="14">
        <v>9</v>
      </c>
    </row>
    <row r="787" spans="1:34" x14ac:dyDescent="0.3">
      <c r="A787" s="14">
        <v>40</v>
      </c>
      <c r="B787" s="17" t="s">
        <v>43</v>
      </c>
      <c r="C787" t="s">
        <v>36</v>
      </c>
      <c r="D787">
        <v>1492</v>
      </c>
      <c r="E787" s="17" t="s">
        <v>45</v>
      </c>
      <c r="F787">
        <v>20</v>
      </c>
      <c r="G787">
        <v>4</v>
      </c>
      <c r="H787" t="s">
        <v>60</v>
      </c>
      <c r="I787">
        <v>1092</v>
      </c>
      <c r="J787">
        <v>1</v>
      </c>
      <c r="K787" s="17" t="s">
        <v>46</v>
      </c>
      <c r="L787">
        <v>61</v>
      </c>
      <c r="M787">
        <v>3</v>
      </c>
      <c r="N787">
        <v>3</v>
      </c>
      <c r="O787" s="17" t="s">
        <v>54</v>
      </c>
      <c r="P787" s="14">
        <v>4</v>
      </c>
      <c r="Q787" t="s">
        <v>48</v>
      </c>
      <c r="R787" s="14">
        <v>10322</v>
      </c>
      <c r="S787" s="17" t="str">
        <f t="shared" si="24"/>
        <v>high</v>
      </c>
      <c r="T787">
        <v>26542</v>
      </c>
      <c r="U787">
        <v>4</v>
      </c>
      <c r="V787" s="17" t="s">
        <v>43</v>
      </c>
      <c r="W787">
        <v>20</v>
      </c>
      <c r="X787">
        <v>4</v>
      </c>
      <c r="Y787">
        <v>4</v>
      </c>
      <c r="Z787">
        <v>1</v>
      </c>
      <c r="AA787">
        <v>14</v>
      </c>
      <c r="AB787">
        <v>6</v>
      </c>
      <c r="AC787">
        <v>3</v>
      </c>
      <c r="AD787" s="14">
        <v>11</v>
      </c>
      <c r="AE787" t="str">
        <f t="shared" si="25"/>
        <v>10+ years</v>
      </c>
      <c r="AF787" s="14">
        <v>10</v>
      </c>
      <c r="AG787" s="14">
        <v>11</v>
      </c>
      <c r="AH787" s="14">
        <v>1</v>
      </c>
    </row>
    <row r="788" spans="1:34" x14ac:dyDescent="0.3">
      <c r="A788" s="14">
        <v>27</v>
      </c>
      <c r="B788" s="17" t="s">
        <v>43</v>
      </c>
      <c r="C788" t="s">
        <v>55</v>
      </c>
      <c r="D788">
        <v>1277</v>
      </c>
      <c r="E788" s="17" t="s">
        <v>45</v>
      </c>
      <c r="F788">
        <v>8</v>
      </c>
      <c r="G788">
        <v>5</v>
      </c>
      <c r="H788" t="s">
        <v>38</v>
      </c>
      <c r="I788">
        <v>1094</v>
      </c>
      <c r="J788">
        <v>1</v>
      </c>
      <c r="K788" s="17" t="s">
        <v>46</v>
      </c>
      <c r="L788">
        <v>87</v>
      </c>
      <c r="M788">
        <v>1</v>
      </c>
      <c r="N788">
        <v>1</v>
      </c>
      <c r="O788" s="17" t="s">
        <v>50</v>
      </c>
      <c r="P788" s="14">
        <v>3</v>
      </c>
      <c r="Q788" t="s">
        <v>48</v>
      </c>
      <c r="R788" s="14">
        <v>4621</v>
      </c>
      <c r="S788" s="17" t="str">
        <f t="shared" si="24"/>
        <v>medium</v>
      </c>
      <c r="T788">
        <v>5869</v>
      </c>
      <c r="U788">
        <v>1</v>
      </c>
      <c r="V788" s="17" t="s">
        <v>43</v>
      </c>
      <c r="W788">
        <v>19</v>
      </c>
      <c r="X788">
        <v>3</v>
      </c>
      <c r="Y788">
        <v>4</v>
      </c>
      <c r="Z788">
        <v>3</v>
      </c>
      <c r="AA788">
        <v>3</v>
      </c>
      <c r="AB788">
        <v>4</v>
      </c>
      <c r="AC788">
        <v>3</v>
      </c>
      <c r="AD788" s="14">
        <v>3</v>
      </c>
      <c r="AE788" t="str">
        <f t="shared" si="25"/>
        <v>3-5 years</v>
      </c>
      <c r="AF788" s="14">
        <v>2</v>
      </c>
      <c r="AG788" s="14">
        <v>1</v>
      </c>
      <c r="AH788" s="14">
        <v>2</v>
      </c>
    </row>
    <row r="789" spans="1:34" x14ac:dyDescent="0.3">
      <c r="A789" s="14">
        <v>55</v>
      </c>
      <c r="B789" s="17" t="s">
        <v>43</v>
      </c>
      <c r="C789" t="s">
        <v>44</v>
      </c>
      <c r="D789">
        <v>1091</v>
      </c>
      <c r="E789" s="17" t="s">
        <v>45</v>
      </c>
      <c r="F789">
        <v>2</v>
      </c>
      <c r="G789">
        <v>1</v>
      </c>
      <c r="H789" t="s">
        <v>38</v>
      </c>
      <c r="I789">
        <v>1096</v>
      </c>
      <c r="J789">
        <v>4</v>
      </c>
      <c r="K789" s="17" t="s">
        <v>46</v>
      </c>
      <c r="L789">
        <v>65</v>
      </c>
      <c r="M789">
        <v>3</v>
      </c>
      <c r="N789">
        <v>3</v>
      </c>
      <c r="O789" s="17" t="s">
        <v>53</v>
      </c>
      <c r="P789" s="14">
        <v>2</v>
      </c>
      <c r="Q789" t="s">
        <v>48</v>
      </c>
      <c r="R789" s="14">
        <v>10976</v>
      </c>
      <c r="S789" s="17" t="str">
        <f t="shared" si="24"/>
        <v>high</v>
      </c>
      <c r="T789">
        <v>15813</v>
      </c>
      <c r="U789">
        <v>3</v>
      </c>
      <c r="V789" s="17" t="s">
        <v>43</v>
      </c>
      <c r="W789">
        <v>18</v>
      </c>
      <c r="X789">
        <v>3</v>
      </c>
      <c r="Y789">
        <v>2</v>
      </c>
      <c r="Z789">
        <v>1</v>
      </c>
      <c r="AA789">
        <v>23</v>
      </c>
      <c r="AB789">
        <v>4</v>
      </c>
      <c r="AC789">
        <v>3</v>
      </c>
      <c r="AD789" s="14">
        <v>3</v>
      </c>
      <c r="AE789" t="str">
        <f t="shared" si="25"/>
        <v>3-5 years</v>
      </c>
      <c r="AF789" s="14">
        <v>2</v>
      </c>
      <c r="AG789" s="14">
        <v>1</v>
      </c>
      <c r="AH789" s="14">
        <v>2</v>
      </c>
    </row>
    <row r="790" spans="1:34" x14ac:dyDescent="0.3">
      <c r="A790" s="14">
        <v>28</v>
      </c>
      <c r="B790" s="17" t="s">
        <v>43</v>
      </c>
      <c r="C790" t="s">
        <v>36</v>
      </c>
      <c r="D790">
        <v>857</v>
      </c>
      <c r="E790" s="17" t="s">
        <v>45</v>
      </c>
      <c r="F790">
        <v>10</v>
      </c>
      <c r="G790">
        <v>3</v>
      </c>
      <c r="H790" t="s">
        <v>49</v>
      </c>
      <c r="I790">
        <v>1097</v>
      </c>
      <c r="J790">
        <v>3</v>
      </c>
      <c r="K790" s="17" t="s">
        <v>39</v>
      </c>
      <c r="L790">
        <v>59</v>
      </c>
      <c r="M790">
        <v>3</v>
      </c>
      <c r="N790">
        <v>2</v>
      </c>
      <c r="O790" s="17" t="s">
        <v>47</v>
      </c>
      <c r="P790" s="14">
        <v>3</v>
      </c>
      <c r="Q790" t="s">
        <v>41</v>
      </c>
      <c r="R790" s="14">
        <v>3660</v>
      </c>
      <c r="S790" s="17" t="str">
        <f t="shared" si="24"/>
        <v>medium</v>
      </c>
      <c r="T790">
        <v>7909</v>
      </c>
      <c r="U790">
        <v>3</v>
      </c>
      <c r="V790" s="17" t="s">
        <v>43</v>
      </c>
      <c r="W790">
        <v>13</v>
      </c>
      <c r="X790">
        <v>3</v>
      </c>
      <c r="Y790">
        <v>4</v>
      </c>
      <c r="Z790">
        <v>0</v>
      </c>
      <c r="AA790">
        <v>10</v>
      </c>
      <c r="AB790">
        <v>4</v>
      </c>
      <c r="AC790">
        <v>4</v>
      </c>
      <c r="AD790" s="14">
        <v>8</v>
      </c>
      <c r="AE790" t="str">
        <f t="shared" si="25"/>
        <v>6-10 years</v>
      </c>
      <c r="AF790" s="14">
        <v>7</v>
      </c>
      <c r="AG790" s="14">
        <v>1</v>
      </c>
      <c r="AH790" s="14">
        <v>7</v>
      </c>
    </row>
    <row r="791" spans="1:34" x14ac:dyDescent="0.3">
      <c r="A791" s="14">
        <v>44</v>
      </c>
      <c r="B791" s="17" t="s">
        <v>35</v>
      </c>
      <c r="C791" t="s">
        <v>36</v>
      </c>
      <c r="D791">
        <v>1376</v>
      </c>
      <c r="E791" s="17" t="s">
        <v>61</v>
      </c>
      <c r="F791">
        <v>1</v>
      </c>
      <c r="G791">
        <v>2</v>
      </c>
      <c r="H791" t="s">
        <v>51</v>
      </c>
      <c r="I791">
        <v>1098</v>
      </c>
      <c r="J791">
        <v>2</v>
      </c>
      <c r="K791" s="17" t="s">
        <v>46</v>
      </c>
      <c r="L791">
        <v>91</v>
      </c>
      <c r="M791">
        <v>2</v>
      </c>
      <c r="N791">
        <v>3</v>
      </c>
      <c r="O791" s="17" t="s">
        <v>61</v>
      </c>
      <c r="P791" s="14">
        <v>1</v>
      </c>
      <c r="Q791" t="s">
        <v>48</v>
      </c>
      <c r="R791" s="14">
        <v>10482</v>
      </c>
      <c r="S791" s="17" t="str">
        <f t="shared" si="24"/>
        <v>high</v>
      </c>
      <c r="T791">
        <v>2326</v>
      </c>
      <c r="U791">
        <v>9</v>
      </c>
      <c r="V791" s="17" t="s">
        <v>43</v>
      </c>
      <c r="W791">
        <v>14</v>
      </c>
      <c r="X791">
        <v>3</v>
      </c>
      <c r="Y791">
        <v>4</v>
      </c>
      <c r="Z791">
        <v>1</v>
      </c>
      <c r="AA791">
        <v>24</v>
      </c>
      <c r="AB791">
        <v>1</v>
      </c>
      <c r="AC791">
        <v>3</v>
      </c>
      <c r="AD791" s="14">
        <v>20</v>
      </c>
      <c r="AE791" t="str">
        <f t="shared" si="25"/>
        <v>10+ years</v>
      </c>
      <c r="AF791" s="14">
        <v>6</v>
      </c>
      <c r="AG791" s="14">
        <v>3</v>
      </c>
      <c r="AH791" s="14">
        <v>6</v>
      </c>
    </row>
    <row r="792" spans="1:34" x14ac:dyDescent="0.3">
      <c r="A792" s="14">
        <v>33</v>
      </c>
      <c r="B792" s="17" t="s">
        <v>43</v>
      </c>
      <c r="C792" t="s">
        <v>36</v>
      </c>
      <c r="D792">
        <v>654</v>
      </c>
      <c r="E792" s="17" t="s">
        <v>45</v>
      </c>
      <c r="F792">
        <v>5</v>
      </c>
      <c r="G792">
        <v>3</v>
      </c>
      <c r="H792" t="s">
        <v>38</v>
      </c>
      <c r="I792">
        <v>1099</v>
      </c>
      <c r="J792">
        <v>4</v>
      </c>
      <c r="K792" s="17" t="s">
        <v>46</v>
      </c>
      <c r="L792">
        <v>34</v>
      </c>
      <c r="M792">
        <v>2</v>
      </c>
      <c r="N792">
        <v>3</v>
      </c>
      <c r="O792" s="17" t="s">
        <v>54</v>
      </c>
      <c r="P792" s="14">
        <v>4</v>
      </c>
      <c r="Q792" t="s">
        <v>52</v>
      </c>
      <c r="R792" s="14">
        <v>7119</v>
      </c>
      <c r="S792" s="17" t="str">
        <f t="shared" si="24"/>
        <v>high</v>
      </c>
      <c r="T792">
        <v>21214</v>
      </c>
      <c r="U792">
        <v>4</v>
      </c>
      <c r="V792" s="17" t="s">
        <v>43</v>
      </c>
      <c r="W792">
        <v>15</v>
      </c>
      <c r="X792">
        <v>3</v>
      </c>
      <c r="Y792">
        <v>3</v>
      </c>
      <c r="Z792">
        <v>1</v>
      </c>
      <c r="AA792">
        <v>9</v>
      </c>
      <c r="AB792">
        <v>2</v>
      </c>
      <c r="AC792">
        <v>3</v>
      </c>
      <c r="AD792" s="14">
        <v>3</v>
      </c>
      <c r="AE792" t="str">
        <f t="shared" si="25"/>
        <v>3-5 years</v>
      </c>
      <c r="AF792" s="14">
        <v>2</v>
      </c>
      <c r="AG792" s="14">
        <v>1</v>
      </c>
      <c r="AH792" s="14">
        <v>2</v>
      </c>
    </row>
    <row r="793" spans="1:34" x14ac:dyDescent="0.3">
      <c r="A793" s="14">
        <v>35</v>
      </c>
      <c r="B793" s="17" t="s">
        <v>35</v>
      </c>
      <c r="C793" t="s">
        <v>36</v>
      </c>
      <c r="D793">
        <v>1204</v>
      </c>
      <c r="E793" s="17" t="s">
        <v>37</v>
      </c>
      <c r="F793">
        <v>4</v>
      </c>
      <c r="G793">
        <v>3</v>
      </c>
      <c r="H793" t="s">
        <v>60</v>
      </c>
      <c r="I793">
        <v>1100</v>
      </c>
      <c r="J793">
        <v>4</v>
      </c>
      <c r="K793" s="17" t="s">
        <v>46</v>
      </c>
      <c r="L793">
        <v>86</v>
      </c>
      <c r="M793">
        <v>3</v>
      </c>
      <c r="N793">
        <v>3</v>
      </c>
      <c r="O793" s="17" t="s">
        <v>40</v>
      </c>
      <c r="P793" s="14">
        <v>1</v>
      </c>
      <c r="Q793" t="s">
        <v>41</v>
      </c>
      <c r="R793" s="14">
        <v>9582</v>
      </c>
      <c r="S793" s="17" t="str">
        <f t="shared" si="24"/>
        <v>high</v>
      </c>
      <c r="T793">
        <v>10333</v>
      </c>
      <c r="U793">
        <v>0</v>
      </c>
      <c r="V793" s="17" t="s">
        <v>35</v>
      </c>
      <c r="W793">
        <v>22</v>
      </c>
      <c r="X793">
        <v>4</v>
      </c>
      <c r="Y793">
        <v>1</v>
      </c>
      <c r="Z793">
        <v>0</v>
      </c>
      <c r="AA793">
        <v>9</v>
      </c>
      <c r="AB793">
        <v>2</v>
      </c>
      <c r="AC793">
        <v>3</v>
      </c>
      <c r="AD793" s="14">
        <v>8</v>
      </c>
      <c r="AE793" t="str">
        <f t="shared" si="25"/>
        <v>6-10 years</v>
      </c>
      <c r="AF793" s="14">
        <v>7</v>
      </c>
      <c r="AG793" s="14">
        <v>4</v>
      </c>
      <c r="AH793" s="14">
        <v>7</v>
      </c>
    </row>
    <row r="794" spans="1:34" x14ac:dyDescent="0.3">
      <c r="A794" s="14">
        <v>33</v>
      </c>
      <c r="B794" s="17" t="s">
        <v>35</v>
      </c>
      <c r="C794" t="s">
        <v>44</v>
      </c>
      <c r="D794">
        <v>827</v>
      </c>
      <c r="E794" s="17" t="s">
        <v>45</v>
      </c>
      <c r="F794">
        <v>29</v>
      </c>
      <c r="G794">
        <v>4</v>
      </c>
      <c r="H794" t="s">
        <v>51</v>
      </c>
      <c r="I794">
        <v>1101</v>
      </c>
      <c r="J794">
        <v>1</v>
      </c>
      <c r="K794" s="17" t="s">
        <v>39</v>
      </c>
      <c r="L794">
        <v>54</v>
      </c>
      <c r="M794">
        <v>2</v>
      </c>
      <c r="N794">
        <v>2</v>
      </c>
      <c r="O794" s="17" t="s">
        <v>47</v>
      </c>
      <c r="P794" s="14">
        <v>3</v>
      </c>
      <c r="Q794" t="s">
        <v>41</v>
      </c>
      <c r="R794" s="14">
        <v>4508</v>
      </c>
      <c r="S794" s="17" t="str">
        <f t="shared" si="24"/>
        <v>medium</v>
      </c>
      <c r="T794">
        <v>3129</v>
      </c>
      <c r="U794">
        <v>1</v>
      </c>
      <c r="V794" s="17" t="s">
        <v>43</v>
      </c>
      <c r="W794">
        <v>22</v>
      </c>
      <c r="X794">
        <v>4</v>
      </c>
      <c r="Y794">
        <v>2</v>
      </c>
      <c r="Z794">
        <v>0</v>
      </c>
      <c r="AA794">
        <v>14</v>
      </c>
      <c r="AB794">
        <v>4</v>
      </c>
      <c r="AC794">
        <v>3</v>
      </c>
      <c r="AD794" s="14">
        <v>13</v>
      </c>
      <c r="AE794" t="str">
        <f t="shared" si="25"/>
        <v>10+ years</v>
      </c>
      <c r="AF794" s="14">
        <v>7</v>
      </c>
      <c r="AG794" s="14">
        <v>3</v>
      </c>
      <c r="AH794" s="14">
        <v>8</v>
      </c>
    </row>
    <row r="795" spans="1:34" x14ac:dyDescent="0.3">
      <c r="A795" s="14">
        <v>28</v>
      </c>
      <c r="B795" s="17" t="s">
        <v>43</v>
      </c>
      <c r="C795" t="s">
        <v>36</v>
      </c>
      <c r="D795">
        <v>895</v>
      </c>
      <c r="E795" s="17" t="s">
        <v>45</v>
      </c>
      <c r="F795">
        <v>15</v>
      </c>
      <c r="G795">
        <v>2</v>
      </c>
      <c r="H795" t="s">
        <v>38</v>
      </c>
      <c r="I795">
        <v>1102</v>
      </c>
      <c r="J795">
        <v>1</v>
      </c>
      <c r="K795" s="17" t="s">
        <v>46</v>
      </c>
      <c r="L795">
        <v>50</v>
      </c>
      <c r="M795">
        <v>3</v>
      </c>
      <c r="N795">
        <v>1</v>
      </c>
      <c r="O795" s="17" t="s">
        <v>50</v>
      </c>
      <c r="P795" s="14">
        <v>3</v>
      </c>
      <c r="Q795" t="s">
        <v>52</v>
      </c>
      <c r="R795" s="14">
        <v>2207</v>
      </c>
      <c r="S795" s="17" t="str">
        <f t="shared" si="24"/>
        <v>low</v>
      </c>
      <c r="T795">
        <v>22482</v>
      </c>
      <c r="U795">
        <v>1</v>
      </c>
      <c r="V795" s="17" t="s">
        <v>43</v>
      </c>
      <c r="W795">
        <v>16</v>
      </c>
      <c r="X795">
        <v>3</v>
      </c>
      <c r="Y795">
        <v>4</v>
      </c>
      <c r="Z795">
        <v>1</v>
      </c>
      <c r="AA795">
        <v>4</v>
      </c>
      <c r="AB795">
        <v>5</v>
      </c>
      <c r="AC795">
        <v>2</v>
      </c>
      <c r="AD795" s="14">
        <v>4</v>
      </c>
      <c r="AE795" t="str">
        <f t="shared" si="25"/>
        <v>3-5 years</v>
      </c>
      <c r="AF795" s="14">
        <v>2</v>
      </c>
      <c r="AG795" s="14">
        <v>2</v>
      </c>
      <c r="AH795" s="14">
        <v>2</v>
      </c>
    </row>
    <row r="796" spans="1:34" x14ac:dyDescent="0.3">
      <c r="A796" s="14">
        <v>34</v>
      </c>
      <c r="B796" s="17" t="s">
        <v>43</v>
      </c>
      <c r="C796" t="s">
        <v>44</v>
      </c>
      <c r="D796">
        <v>618</v>
      </c>
      <c r="E796" s="17" t="s">
        <v>45</v>
      </c>
      <c r="F796">
        <v>3</v>
      </c>
      <c r="G796">
        <v>1</v>
      </c>
      <c r="H796" t="s">
        <v>38</v>
      </c>
      <c r="I796">
        <v>1103</v>
      </c>
      <c r="J796">
        <v>1</v>
      </c>
      <c r="K796" s="17" t="s">
        <v>46</v>
      </c>
      <c r="L796">
        <v>45</v>
      </c>
      <c r="M796">
        <v>3</v>
      </c>
      <c r="N796">
        <v>2</v>
      </c>
      <c r="O796" s="17" t="s">
        <v>54</v>
      </c>
      <c r="P796" s="14">
        <v>4</v>
      </c>
      <c r="Q796" t="s">
        <v>41</v>
      </c>
      <c r="R796" s="14">
        <v>7756</v>
      </c>
      <c r="S796" s="17" t="str">
        <f t="shared" si="24"/>
        <v>high</v>
      </c>
      <c r="T796">
        <v>22266</v>
      </c>
      <c r="U796">
        <v>0</v>
      </c>
      <c r="V796" s="17" t="s">
        <v>43</v>
      </c>
      <c r="W796">
        <v>17</v>
      </c>
      <c r="X796">
        <v>3</v>
      </c>
      <c r="Y796">
        <v>3</v>
      </c>
      <c r="Z796">
        <v>0</v>
      </c>
      <c r="AA796">
        <v>7</v>
      </c>
      <c r="AB796">
        <v>1</v>
      </c>
      <c r="AC796">
        <v>2</v>
      </c>
      <c r="AD796" s="14">
        <v>6</v>
      </c>
      <c r="AE796" t="str">
        <f t="shared" si="25"/>
        <v>6-10 years</v>
      </c>
      <c r="AF796" s="14">
        <v>2</v>
      </c>
      <c r="AG796" s="14">
        <v>0</v>
      </c>
      <c r="AH796" s="14">
        <v>4</v>
      </c>
    </row>
    <row r="797" spans="1:34" x14ac:dyDescent="0.3">
      <c r="A797" s="14">
        <v>37</v>
      </c>
      <c r="B797" s="17" t="s">
        <v>43</v>
      </c>
      <c r="C797" t="s">
        <v>36</v>
      </c>
      <c r="D797">
        <v>309</v>
      </c>
      <c r="E797" s="17" t="s">
        <v>37</v>
      </c>
      <c r="F797">
        <v>10</v>
      </c>
      <c r="G797">
        <v>4</v>
      </c>
      <c r="H797" t="s">
        <v>38</v>
      </c>
      <c r="I797">
        <v>1105</v>
      </c>
      <c r="J797">
        <v>4</v>
      </c>
      <c r="K797" s="17" t="s">
        <v>39</v>
      </c>
      <c r="L797">
        <v>88</v>
      </c>
      <c r="M797">
        <v>2</v>
      </c>
      <c r="N797">
        <v>2</v>
      </c>
      <c r="O797" s="17" t="s">
        <v>40</v>
      </c>
      <c r="P797" s="14">
        <v>4</v>
      </c>
      <c r="Q797" t="s">
        <v>52</v>
      </c>
      <c r="R797" s="14">
        <v>6694</v>
      </c>
      <c r="S797" s="17" t="str">
        <f t="shared" si="24"/>
        <v>medium</v>
      </c>
      <c r="T797">
        <v>24223</v>
      </c>
      <c r="U797">
        <v>2</v>
      </c>
      <c r="V797" s="17" t="s">
        <v>35</v>
      </c>
      <c r="W797">
        <v>14</v>
      </c>
      <c r="X797">
        <v>3</v>
      </c>
      <c r="Y797">
        <v>3</v>
      </c>
      <c r="Z797">
        <v>3</v>
      </c>
      <c r="AA797">
        <v>8</v>
      </c>
      <c r="AB797">
        <v>5</v>
      </c>
      <c r="AC797">
        <v>3</v>
      </c>
      <c r="AD797" s="14">
        <v>1</v>
      </c>
      <c r="AE797" t="str">
        <f t="shared" si="25"/>
        <v>0-2 years</v>
      </c>
      <c r="AF797" s="14">
        <v>0</v>
      </c>
      <c r="AG797" s="14">
        <v>0</v>
      </c>
      <c r="AH797" s="14">
        <v>0</v>
      </c>
    </row>
    <row r="798" spans="1:34" x14ac:dyDescent="0.3">
      <c r="A798" s="14">
        <v>25</v>
      </c>
      <c r="B798" s="17" t="s">
        <v>35</v>
      </c>
      <c r="C798" t="s">
        <v>36</v>
      </c>
      <c r="D798">
        <v>1219</v>
      </c>
      <c r="E798" s="17" t="s">
        <v>45</v>
      </c>
      <c r="F798">
        <v>4</v>
      </c>
      <c r="G798">
        <v>1</v>
      </c>
      <c r="H798" t="s">
        <v>60</v>
      </c>
      <c r="I798">
        <v>1106</v>
      </c>
      <c r="J798">
        <v>4</v>
      </c>
      <c r="K798" s="17" t="s">
        <v>46</v>
      </c>
      <c r="L798">
        <v>32</v>
      </c>
      <c r="M798">
        <v>3</v>
      </c>
      <c r="N798">
        <v>1</v>
      </c>
      <c r="O798" s="17" t="s">
        <v>50</v>
      </c>
      <c r="P798" s="14">
        <v>4</v>
      </c>
      <c r="Q798" t="s">
        <v>48</v>
      </c>
      <c r="R798" s="14">
        <v>3691</v>
      </c>
      <c r="S798" s="17" t="str">
        <f t="shared" si="24"/>
        <v>medium</v>
      </c>
      <c r="T798">
        <v>4605</v>
      </c>
      <c r="U798">
        <v>1</v>
      </c>
      <c r="V798" s="17" t="s">
        <v>35</v>
      </c>
      <c r="W798">
        <v>15</v>
      </c>
      <c r="X798">
        <v>3</v>
      </c>
      <c r="Y798">
        <v>2</v>
      </c>
      <c r="Z798">
        <v>1</v>
      </c>
      <c r="AA798">
        <v>7</v>
      </c>
      <c r="AB798">
        <v>3</v>
      </c>
      <c r="AC798">
        <v>4</v>
      </c>
      <c r="AD798" s="14">
        <v>7</v>
      </c>
      <c r="AE798" t="str">
        <f t="shared" si="25"/>
        <v>6-10 years</v>
      </c>
      <c r="AF798" s="14">
        <v>7</v>
      </c>
      <c r="AG798" s="14">
        <v>5</v>
      </c>
      <c r="AH798" s="14">
        <v>6</v>
      </c>
    </row>
    <row r="799" spans="1:34" x14ac:dyDescent="0.3">
      <c r="A799" s="14">
        <v>26</v>
      </c>
      <c r="B799" s="17" t="s">
        <v>35</v>
      </c>
      <c r="C799" t="s">
        <v>36</v>
      </c>
      <c r="D799">
        <v>1330</v>
      </c>
      <c r="E799" s="17" t="s">
        <v>45</v>
      </c>
      <c r="F799">
        <v>21</v>
      </c>
      <c r="G799">
        <v>3</v>
      </c>
      <c r="H799" t="s">
        <v>51</v>
      </c>
      <c r="I799">
        <v>1107</v>
      </c>
      <c r="J799">
        <v>1</v>
      </c>
      <c r="K799" s="17" t="s">
        <v>46</v>
      </c>
      <c r="L799">
        <v>37</v>
      </c>
      <c r="M799">
        <v>3</v>
      </c>
      <c r="N799">
        <v>1</v>
      </c>
      <c r="O799" s="17" t="s">
        <v>50</v>
      </c>
      <c r="P799" s="14">
        <v>3</v>
      </c>
      <c r="Q799" t="s">
        <v>52</v>
      </c>
      <c r="R799" s="14">
        <v>2377</v>
      </c>
      <c r="S799" s="17" t="str">
        <f t="shared" si="24"/>
        <v>low</v>
      </c>
      <c r="T799">
        <v>19373</v>
      </c>
      <c r="U799">
        <v>1</v>
      </c>
      <c r="V799" s="17" t="s">
        <v>43</v>
      </c>
      <c r="W799">
        <v>20</v>
      </c>
      <c r="X799">
        <v>4</v>
      </c>
      <c r="Y799">
        <v>3</v>
      </c>
      <c r="Z799">
        <v>1</v>
      </c>
      <c r="AA799">
        <v>1</v>
      </c>
      <c r="AB799">
        <v>0</v>
      </c>
      <c r="AC799">
        <v>2</v>
      </c>
      <c r="AD799" s="14">
        <v>1</v>
      </c>
      <c r="AE799" t="str">
        <f t="shared" si="25"/>
        <v>0-2 years</v>
      </c>
      <c r="AF799" s="14">
        <v>1</v>
      </c>
      <c r="AG799" s="14">
        <v>0</v>
      </c>
      <c r="AH799" s="14">
        <v>0</v>
      </c>
    </row>
    <row r="800" spans="1:34" x14ac:dyDescent="0.3">
      <c r="A800" s="14">
        <v>33</v>
      </c>
      <c r="B800" s="17" t="s">
        <v>35</v>
      </c>
      <c r="C800" t="s">
        <v>36</v>
      </c>
      <c r="D800">
        <v>1017</v>
      </c>
      <c r="E800" s="17" t="s">
        <v>45</v>
      </c>
      <c r="F800">
        <v>25</v>
      </c>
      <c r="G800">
        <v>3</v>
      </c>
      <c r="H800" t="s">
        <v>51</v>
      </c>
      <c r="I800">
        <v>1108</v>
      </c>
      <c r="J800">
        <v>1</v>
      </c>
      <c r="K800" s="17" t="s">
        <v>46</v>
      </c>
      <c r="L800">
        <v>55</v>
      </c>
      <c r="M800">
        <v>2</v>
      </c>
      <c r="N800">
        <v>1</v>
      </c>
      <c r="O800" s="17" t="s">
        <v>47</v>
      </c>
      <c r="P800" s="14">
        <v>2</v>
      </c>
      <c r="Q800" t="s">
        <v>41</v>
      </c>
      <c r="R800" s="14">
        <v>2313</v>
      </c>
      <c r="S800" s="17" t="str">
        <f t="shared" si="24"/>
        <v>low</v>
      </c>
      <c r="T800">
        <v>2993</v>
      </c>
      <c r="U800">
        <v>4</v>
      </c>
      <c r="V800" s="17" t="s">
        <v>35</v>
      </c>
      <c r="W800">
        <v>20</v>
      </c>
      <c r="X800">
        <v>4</v>
      </c>
      <c r="Y800">
        <v>2</v>
      </c>
      <c r="Z800">
        <v>0</v>
      </c>
      <c r="AA800">
        <v>5</v>
      </c>
      <c r="AB800">
        <v>0</v>
      </c>
      <c r="AC800">
        <v>3</v>
      </c>
      <c r="AD800" s="14">
        <v>2</v>
      </c>
      <c r="AE800" t="str">
        <f t="shared" si="25"/>
        <v>0-2 years</v>
      </c>
      <c r="AF800" s="14">
        <v>2</v>
      </c>
      <c r="AG800" s="14">
        <v>2</v>
      </c>
      <c r="AH800" s="14">
        <v>2</v>
      </c>
    </row>
    <row r="801" spans="1:34" x14ac:dyDescent="0.3">
      <c r="A801" s="14">
        <v>42</v>
      </c>
      <c r="B801" s="17" t="s">
        <v>43</v>
      </c>
      <c r="C801" t="s">
        <v>36</v>
      </c>
      <c r="D801">
        <v>469</v>
      </c>
      <c r="E801" s="17" t="s">
        <v>45</v>
      </c>
      <c r="F801">
        <v>2</v>
      </c>
      <c r="G801">
        <v>2</v>
      </c>
      <c r="H801" t="s">
        <v>51</v>
      </c>
      <c r="I801">
        <v>1109</v>
      </c>
      <c r="J801">
        <v>4</v>
      </c>
      <c r="K801" s="17" t="s">
        <v>46</v>
      </c>
      <c r="L801">
        <v>35</v>
      </c>
      <c r="M801">
        <v>3</v>
      </c>
      <c r="N801">
        <v>4</v>
      </c>
      <c r="O801" s="17" t="s">
        <v>56</v>
      </c>
      <c r="P801" s="14">
        <v>1</v>
      </c>
      <c r="Q801" t="s">
        <v>48</v>
      </c>
      <c r="R801" s="14">
        <v>17665</v>
      </c>
      <c r="S801" s="17" t="str">
        <f t="shared" si="24"/>
        <v>high</v>
      </c>
      <c r="T801">
        <v>14399</v>
      </c>
      <c r="U801">
        <v>0</v>
      </c>
      <c r="V801" s="17" t="s">
        <v>43</v>
      </c>
      <c r="W801">
        <v>17</v>
      </c>
      <c r="X801">
        <v>3</v>
      </c>
      <c r="Y801">
        <v>4</v>
      </c>
      <c r="Z801">
        <v>1</v>
      </c>
      <c r="AA801">
        <v>23</v>
      </c>
      <c r="AB801">
        <v>3</v>
      </c>
      <c r="AC801">
        <v>3</v>
      </c>
      <c r="AD801" s="14">
        <v>22</v>
      </c>
      <c r="AE801" t="str">
        <f t="shared" si="25"/>
        <v>10+ years</v>
      </c>
      <c r="AF801" s="14">
        <v>6</v>
      </c>
      <c r="AG801" s="14">
        <v>13</v>
      </c>
      <c r="AH801" s="14">
        <v>7</v>
      </c>
    </row>
    <row r="802" spans="1:34" x14ac:dyDescent="0.3">
      <c r="A802" s="14">
        <v>28</v>
      </c>
      <c r="B802" s="17" t="s">
        <v>35</v>
      </c>
      <c r="C802" t="s">
        <v>44</v>
      </c>
      <c r="D802">
        <v>1009</v>
      </c>
      <c r="E802" s="17" t="s">
        <v>45</v>
      </c>
      <c r="F802">
        <v>1</v>
      </c>
      <c r="G802">
        <v>3</v>
      </c>
      <c r="H802" t="s">
        <v>51</v>
      </c>
      <c r="I802">
        <v>1111</v>
      </c>
      <c r="J802">
        <v>1</v>
      </c>
      <c r="K802" s="17" t="s">
        <v>46</v>
      </c>
      <c r="L802">
        <v>45</v>
      </c>
      <c r="M802">
        <v>2</v>
      </c>
      <c r="N802">
        <v>1</v>
      </c>
      <c r="O802" s="17" t="s">
        <v>50</v>
      </c>
      <c r="P802" s="14">
        <v>2</v>
      </c>
      <c r="Q802" t="s">
        <v>52</v>
      </c>
      <c r="R802" s="14">
        <v>2596</v>
      </c>
      <c r="S802" s="17" t="str">
        <f t="shared" si="24"/>
        <v>low</v>
      </c>
      <c r="T802">
        <v>7160</v>
      </c>
      <c r="U802">
        <v>1</v>
      </c>
      <c r="V802" s="17" t="s">
        <v>43</v>
      </c>
      <c r="W802">
        <v>15</v>
      </c>
      <c r="X802">
        <v>3</v>
      </c>
      <c r="Y802">
        <v>1</v>
      </c>
      <c r="Z802">
        <v>2</v>
      </c>
      <c r="AA802">
        <v>1</v>
      </c>
      <c r="AB802">
        <v>2</v>
      </c>
      <c r="AC802">
        <v>3</v>
      </c>
      <c r="AD802" s="14">
        <v>1</v>
      </c>
      <c r="AE802" t="str">
        <f t="shared" si="25"/>
        <v>0-2 years</v>
      </c>
      <c r="AF802" s="14">
        <v>0</v>
      </c>
      <c r="AG802" s="14">
        <v>0</v>
      </c>
      <c r="AH802" s="14">
        <v>0</v>
      </c>
    </row>
    <row r="803" spans="1:34" x14ac:dyDescent="0.3">
      <c r="A803" s="14">
        <v>50</v>
      </c>
      <c r="B803" s="17" t="s">
        <v>35</v>
      </c>
      <c r="C803" t="s">
        <v>44</v>
      </c>
      <c r="D803">
        <v>959</v>
      </c>
      <c r="E803" s="17" t="s">
        <v>37</v>
      </c>
      <c r="F803">
        <v>1</v>
      </c>
      <c r="G803">
        <v>4</v>
      </c>
      <c r="H803" t="s">
        <v>49</v>
      </c>
      <c r="I803">
        <v>1113</v>
      </c>
      <c r="J803">
        <v>4</v>
      </c>
      <c r="K803" s="17" t="s">
        <v>46</v>
      </c>
      <c r="L803">
        <v>81</v>
      </c>
      <c r="M803">
        <v>3</v>
      </c>
      <c r="N803">
        <v>2</v>
      </c>
      <c r="O803" s="17" t="s">
        <v>40</v>
      </c>
      <c r="P803" s="14">
        <v>3</v>
      </c>
      <c r="Q803" t="s">
        <v>41</v>
      </c>
      <c r="R803" s="14">
        <v>4728</v>
      </c>
      <c r="S803" s="17" t="str">
        <f t="shared" si="24"/>
        <v>medium</v>
      </c>
      <c r="T803">
        <v>17251</v>
      </c>
      <c r="U803">
        <v>3</v>
      </c>
      <c r="V803" s="17" t="s">
        <v>35</v>
      </c>
      <c r="W803">
        <v>14</v>
      </c>
      <c r="X803">
        <v>3</v>
      </c>
      <c r="Y803">
        <v>4</v>
      </c>
      <c r="Z803">
        <v>0</v>
      </c>
      <c r="AA803">
        <v>5</v>
      </c>
      <c r="AB803">
        <v>4</v>
      </c>
      <c r="AC803">
        <v>3</v>
      </c>
      <c r="AD803" s="14">
        <v>0</v>
      </c>
      <c r="AE803" t="str">
        <f t="shared" si="25"/>
        <v>0-2 years</v>
      </c>
      <c r="AF803" s="14">
        <v>0</v>
      </c>
      <c r="AG803" s="14">
        <v>0</v>
      </c>
      <c r="AH803" s="14">
        <v>0</v>
      </c>
    </row>
    <row r="804" spans="1:34" x14ac:dyDescent="0.3">
      <c r="A804" s="14">
        <v>33</v>
      </c>
      <c r="B804" s="17" t="s">
        <v>43</v>
      </c>
      <c r="C804" t="s">
        <v>44</v>
      </c>
      <c r="D804">
        <v>970</v>
      </c>
      <c r="E804" s="17" t="s">
        <v>37</v>
      </c>
      <c r="F804">
        <v>7</v>
      </c>
      <c r="G804">
        <v>3</v>
      </c>
      <c r="H804" t="s">
        <v>38</v>
      </c>
      <c r="I804">
        <v>1114</v>
      </c>
      <c r="J804">
        <v>4</v>
      </c>
      <c r="K804" s="17" t="s">
        <v>39</v>
      </c>
      <c r="L804">
        <v>30</v>
      </c>
      <c r="M804">
        <v>3</v>
      </c>
      <c r="N804">
        <v>2</v>
      </c>
      <c r="O804" s="17" t="s">
        <v>40</v>
      </c>
      <c r="P804" s="14">
        <v>2</v>
      </c>
      <c r="Q804" t="s">
        <v>48</v>
      </c>
      <c r="R804" s="14">
        <v>4302</v>
      </c>
      <c r="S804" s="17" t="str">
        <f t="shared" si="24"/>
        <v>medium</v>
      </c>
      <c r="T804">
        <v>13401</v>
      </c>
      <c r="U804">
        <v>0</v>
      </c>
      <c r="V804" s="17" t="s">
        <v>43</v>
      </c>
      <c r="W804">
        <v>17</v>
      </c>
      <c r="X804">
        <v>3</v>
      </c>
      <c r="Y804">
        <v>3</v>
      </c>
      <c r="Z804">
        <v>1</v>
      </c>
      <c r="AA804">
        <v>4</v>
      </c>
      <c r="AB804">
        <v>3</v>
      </c>
      <c r="AC804">
        <v>3</v>
      </c>
      <c r="AD804" s="14">
        <v>3</v>
      </c>
      <c r="AE804" t="str">
        <f t="shared" si="25"/>
        <v>3-5 years</v>
      </c>
      <c r="AF804" s="14">
        <v>2</v>
      </c>
      <c r="AG804" s="14">
        <v>0</v>
      </c>
      <c r="AH804" s="14">
        <v>2</v>
      </c>
    </row>
    <row r="805" spans="1:34" x14ac:dyDescent="0.3">
      <c r="A805" s="14">
        <v>34</v>
      </c>
      <c r="B805" s="17" t="s">
        <v>43</v>
      </c>
      <c r="C805" t="s">
        <v>55</v>
      </c>
      <c r="D805">
        <v>697</v>
      </c>
      <c r="E805" s="17" t="s">
        <v>45</v>
      </c>
      <c r="F805">
        <v>3</v>
      </c>
      <c r="G805">
        <v>4</v>
      </c>
      <c r="H805" t="s">
        <v>38</v>
      </c>
      <c r="I805">
        <v>1115</v>
      </c>
      <c r="J805">
        <v>3</v>
      </c>
      <c r="K805" s="17" t="s">
        <v>46</v>
      </c>
      <c r="L805">
        <v>40</v>
      </c>
      <c r="M805">
        <v>2</v>
      </c>
      <c r="N805">
        <v>1</v>
      </c>
      <c r="O805" s="17" t="s">
        <v>47</v>
      </c>
      <c r="P805" s="14">
        <v>4</v>
      </c>
      <c r="Q805" t="s">
        <v>48</v>
      </c>
      <c r="R805" s="14">
        <v>2979</v>
      </c>
      <c r="S805" s="17" t="str">
        <f t="shared" si="24"/>
        <v>low</v>
      </c>
      <c r="T805">
        <v>22478</v>
      </c>
      <c r="U805">
        <v>3</v>
      </c>
      <c r="V805" s="17" t="s">
        <v>43</v>
      </c>
      <c r="W805">
        <v>17</v>
      </c>
      <c r="X805">
        <v>3</v>
      </c>
      <c r="Y805">
        <v>4</v>
      </c>
      <c r="Z805">
        <v>3</v>
      </c>
      <c r="AA805">
        <v>6</v>
      </c>
      <c r="AB805">
        <v>2</v>
      </c>
      <c r="AC805">
        <v>3</v>
      </c>
      <c r="AD805" s="14">
        <v>0</v>
      </c>
      <c r="AE805" t="str">
        <f t="shared" si="25"/>
        <v>0-2 years</v>
      </c>
      <c r="AF805" s="14">
        <v>0</v>
      </c>
      <c r="AG805" s="14">
        <v>0</v>
      </c>
      <c r="AH805" s="14">
        <v>0</v>
      </c>
    </row>
    <row r="806" spans="1:34" x14ac:dyDescent="0.3">
      <c r="A806" s="14">
        <v>48</v>
      </c>
      <c r="B806" s="17" t="s">
        <v>43</v>
      </c>
      <c r="C806" t="s">
        <v>55</v>
      </c>
      <c r="D806">
        <v>1262</v>
      </c>
      <c r="E806" s="17" t="s">
        <v>45</v>
      </c>
      <c r="F806">
        <v>1</v>
      </c>
      <c r="G806">
        <v>4</v>
      </c>
      <c r="H806" t="s">
        <v>51</v>
      </c>
      <c r="I806">
        <v>1116</v>
      </c>
      <c r="J806">
        <v>1</v>
      </c>
      <c r="K806" s="17" t="s">
        <v>46</v>
      </c>
      <c r="L806">
        <v>35</v>
      </c>
      <c r="M806">
        <v>4</v>
      </c>
      <c r="N806">
        <v>4</v>
      </c>
      <c r="O806" s="17" t="s">
        <v>56</v>
      </c>
      <c r="P806" s="14">
        <v>4</v>
      </c>
      <c r="Q806" t="s">
        <v>41</v>
      </c>
      <c r="R806" s="14">
        <v>16885</v>
      </c>
      <c r="S806" s="17" t="str">
        <f t="shared" si="24"/>
        <v>high</v>
      </c>
      <c r="T806">
        <v>16154</v>
      </c>
      <c r="U806">
        <v>2</v>
      </c>
      <c r="V806" s="17" t="s">
        <v>43</v>
      </c>
      <c r="W806">
        <v>22</v>
      </c>
      <c r="X806">
        <v>4</v>
      </c>
      <c r="Y806">
        <v>3</v>
      </c>
      <c r="Z806">
        <v>0</v>
      </c>
      <c r="AA806">
        <v>27</v>
      </c>
      <c r="AB806">
        <v>3</v>
      </c>
      <c r="AC806">
        <v>2</v>
      </c>
      <c r="AD806" s="14">
        <v>5</v>
      </c>
      <c r="AE806" t="str">
        <f t="shared" si="25"/>
        <v>3-5 years</v>
      </c>
      <c r="AF806" s="14">
        <v>4</v>
      </c>
      <c r="AG806" s="14">
        <v>2</v>
      </c>
      <c r="AH806" s="14">
        <v>1</v>
      </c>
    </row>
    <row r="807" spans="1:34" x14ac:dyDescent="0.3">
      <c r="A807" s="14">
        <v>45</v>
      </c>
      <c r="B807" s="17" t="s">
        <v>43</v>
      </c>
      <c r="C807" t="s">
        <v>55</v>
      </c>
      <c r="D807">
        <v>1050</v>
      </c>
      <c r="E807" s="17" t="s">
        <v>37</v>
      </c>
      <c r="F807">
        <v>9</v>
      </c>
      <c r="G807">
        <v>4</v>
      </c>
      <c r="H807" t="s">
        <v>38</v>
      </c>
      <c r="I807">
        <v>1117</v>
      </c>
      <c r="J807">
        <v>2</v>
      </c>
      <c r="K807" s="17" t="s">
        <v>39</v>
      </c>
      <c r="L807">
        <v>65</v>
      </c>
      <c r="M807">
        <v>2</v>
      </c>
      <c r="N807">
        <v>2</v>
      </c>
      <c r="O807" s="17" t="s">
        <v>40</v>
      </c>
      <c r="P807" s="14">
        <v>3</v>
      </c>
      <c r="Q807" t="s">
        <v>48</v>
      </c>
      <c r="R807" s="14">
        <v>5593</v>
      </c>
      <c r="S807" s="17" t="str">
        <f t="shared" si="24"/>
        <v>medium</v>
      </c>
      <c r="T807">
        <v>17970</v>
      </c>
      <c r="U807">
        <v>1</v>
      </c>
      <c r="V807" s="17" t="s">
        <v>43</v>
      </c>
      <c r="W807">
        <v>13</v>
      </c>
      <c r="X807">
        <v>3</v>
      </c>
      <c r="Y807">
        <v>4</v>
      </c>
      <c r="Z807">
        <v>1</v>
      </c>
      <c r="AA807">
        <v>15</v>
      </c>
      <c r="AB807">
        <v>2</v>
      </c>
      <c r="AC807">
        <v>3</v>
      </c>
      <c r="AD807" s="14">
        <v>15</v>
      </c>
      <c r="AE807" t="str">
        <f t="shared" si="25"/>
        <v>10+ years</v>
      </c>
      <c r="AF807" s="14">
        <v>10</v>
      </c>
      <c r="AG807" s="14">
        <v>4</v>
      </c>
      <c r="AH807" s="14">
        <v>12</v>
      </c>
    </row>
    <row r="808" spans="1:34" x14ac:dyDescent="0.3">
      <c r="A808" s="14">
        <v>52</v>
      </c>
      <c r="B808" s="17" t="s">
        <v>43</v>
      </c>
      <c r="C808" t="s">
        <v>36</v>
      </c>
      <c r="D808">
        <v>994</v>
      </c>
      <c r="E808" s="17" t="s">
        <v>45</v>
      </c>
      <c r="F808">
        <v>7</v>
      </c>
      <c r="G808">
        <v>4</v>
      </c>
      <c r="H808" t="s">
        <v>38</v>
      </c>
      <c r="I808">
        <v>1118</v>
      </c>
      <c r="J808">
        <v>2</v>
      </c>
      <c r="K808" s="17" t="s">
        <v>46</v>
      </c>
      <c r="L808">
        <v>87</v>
      </c>
      <c r="M808">
        <v>3</v>
      </c>
      <c r="N808">
        <v>3</v>
      </c>
      <c r="O808" s="17" t="s">
        <v>54</v>
      </c>
      <c r="P808" s="14">
        <v>2</v>
      </c>
      <c r="Q808" t="s">
        <v>41</v>
      </c>
      <c r="R808" s="14">
        <v>10445</v>
      </c>
      <c r="S808" s="17" t="str">
        <f t="shared" si="24"/>
        <v>high</v>
      </c>
      <c r="T808">
        <v>15322</v>
      </c>
      <c r="U808">
        <v>7</v>
      </c>
      <c r="V808" s="17" t="s">
        <v>43</v>
      </c>
      <c r="W808">
        <v>19</v>
      </c>
      <c r="X808">
        <v>3</v>
      </c>
      <c r="Y808">
        <v>4</v>
      </c>
      <c r="Z808">
        <v>0</v>
      </c>
      <c r="AA808">
        <v>18</v>
      </c>
      <c r="AB808">
        <v>4</v>
      </c>
      <c r="AC808">
        <v>3</v>
      </c>
      <c r="AD808" s="14">
        <v>8</v>
      </c>
      <c r="AE808" t="str">
        <f t="shared" si="25"/>
        <v>6-10 years</v>
      </c>
      <c r="AF808" s="14">
        <v>6</v>
      </c>
      <c r="AG808" s="14">
        <v>4</v>
      </c>
      <c r="AH808" s="14">
        <v>0</v>
      </c>
    </row>
    <row r="809" spans="1:34" x14ac:dyDescent="0.3">
      <c r="A809" s="14">
        <v>38</v>
      </c>
      <c r="B809" s="17" t="s">
        <v>43</v>
      </c>
      <c r="C809" t="s">
        <v>36</v>
      </c>
      <c r="D809">
        <v>770</v>
      </c>
      <c r="E809" s="17" t="s">
        <v>37</v>
      </c>
      <c r="F809">
        <v>10</v>
      </c>
      <c r="G809">
        <v>4</v>
      </c>
      <c r="H809" t="s">
        <v>59</v>
      </c>
      <c r="I809">
        <v>1119</v>
      </c>
      <c r="J809">
        <v>3</v>
      </c>
      <c r="K809" s="17" t="s">
        <v>46</v>
      </c>
      <c r="L809">
        <v>73</v>
      </c>
      <c r="M809">
        <v>2</v>
      </c>
      <c r="N809">
        <v>3</v>
      </c>
      <c r="O809" s="17" t="s">
        <v>40</v>
      </c>
      <c r="P809" s="14">
        <v>3</v>
      </c>
      <c r="Q809" t="s">
        <v>52</v>
      </c>
      <c r="R809" s="14">
        <v>8740</v>
      </c>
      <c r="S809" s="17" t="str">
        <f t="shared" si="24"/>
        <v>high</v>
      </c>
      <c r="T809">
        <v>5569</v>
      </c>
      <c r="U809">
        <v>0</v>
      </c>
      <c r="V809" s="17" t="s">
        <v>35</v>
      </c>
      <c r="W809">
        <v>14</v>
      </c>
      <c r="X809">
        <v>3</v>
      </c>
      <c r="Y809">
        <v>2</v>
      </c>
      <c r="Z809">
        <v>2</v>
      </c>
      <c r="AA809">
        <v>9</v>
      </c>
      <c r="AB809">
        <v>2</v>
      </c>
      <c r="AC809">
        <v>3</v>
      </c>
      <c r="AD809" s="14">
        <v>8</v>
      </c>
      <c r="AE809" t="str">
        <f t="shared" si="25"/>
        <v>6-10 years</v>
      </c>
      <c r="AF809" s="14">
        <v>7</v>
      </c>
      <c r="AG809" s="14">
        <v>2</v>
      </c>
      <c r="AH809" s="14">
        <v>7</v>
      </c>
    </row>
    <row r="810" spans="1:34" x14ac:dyDescent="0.3">
      <c r="A810" s="14">
        <v>29</v>
      </c>
      <c r="B810" s="17" t="s">
        <v>43</v>
      </c>
      <c r="C810" t="s">
        <v>36</v>
      </c>
      <c r="D810">
        <v>1107</v>
      </c>
      <c r="E810" s="17" t="s">
        <v>45</v>
      </c>
      <c r="F810">
        <v>28</v>
      </c>
      <c r="G810">
        <v>4</v>
      </c>
      <c r="H810" t="s">
        <v>38</v>
      </c>
      <c r="I810">
        <v>1120</v>
      </c>
      <c r="J810">
        <v>3</v>
      </c>
      <c r="K810" s="17" t="s">
        <v>39</v>
      </c>
      <c r="L810">
        <v>93</v>
      </c>
      <c r="M810">
        <v>3</v>
      </c>
      <c r="N810">
        <v>1</v>
      </c>
      <c r="O810" s="17" t="s">
        <v>47</v>
      </c>
      <c r="P810" s="14">
        <v>4</v>
      </c>
      <c r="Q810" t="s">
        <v>52</v>
      </c>
      <c r="R810" s="14">
        <v>2514</v>
      </c>
      <c r="S810" s="17" t="str">
        <f t="shared" si="24"/>
        <v>low</v>
      </c>
      <c r="T810">
        <v>26968</v>
      </c>
      <c r="U810">
        <v>4</v>
      </c>
      <c r="V810" s="17" t="s">
        <v>43</v>
      </c>
      <c r="W810">
        <v>22</v>
      </c>
      <c r="X810">
        <v>4</v>
      </c>
      <c r="Y810">
        <v>1</v>
      </c>
      <c r="Z810">
        <v>1</v>
      </c>
      <c r="AA810">
        <v>11</v>
      </c>
      <c r="AB810">
        <v>1</v>
      </c>
      <c r="AC810">
        <v>3</v>
      </c>
      <c r="AD810" s="14">
        <v>7</v>
      </c>
      <c r="AE810" t="str">
        <f t="shared" si="25"/>
        <v>6-10 years</v>
      </c>
      <c r="AF810" s="14">
        <v>5</v>
      </c>
      <c r="AG810" s="14">
        <v>1</v>
      </c>
      <c r="AH810" s="14">
        <v>7</v>
      </c>
    </row>
    <row r="811" spans="1:34" x14ac:dyDescent="0.3">
      <c r="A811" s="14">
        <v>28</v>
      </c>
      <c r="B811" s="17" t="s">
        <v>43</v>
      </c>
      <c r="C811" t="s">
        <v>36</v>
      </c>
      <c r="D811">
        <v>950</v>
      </c>
      <c r="E811" s="17" t="s">
        <v>45</v>
      </c>
      <c r="F811">
        <v>3</v>
      </c>
      <c r="G811">
        <v>3</v>
      </c>
      <c r="H811" t="s">
        <v>51</v>
      </c>
      <c r="I811">
        <v>1121</v>
      </c>
      <c r="J811">
        <v>4</v>
      </c>
      <c r="K811" s="17" t="s">
        <v>39</v>
      </c>
      <c r="L811">
        <v>93</v>
      </c>
      <c r="M811">
        <v>3</v>
      </c>
      <c r="N811">
        <v>3</v>
      </c>
      <c r="O811" s="17" t="s">
        <v>53</v>
      </c>
      <c r="P811" s="14">
        <v>2</v>
      </c>
      <c r="Q811" t="s">
        <v>52</v>
      </c>
      <c r="R811" s="14">
        <v>7655</v>
      </c>
      <c r="S811" s="17" t="str">
        <f t="shared" si="24"/>
        <v>high</v>
      </c>
      <c r="T811">
        <v>8039</v>
      </c>
      <c r="U811">
        <v>0</v>
      </c>
      <c r="V811" s="17" t="s">
        <v>43</v>
      </c>
      <c r="W811">
        <v>17</v>
      </c>
      <c r="X811">
        <v>3</v>
      </c>
      <c r="Y811">
        <v>2</v>
      </c>
      <c r="Z811">
        <v>3</v>
      </c>
      <c r="AA811">
        <v>10</v>
      </c>
      <c r="AB811">
        <v>3</v>
      </c>
      <c r="AC811">
        <v>2</v>
      </c>
      <c r="AD811" s="14">
        <v>9</v>
      </c>
      <c r="AE811" t="str">
        <f t="shared" si="25"/>
        <v>6-10 years</v>
      </c>
      <c r="AF811" s="14">
        <v>7</v>
      </c>
      <c r="AG811" s="14">
        <v>1</v>
      </c>
      <c r="AH811" s="14">
        <v>7</v>
      </c>
    </row>
    <row r="812" spans="1:34" x14ac:dyDescent="0.3">
      <c r="A812" s="14">
        <v>46</v>
      </c>
      <c r="B812" s="17" t="s">
        <v>43</v>
      </c>
      <c r="C812" t="s">
        <v>36</v>
      </c>
      <c r="D812">
        <v>406</v>
      </c>
      <c r="E812" s="17" t="s">
        <v>37</v>
      </c>
      <c r="F812">
        <v>3</v>
      </c>
      <c r="G812">
        <v>1</v>
      </c>
      <c r="H812" t="s">
        <v>59</v>
      </c>
      <c r="I812">
        <v>1124</v>
      </c>
      <c r="J812">
        <v>1</v>
      </c>
      <c r="K812" s="17" t="s">
        <v>46</v>
      </c>
      <c r="L812">
        <v>52</v>
      </c>
      <c r="M812">
        <v>3</v>
      </c>
      <c r="N812">
        <v>4</v>
      </c>
      <c r="O812" s="17" t="s">
        <v>56</v>
      </c>
      <c r="P812" s="14">
        <v>3</v>
      </c>
      <c r="Q812" t="s">
        <v>48</v>
      </c>
      <c r="R812" s="14">
        <v>17465</v>
      </c>
      <c r="S812" s="17" t="str">
        <f t="shared" si="24"/>
        <v>high</v>
      </c>
      <c r="T812">
        <v>15596</v>
      </c>
      <c r="U812">
        <v>3</v>
      </c>
      <c r="V812" s="17" t="s">
        <v>43</v>
      </c>
      <c r="W812">
        <v>12</v>
      </c>
      <c r="X812">
        <v>3</v>
      </c>
      <c r="Y812">
        <v>4</v>
      </c>
      <c r="Z812">
        <v>1</v>
      </c>
      <c r="AA812">
        <v>23</v>
      </c>
      <c r="AB812">
        <v>3</v>
      </c>
      <c r="AC812">
        <v>3</v>
      </c>
      <c r="AD812" s="14">
        <v>12</v>
      </c>
      <c r="AE812" t="str">
        <f t="shared" si="25"/>
        <v>10+ years</v>
      </c>
      <c r="AF812" s="14">
        <v>9</v>
      </c>
      <c r="AG812" s="14">
        <v>4</v>
      </c>
      <c r="AH812" s="14">
        <v>9</v>
      </c>
    </row>
    <row r="813" spans="1:34" x14ac:dyDescent="0.3">
      <c r="A813" s="14">
        <v>38</v>
      </c>
      <c r="B813" s="17" t="s">
        <v>43</v>
      </c>
      <c r="C813" t="s">
        <v>36</v>
      </c>
      <c r="D813">
        <v>130</v>
      </c>
      <c r="E813" s="17" t="s">
        <v>37</v>
      </c>
      <c r="F813">
        <v>2</v>
      </c>
      <c r="G813">
        <v>2</v>
      </c>
      <c r="H813" t="s">
        <v>59</v>
      </c>
      <c r="I813">
        <v>1125</v>
      </c>
      <c r="J813">
        <v>4</v>
      </c>
      <c r="K813" s="17" t="s">
        <v>46</v>
      </c>
      <c r="L813">
        <v>32</v>
      </c>
      <c r="M813">
        <v>3</v>
      </c>
      <c r="N813">
        <v>3</v>
      </c>
      <c r="O813" s="17" t="s">
        <v>40</v>
      </c>
      <c r="P813" s="14">
        <v>2</v>
      </c>
      <c r="Q813" t="s">
        <v>41</v>
      </c>
      <c r="R813" s="14">
        <v>7351</v>
      </c>
      <c r="S813" s="17" t="str">
        <f t="shared" si="24"/>
        <v>high</v>
      </c>
      <c r="T813">
        <v>20619</v>
      </c>
      <c r="U813">
        <v>7</v>
      </c>
      <c r="V813" s="17" t="s">
        <v>43</v>
      </c>
      <c r="W813">
        <v>16</v>
      </c>
      <c r="X813">
        <v>3</v>
      </c>
      <c r="Y813">
        <v>3</v>
      </c>
      <c r="Z813">
        <v>0</v>
      </c>
      <c r="AA813">
        <v>10</v>
      </c>
      <c r="AB813">
        <v>2</v>
      </c>
      <c r="AC813">
        <v>3</v>
      </c>
      <c r="AD813" s="14">
        <v>1</v>
      </c>
      <c r="AE813" t="str">
        <f t="shared" si="25"/>
        <v>0-2 years</v>
      </c>
      <c r="AF813" s="14">
        <v>0</v>
      </c>
      <c r="AG813" s="14">
        <v>0</v>
      </c>
      <c r="AH813" s="14">
        <v>0</v>
      </c>
    </row>
    <row r="814" spans="1:34" x14ac:dyDescent="0.3">
      <c r="A814" s="14">
        <v>43</v>
      </c>
      <c r="B814" s="17" t="s">
        <v>43</v>
      </c>
      <c r="C814" t="s">
        <v>44</v>
      </c>
      <c r="D814">
        <v>1082</v>
      </c>
      <c r="E814" s="17" t="s">
        <v>45</v>
      </c>
      <c r="F814">
        <v>27</v>
      </c>
      <c r="G814">
        <v>3</v>
      </c>
      <c r="H814" t="s">
        <v>38</v>
      </c>
      <c r="I814">
        <v>1126</v>
      </c>
      <c r="J814">
        <v>3</v>
      </c>
      <c r="K814" s="17" t="s">
        <v>39</v>
      </c>
      <c r="L814">
        <v>83</v>
      </c>
      <c r="M814">
        <v>3</v>
      </c>
      <c r="N814">
        <v>3</v>
      </c>
      <c r="O814" s="17" t="s">
        <v>53</v>
      </c>
      <c r="P814" s="14">
        <v>1</v>
      </c>
      <c r="Q814" t="s">
        <v>48</v>
      </c>
      <c r="R814" s="14">
        <v>10820</v>
      </c>
      <c r="S814" s="17" t="str">
        <f t="shared" si="24"/>
        <v>high</v>
      </c>
      <c r="T814">
        <v>11535</v>
      </c>
      <c r="U814">
        <v>8</v>
      </c>
      <c r="V814" s="17" t="s">
        <v>43</v>
      </c>
      <c r="W814">
        <v>11</v>
      </c>
      <c r="X814">
        <v>3</v>
      </c>
      <c r="Y814">
        <v>3</v>
      </c>
      <c r="Z814">
        <v>1</v>
      </c>
      <c r="AA814">
        <v>18</v>
      </c>
      <c r="AB814">
        <v>1</v>
      </c>
      <c r="AC814">
        <v>3</v>
      </c>
      <c r="AD814" s="14">
        <v>8</v>
      </c>
      <c r="AE814" t="str">
        <f t="shared" si="25"/>
        <v>6-10 years</v>
      </c>
      <c r="AF814" s="14">
        <v>7</v>
      </c>
      <c r="AG814" s="14">
        <v>0</v>
      </c>
      <c r="AH814" s="14">
        <v>1</v>
      </c>
    </row>
    <row r="815" spans="1:34" x14ac:dyDescent="0.3">
      <c r="A815" s="14">
        <v>39</v>
      </c>
      <c r="B815" s="17" t="s">
        <v>35</v>
      </c>
      <c r="C815" t="s">
        <v>44</v>
      </c>
      <c r="D815">
        <v>203</v>
      </c>
      <c r="E815" s="17" t="s">
        <v>45</v>
      </c>
      <c r="F815">
        <v>2</v>
      </c>
      <c r="G815">
        <v>3</v>
      </c>
      <c r="H815" t="s">
        <v>38</v>
      </c>
      <c r="I815">
        <v>1127</v>
      </c>
      <c r="J815">
        <v>1</v>
      </c>
      <c r="K815" s="17" t="s">
        <v>46</v>
      </c>
      <c r="L815">
        <v>84</v>
      </c>
      <c r="M815">
        <v>3</v>
      </c>
      <c r="N815">
        <v>4</v>
      </c>
      <c r="O815" s="17" t="s">
        <v>54</v>
      </c>
      <c r="P815" s="14">
        <v>4</v>
      </c>
      <c r="Q815" t="s">
        <v>52</v>
      </c>
      <c r="R815" s="14">
        <v>12169</v>
      </c>
      <c r="S815" s="17" t="str">
        <f t="shared" si="24"/>
        <v>high</v>
      </c>
      <c r="T815">
        <v>13547</v>
      </c>
      <c r="U815">
        <v>7</v>
      </c>
      <c r="V815" s="17" t="s">
        <v>43</v>
      </c>
      <c r="W815">
        <v>11</v>
      </c>
      <c r="X815">
        <v>3</v>
      </c>
      <c r="Y815">
        <v>4</v>
      </c>
      <c r="Z815">
        <v>3</v>
      </c>
      <c r="AA815">
        <v>21</v>
      </c>
      <c r="AB815">
        <v>4</v>
      </c>
      <c r="AC815">
        <v>3</v>
      </c>
      <c r="AD815" s="14">
        <v>18</v>
      </c>
      <c r="AE815" t="str">
        <f t="shared" si="25"/>
        <v>10+ years</v>
      </c>
      <c r="AF815" s="14">
        <v>7</v>
      </c>
      <c r="AG815" s="14">
        <v>11</v>
      </c>
      <c r="AH815" s="14">
        <v>5</v>
      </c>
    </row>
    <row r="816" spans="1:34" x14ac:dyDescent="0.3">
      <c r="A816" s="14">
        <v>40</v>
      </c>
      <c r="B816" s="17" t="s">
        <v>43</v>
      </c>
      <c r="C816" t="s">
        <v>36</v>
      </c>
      <c r="D816">
        <v>1308</v>
      </c>
      <c r="E816" s="17" t="s">
        <v>45</v>
      </c>
      <c r="F816">
        <v>14</v>
      </c>
      <c r="G816">
        <v>3</v>
      </c>
      <c r="H816" t="s">
        <v>51</v>
      </c>
      <c r="I816">
        <v>1128</v>
      </c>
      <c r="J816">
        <v>3</v>
      </c>
      <c r="K816" s="17" t="s">
        <v>46</v>
      </c>
      <c r="L816">
        <v>44</v>
      </c>
      <c r="M816">
        <v>2</v>
      </c>
      <c r="N816">
        <v>5</v>
      </c>
      <c r="O816" s="17" t="s">
        <v>58</v>
      </c>
      <c r="P816" s="14">
        <v>3</v>
      </c>
      <c r="Q816" t="s">
        <v>41</v>
      </c>
      <c r="R816" s="14">
        <v>19626</v>
      </c>
      <c r="S816" s="17" t="str">
        <f t="shared" si="24"/>
        <v>high</v>
      </c>
      <c r="T816">
        <v>17544</v>
      </c>
      <c r="U816">
        <v>1</v>
      </c>
      <c r="V816" s="17" t="s">
        <v>43</v>
      </c>
      <c r="W816">
        <v>14</v>
      </c>
      <c r="X816">
        <v>3</v>
      </c>
      <c r="Y816">
        <v>1</v>
      </c>
      <c r="Z816">
        <v>0</v>
      </c>
      <c r="AA816">
        <v>21</v>
      </c>
      <c r="AB816">
        <v>2</v>
      </c>
      <c r="AC816">
        <v>4</v>
      </c>
      <c r="AD816" s="14">
        <v>20</v>
      </c>
      <c r="AE816" t="str">
        <f t="shared" si="25"/>
        <v>10+ years</v>
      </c>
      <c r="AF816" s="14">
        <v>7</v>
      </c>
      <c r="AG816" s="14">
        <v>4</v>
      </c>
      <c r="AH816" s="14">
        <v>9</v>
      </c>
    </row>
    <row r="817" spans="1:34" x14ac:dyDescent="0.3">
      <c r="A817" s="14">
        <v>21</v>
      </c>
      <c r="B817" s="17" t="s">
        <v>43</v>
      </c>
      <c r="C817" t="s">
        <v>36</v>
      </c>
      <c r="D817">
        <v>984</v>
      </c>
      <c r="E817" s="17" t="s">
        <v>45</v>
      </c>
      <c r="F817">
        <v>1</v>
      </c>
      <c r="G817">
        <v>1</v>
      </c>
      <c r="H817" t="s">
        <v>60</v>
      </c>
      <c r="I817">
        <v>1131</v>
      </c>
      <c r="J817">
        <v>4</v>
      </c>
      <c r="K817" s="17" t="s">
        <v>39</v>
      </c>
      <c r="L817">
        <v>70</v>
      </c>
      <c r="M817">
        <v>2</v>
      </c>
      <c r="N817">
        <v>1</v>
      </c>
      <c r="O817" s="17" t="s">
        <v>47</v>
      </c>
      <c r="P817" s="14">
        <v>2</v>
      </c>
      <c r="Q817" t="s">
        <v>41</v>
      </c>
      <c r="R817" s="14">
        <v>2070</v>
      </c>
      <c r="S817" s="17" t="str">
        <f t="shared" si="24"/>
        <v>low</v>
      </c>
      <c r="T817">
        <v>25326</v>
      </c>
      <c r="U817">
        <v>1</v>
      </c>
      <c r="V817" s="17" t="s">
        <v>35</v>
      </c>
      <c r="W817">
        <v>11</v>
      </c>
      <c r="X817">
        <v>3</v>
      </c>
      <c r="Y817">
        <v>3</v>
      </c>
      <c r="Z817">
        <v>0</v>
      </c>
      <c r="AA817">
        <v>2</v>
      </c>
      <c r="AB817">
        <v>6</v>
      </c>
      <c r="AC817">
        <v>4</v>
      </c>
      <c r="AD817" s="14">
        <v>2</v>
      </c>
      <c r="AE817" t="str">
        <f t="shared" si="25"/>
        <v>0-2 years</v>
      </c>
      <c r="AF817" s="14">
        <v>2</v>
      </c>
      <c r="AG817" s="14">
        <v>2</v>
      </c>
      <c r="AH817" s="14">
        <v>2</v>
      </c>
    </row>
    <row r="818" spans="1:34" x14ac:dyDescent="0.3">
      <c r="A818" s="14">
        <v>39</v>
      </c>
      <c r="B818" s="17" t="s">
        <v>43</v>
      </c>
      <c r="C818" t="s">
        <v>55</v>
      </c>
      <c r="D818">
        <v>439</v>
      </c>
      <c r="E818" s="17" t="s">
        <v>45</v>
      </c>
      <c r="F818">
        <v>9</v>
      </c>
      <c r="G818">
        <v>3</v>
      </c>
      <c r="H818" t="s">
        <v>38</v>
      </c>
      <c r="I818">
        <v>1132</v>
      </c>
      <c r="J818">
        <v>3</v>
      </c>
      <c r="K818" s="17" t="s">
        <v>46</v>
      </c>
      <c r="L818">
        <v>70</v>
      </c>
      <c r="M818">
        <v>3</v>
      </c>
      <c r="N818">
        <v>2</v>
      </c>
      <c r="O818" s="17" t="s">
        <v>50</v>
      </c>
      <c r="P818" s="14">
        <v>2</v>
      </c>
      <c r="Q818" t="s">
        <v>41</v>
      </c>
      <c r="R818" s="14">
        <v>6782</v>
      </c>
      <c r="S818" s="17" t="str">
        <f t="shared" si="24"/>
        <v>medium</v>
      </c>
      <c r="T818">
        <v>8770</v>
      </c>
      <c r="U818">
        <v>9</v>
      </c>
      <c r="V818" s="17" t="s">
        <v>43</v>
      </c>
      <c r="W818">
        <v>15</v>
      </c>
      <c r="X818">
        <v>3</v>
      </c>
      <c r="Y818">
        <v>3</v>
      </c>
      <c r="Z818">
        <v>0</v>
      </c>
      <c r="AA818">
        <v>9</v>
      </c>
      <c r="AB818">
        <v>2</v>
      </c>
      <c r="AC818">
        <v>2</v>
      </c>
      <c r="AD818" s="14">
        <v>5</v>
      </c>
      <c r="AE818" t="str">
        <f t="shared" si="25"/>
        <v>3-5 years</v>
      </c>
      <c r="AF818" s="14">
        <v>4</v>
      </c>
      <c r="AG818" s="14">
        <v>0</v>
      </c>
      <c r="AH818" s="14">
        <v>3</v>
      </c>
    </row>
    <row r="819" spans="1:34" x14ac:dyDescent="0.3">
      <c r="A819" s="14">
        <v>36</v>
      </c>
      <c r="B819" s="17" t="s">
        <v>43</v>
      </c>
      <c r="C819" t="s">
        <v>55</v>
      </c>
      <c r="D819">
        <v>217</v>
      </c>
      <c r="E819" s="17" t="s">
        <v>45</v>
      </c>
      <c r="F819">
        <v>18</v>
      </c>
      <c r="G819">
        <v>4</v>
      </c>
      <c r="H819" t="s">
        <v>38</v>
      </c>
      <c r="I819">
        <v>1133</v>
      </c>
      <c r="J819">
        <v>1</v>
      </c>
      <c r="K819" s="17" t="s">
        <v>46</v>
      </c>
      <c r="L819">
        <v>78</v>
      </c>
      <c r="M819">
        <v>3</v>
      </c>
      <c r="N819">
        <v>2</v>
      </c>
      <c r="O819" s="17" t="s">
        <v>53</v>
      </c>
      <c r="P819" s="14">
        <v>4</v>
      </c>
      <c r="Q819" t="s">
        <v>41</v>
      </c>
      <c r="R819" s="14">
        <v>7779</v>
      </c>
      <c r="S819" s="17" t="str">
        <f t="shared" si="24"/>
        <v>high</v>
      </c>
      <c r="T819">
        <v>23238</v>
      </c>
      <c r="U819">
        <v>2</v>
      </c>
      <c r="V819" s="17" t="s">
        <v>43</v>
      </c>
      <c r="W819">
        <v>20</v>
      </c>
      <c r="X819">
        <v>4</v>
      </c>
      <c r="Y819">
        <v>1</v>
      </c>
      <c r="Z819">
        <v>0</v>
      </c>
      <c r="AA819">
        <v>18</v>
      </c>
      <c r="AB819">
        <v>0</v>
      </c>
      <c r="AC819">
        <v>3</v>
      </c>
      <c r="AD819" s="14">
        <v>11</v>
      </c>
      <c r="AE819" t="str">
        <f t="shared" si="25"/>
        <v>10+ years</v>
      </c>
      <c r="AF819" s="14">
        <v>9</v>
      </c>
      <c r="AG819" s="14">
        <v>0</v>
      </c>
      <c r="AH819" s="14">
        <v>9</v>
      </c>
    </row>
    <row r="820" spans="1:34" x14ac:dyDescent="0.3">
      <c r="A820" s="14">
        <v>31</v>
      </c>
      <c r="B820" s="17" t="s">
        <v>43</v>
      </c>
      <c r="C820" t="s">
        <v>44</v>
      </c>
      <c r="D820">
        <v>793</v>
      </c>
      <c r="E820" s="17" t="s">
        <v>37</v>
      </c>
      <c r="F820">
        <v>20</v>
      </c>
      <c r="G820">
        <v>3</v>
      </c>
      <c r="H820" t="s">
        <v>38</v>
      </c>
      <c r="I820">
        <v>1135</v>
      </c>
      <c r="J820">
        <v>3</v>
      </c>
      <c r="K820" s="17" t="s">
        <v>46</v>
      </c>
      <c r="L820">
        <v>67</v>
      </c>
      <c r="M820">
        <v>4</v>
      </c>
      <c r="N820">
        <v>1</v>
      </c>
      <c r="O820" s="17" t="s">
        <v>57</v>
      </c>
      <c r="P820" s="14">
        <v>4</v>
      </c>
      <c r="Q820" t="s">
        <v>48</v>
      </c>
      <c r="R820" s="14">
        <v>2791</v>
      </c>
      <c r="S820" s="17" t="str">
        <f t="shared" si="24"/>
        <v>low</v>
      </c>
      <c r="T820">
        <v>21981</v>
      </c>
      <c r="U820">
        <v>0</v>
      </c>
      <c r="V820" s="17" t="s">
        <v>43</v>
      </c>
      <c r="W820">
        <v>12</v>
      </c>
      <c r="X820">
        <v>3</v>
      </c>
      <c r="Y820">
        <v>1</v>
      </c>
      <c r="Z820">
        <v>1</v>
      </c>
      <c r="AA820">
        <v>3</v>
      </c>
      <c r="AB820">
        <v>4</v>
      </c>
      <c r="AC820">
        <v>3</v>
      </c>
      <c r="AD820" s="14">
        <v>2</v>
      </c>
      <c r="AE820" t="str">
        <f t="shared" si="25"/>
        <v>0-2 years</v>
      </c>
      <c r="AF820" s="14">
        <v>2</v>
      </c>
      <c r="AG820" s="14">
        <v>2</v>
      </c>
      <c r="AH820" s="14">
        <v>2</v>
      </c>
    </row>
    <row r="821" spans="1:34" x14ac:dyDescent="0.3">
      <c r="A821" s="14">
        <v>28</v>
      </c>
      <c r="B821" s="17" t="s">
        <v>43</v>
      </c>
      <c r="C821" t="s">
        <v>36</v>
      </c>
      <c r="D821">
        <v>1451</v>
      </c>
      <c r="E821" s="17" t="s">
        <v>45</v>
      </c>
      <c r="F821">
        <v>2</v>
      </c>
      <c r="G821">
        <v>1</v>
      </c>
      <c r="H821" t="s">
        <v>38</v>
      </c>
      <c r="I821">
        <v>1136</v>
      </c>
      <c r="J821">
        <v>1</v>
      </c>
      <c r="K821" s="17" t="s">
        <v>46</v>
      </c>
      <c r="L821">
        <v>67</v>
      </c>
      <c r="M821">
        <v>2</v>
      </c>
      <c r="N821">
        <v>1</v>
      </c>
      <c r="O821" s="17" t="s">
        <v>47</v>
      </c>
      <c r="P821" s="14">
        <v>2</v>
      </c>
      <c r="Q821" t="s">
        <v>48</v>
      </c>
      <c r="R821" s="14">
        <v>3201</v>
      </c>
      <c r="S821" s="17" t="str">
        <f t="shared" si="24"/>
        <v>medium</v>
      </c>
      <c r="T821">
        <v>19911</v>
      </c>
      <c r="U821">
        <v>0</v>
      </c>
      <c r="V821" s="17" t="s">
        <v>43</v>
      </c>
      <c r="W821">
        <v>17</v>
      </c>
      <c r="X821">
        <v>3</v>
      </c>
      <c r="Y821">
        <v>1</v>
      </c>
      <c r="Z821">
        <v>0</v>
      </c>
      <c r="AA821">
        <v>6</v>
      </c>
      <c r="AB821">
        <v>2</v>
      </c>
      <c r="AC821">
        <v>1</v>
      </c>
      <c r="AD821" s="14">
        <v>5</v>
      </c>
      <c r="AE821" t="str">
        <f t="shared" si="25"/>
        <v>3-5 years</v>
      </c>
      <c r="AF821" s="14">
        <v>3</v>
      </c>
      <c r="AG821" s="14">
        <v>0</v>
      </c>
      <c r="AH821" s="14">
        <v>4</v>
      </c>
    </row>
    <row r="822" spans="1:34" x14ac:dyDescent="0.3">
      <c r="A822" s="14">
        <v>35</v>
      </c>
      <c r="B822" s="17" t="s">
        <v>43</v>
      </c>
      <c r="C822" t="s">
        <v>44</v>
      </c>
      <c r="D822">
        <v>1182</v>
      </c>
      <c r="E822" s="17" t="s">
        <v>37</v>
      </c>
      <c r="F822">
        <v>11</v>
      </c>
      <c r="G822">
        <v>2</v>
      </c>
      <c r="H822" t="s">
        <v>59</v>
      </c>
      <c r="I822">
        <v>1137</v>
      </c>
      <c r="J822">
        <v>4</v>
      </c>
      <c r="K822" s="17" t="s">
        <v>46</v>
      </c>
      <c r="L822">
        <v>54</v>
      </c>
      <c r="M822">
        <v>3</v>
      </c>
      <c r="N822">
        <v>2</v>
      </c>
      <c r="O822" s="17" t="s">
        <v>40</v>
      </c>
      <c r="P822" s="14">
        <v>4</v>
      </c>
      <c r="Q822" t="s">
        <v>52</v>
      </c>
      <c r="R822" s="14">
        <v>4968</v>
      </c>
      <c r="S822" s="17" t="str">
        <f t="shared" si="24"/>
        <v>medium</v>
      </c>
      <c r="T822">
        <v>18500</v>
      </c>
      <c r="U822">
        <v>1</v>
      </c>
      <c r="V822" s="17" t="s">
        <v>43</v>
      </c>
      <c r="W822">
        <v>11</v>
      </c>
      <c r="X822">
        <v>3</v>
      </c>
      <c r="Y822">
        <v>4</v>
      </c>
      <c r="Z822">
        <v>1</v>
      </c>
      <c r="AA822">
        <v>5</v>
      </c>
      <c r="AB822">
        <v>3</v>
      </c>
      <c r="AC822">
        <v>3</v>
      </c>
      <c r="AD822" s="14">
        <v>5</v>
      </c>
      <c r="AE822" t="str">
        <f t="shared" si="25"/>
        <v>3-5 years</v>
      </c>
      <c r="AF822" s="14">
        <v>2</v>
      </c>
      <c r="AG822" s="14">
        <v>0</v>
      </c>
      <c r="AH822" s="14">
        <v>2</v>
      </c>
    </row>
    <row r="823" spans="1:34" x14ac:dyDescent="0.3">
      <c r="A823" s="14">
        <v>49</v>
      </c>
      <c r="B823" s="17" t="s">
        <v>43</v>
      </c>
      <c r="C823" t="s">
        <v>36</v>
      </c>
      <c r="D823">
        <v>174</v>
      </c>
      <c r="E823" s="17" t="s">
        <v>37</v>
      </c>
      <c r="F823">
        <v>8</v>
      </c>
      <c r="G823">
        <v>4</v>
      </c>
      <c r="H823" t="s">
        <v>60</v>
      </c>
      <c r="I823">
        <v>1138</v>
      </c>
      <c r="J823">
        <v>4</v>
      </c>
      <c r="K823" s="17" t="s">
        <v>46</v>
      </c>
      <c r="L823">
        <v>56</v>
      </c>
      <c r="M823">
        <v>2</v>
      </c>
      <c r="N823">
        <v>4</v>
      </c>
      <c r="O823" s="17" t="s">
        <v>40</v>
      </c>
      <c r="P823" s="14">
        <v>2</v>
      </c>
      <c r="Q823" t="s">
        <v>48</v>
      </c>
      <c r="R823" s="14">
        <v>13120</v>
      </c>
      <c r="S823" s="17" t="str">
        <f t="shared" si="24"/>
        <v>high</v>
      </c>
      <c r="T823">
        <v>11879</v>
      </c>
      <c r="U823">
        <v>6</v>
      </c>
      <c r="V823" s="17" t="s">
        <v>43</v>
      </c>
      <c r="W823">
        <v>17</v>
      </c>
      <c r="X823">
        <v>3</v>
      </c>
      <c r="Y823">
        <v>2</v>
      </c>
      <c r="Z823">
        <v>1</v>
      </c>
      <c r="AA823">
        <v>22</v>
      </c>
      <c r="AB823">
        <v>3</v>
      </c>
      <c r="AC823">
        <v>3</v>
      </c>
      <c r="AD823" s="14">
        <v>9</v>
      </c>
      <c r="AE823" t="str">
        <f t="shared" si="25"/>
        <v>6-10 years</v>
      </c>
      <c r="AF823" s="14">
        <v>8</v>
      </c>
      <c r="AG823" s="14">
        <v>2</v>
      </c>
      <c r="AH823" s="14">
        <v>3</v>
      </c>
    </row>
    <row r="824" spans="1:34" x14ac:dyDescent="0.3">
      <c r="A824" s="14">
        <v>34</v>
      </c>
      <c r="B824" s="17" t="s">
        <v>43</v>
      </c>
      <c r="C824" t="s">
        <v>44</v>
      </c>
      <c r="D824">
        <v>1003</v>
      </c>
      <c r="E824" s="17" t="s">
        <v>45</v>
      </c>
      <c r="F824">
        <v>2</v>
      </c>
      <c r="G824">
        <v>2</v>
      </c>
      <c r="H824" t="s">
        <v>38</v>
      </c>
      <c r="I824">
        <v>1140</v>
      </c>
      <c r="J824">
        <v>4</v>
      </c>
      <c r="K824" s="17" t="s">
        <v>46</v>
      </c>
      <c r="L824">
        <v>95</v>
      </c>
      <c r="M824">
        <v>3</v>
      </c>
      <c r="N824">
        <v>2</v>
      </c>
      <c r="O824" s="17" t="s">
        <v>53</v>
      </c>
      <c r="P824" s="14">
        <v>3</v>
      </c>
      <c r="Q824" t="s">
        <v>41</v>
      </c>
      <c r="R824" s="14">
        <v>4033</v>
      </c>
      <c r="S824" s="17" t="str">
        <f t="shared" si="24"/>
        <v>medium</v>
      </c>
      <c r="T824">
        <v>15834</v>
      </c>
      <c r="U824">
        <v>2</v>
      </c>
      <c r="V824" s="17" t="s">
        <v>43</v>
      </c>
      <c r="W824">
        <v>11</v>
      </c>
      <c r="X824">
        <v>3</v>
      </c>
      <c r="Y824">
        <v>4</v>
      </c>
      <c r="Z824">
        <v>0</v>
      </c>
      <c r="AA824">
        <v>5</v>
      </c>
      <c r="AB824">
        <v>3</v>
      </c>
      <c r="AC824">
        <v>2</v>
      </c>
      <c r="AD824" s="14">
        <v>3</v>
      </c>
      <c r="AE824" t="str">
        <f t="shared" si="25"/>
        <v>3-5 years</v>
      </c>
      <c r="AF824" s="14">
        <v>2</v>
      </c>
      <c r="AG824" s="14">
        <v>0</v>
      </c>
      <c r="AH824" s="14">
        <v>2</v>
      </c>
    </row>
    <row r="825" spans="1:34" x14ac:dyDescent="0.3">
      <c r="A825" s="14">
        <v>29</v>
      </c>
      <c r="B825" s="17" t="s">
        <v>43</v>
      </c>
      <c r="C825" t="s">
        <v>44</v>
      </c>
      <c r="D825">
        <v>490</v>
      </c>
      <c r="E825" s="17" t="s">
        <v>45</v>
      </c>
      <c r="F825">
        <v>10</v>
      </c>
      <c r="G825">
        <v>3</v>
      </c>
      <c r="H825" t="s">
        <v>38</v>
      </c>
      <c r="I825">
        <v>1143</v>
      </c>
      <c r="J825">
        <v>4</v>
      </c>
      <c r="K825" s="17" t="s">
        <v>39</v>
      </c>
      <c r="L825">
        <v>61</v>
      </c>
      <c r="M825">
        <v>3</v>
      </c>
      <c r="N825">
        <v>1</v>
      </c>
      <c r="O825" s="17" t="s">
        <v>47</v>
      </c>
      <c r="P825" s="14">
        <v>2</v>
      </c>
      <c r="Q825" t="s">
        <v>52</v>
      </c>
      <c r="R825" s="14">
        <v>3291</v>
      </c>
      <c r="S825" s="17" t="str">
        <f t="shared" si="24"/>
        <v>medium</v>
      </c>
      <c r="T825">
        <v>17940</v>
      </c>
      <c r="U825">
        <v>0</v>
      </c>
      <c r="V825" s="17" t="s">
        <v>43</v>
      </c>
      <c r="W825">
        <v>14</v>
      </c>
      <c r="X825">
        <v>3</v>
      </c>
      <c r="Y825">
        <v>4</v>
      </c>
      <c r="Z825">
        <v>2</v>
      </c>
      <c r="AA825">
        <v>8</v>
      </c>
      <c r="AB825">
        <v>2</v>
      </c>
      <c r="AC825">
        <v>2</v>
      </c>
      <c r="AD825" s="14">
        <v>7</v>
      </c>
      <c r="AE825" t="str">
        <f t="shared" si="25"/>
        <v>6-10 years</v>
      </c>
      <c r="AF825" s="14">
        <v>5</v>
      </c>
      <c r="AG825" s="14">
        <v>1</v>
      </c>
      <c r="AH825" s="14">
        <v>1</v>
      </c>
    </row>
    <row r="826" spans="1:34" x14ac:dyDescent="0.3">
      <c r="A826" s="14">
        <v>42</v>
      </c>
      <c r="B826" s="17" t="s">
        <v>43</v>
      </c>
      <c r="C826" t="s">
        <v>36</v>
      </c>
      <c r="D826">
        <v>188</v>
      </c>
      <c r="E826" s="17" t="s">
        <v>45</v>
      </c>
      <c r="F826">
        <v>29</v>
      </c>
      <c r="G826">
        <v>3</v>
      </c>
      <c r="H826" t="s">
        <v>51</v>
      </c>
      <c r="I826">
        <v>1148</v>
      </c>
      <c r="J826">
        <v>2</v>
      </c>
      <c r="K826" s="17" t="s">
        <v>46</v>
      </c>
      <c r="L826">
        <v>56</v>
      </c>
      <c r="M826">
        <v>1</v>
      </c>
      <c r="N826">
        <v>2</v>
      </c>
      <c r="O826" s="17" t="s">
        <v>50</v>
      </c>
      <c r="P826" s="14">
        <v>4</v>
      </c>
      <c r="Q826" t="s">
        <v>41</v>
      </c>
      <c r="R826" s="14">
        <v>4272</v>
      </c>
      <c r="S826" s="17" t="str">
        <f t="shared" si="24"/>
        <v>medium</v>
      </c>
      <c r="T826">
        <v>9558</v>
      </c>
      <c r="U826">
        <v>4</v>
      </c>
      <c r="V826" s="17" t="s">
        <v>43</v>
      </c>
      <c r="W826">
        <v>19</v>
      </c>
      <c r="X826">
        <v>3</v>
      </c>
      <c r="Y826">
        <v>1</v>
      </c>
      <c r="Z826">
        <v>0</v>
      </c>
      <c r="AA826">
        <v>16</v>
      </c>
      <c r="AB826">
        <v>3</v>
      </c>
      <c r="AC826">
        <v>3</v>
      </c>
      <c r="AD826" s="14">
        <v>1</v>
      </c>
      <c r="AE826" t="str">
        <f t="shared" si="25"/>
        <v>0-2 years</v>
      </c>
      <c r="AF826" s="14">
        <v>0</v>
      </c>
      <c r="AG826" s="14">
        <v>0</v>
      </c>
      <c r="AH826" s="14">
        <v>0</v>
      </c>
    </row>
    <row r="827" spans="1:34" x14ac:dyDescent="0.3">
      <c r="A827" s="14">
        <v>29</v>
      </c>
      <c r="B827" s="17" t="s">
        <v>43</v>
      </c>
      <c r="C827" t="s">
        <v>36</v>
      </c>
      <c r="D827">
        <v>718</v>
      </c>
      <c r="E827" s="17" t="s">
        <v>45</v>
      </c>
      <c r="F827">
        <v>8</v>
      </c>
      <c r="G827">
        <v>1</v>
      </c>
      <c r="H827" t="s">
        <v>51</v>
      </c>
      <c r="I827">
        <v>1150</v>
      </c>
      <c r="J827">
        <v>2</v>
      </c>
      <c r="K827" s="17" t="s">
        <v>46</v>
      </c>
      <c r="L827">
        <v>79</v>
      </c>
      <c r="M827">
        <v>2</v>
      </c>
      <c r="N827">
        <v>2</v>
      </c>
      <c r="O827" s="17" t="s">
        <v>53</v>
      </c>
      <c r="P827" s="14">
        <v>4</v>
      </c>
      <c r="Q827" t="s">
        <v>48</v>
      </c>
      <c r="R827" s="14">
        <v>5056</v>
      </c>
      <c r="S827" s="17" t="str">
        <f t="shared" si="24"/>
        <v>medium</v>
      </c>
      <c r="T827">
        <v>17689</v>
      </c>
      <c r="U827">
        <v>1</v>
      </c>
      <c r="V827" s="17" t="s">
        <v>35</v>
      </c>
      <c r="W827">
        <v>15</v>
      </c>
      <c r="X827">
        <v>3</v>
      </c>
      <c r="Y827">
        <v>3</v>
      </c>
      <c r="Z827">
        <v>1</v>
      </c>
      <c r="AA827">
        <v>10</v>
      </c>
      <c r="AB827">
        <v>2</v>
      </c>
      <c r="AC827">
        <v>2</v>
      </c>
      <c r="AD827" s="14">
        <v>10</v>
      </c>
      <c r="AE827" t="str">
        <f t="shared" si="25"/>
        <v>6-10 years</v>
      </c>
      <c r="AF827" s="14">
        <v>7</v>
      </c>
      <c r="AG827" s="14">
        <v>1</v>
      </c>
      <c r="AH827" s="14">
        <v>2</v>
      </c>
    </row>
    <row r="828" spans="1:34" x14ac:dyDescent="0.3">
      <c r="A828" s="14">
        <v>38</v>
      </c>
      <c r="B828" s="17" t="s">
        <v>43</v>
      </c>
      <c r="C828" t="s">
        <v>36</v>
      </c>
      <c r="D828">
        <v>433</v>
      </c>
      <c r="E828" s="17" t="s">
        <v>61</v>
      </c>
      <c r="F828">
        <v>1</v>
      </c>
      <c r="G828">
        <v>3</v>
      </c>
      <c r="H828" t="s">
        <v>61</v>
      </c>
      <c r="I828">
        <v>1152</v>
      </c>
      <c r="J828">
        <v>3</v>
      </c>
      <c r="K828" s="17" t="s">
        <v>46</v>
      </c>
      <c r="L828">
        <v>37</v>
      </c>
      <c r="M828">
        <v>4</v>
      </c>
      <c r="N828">
        <v>1</v>
      </c>
      <c r="O828" s="17" t="s">
        <v>61</v>
      </c>
      <c r="P828" s="14">
        <v>3</v>
      </c>
      <c r="Q828" t="s">
        <v>48</v>
      </c>
      <c r="R828" s="14">
        <v>2844</v>
      </c>
      <c r="S828" s="17" t="str">
        <f t="shared" si="24"/>
        <v>low</v>
      </c>
      <c r="T828">
        <v>6004</v>
      </c>
      <c r="U828">
        <v>1</v>
      </c>
      <c r="V828" s="17" t="s">
        <v>43</v>
      </c>
      <c r="W828">
        <v>13</v>
      </c>
      <c r="X828">
        <v>3</v>
      </c>
      <c r="Y828">
        <v>4</v>
      </c>
      <c r="Z828">
        <v>1</v>
      </c>
      <c r="AA828">
        <v>7</v>
      </c>
      <c r="AB828">
        <v>2</v>
      </c>
      <c r="AC828">
        <v>4</v>
      </c>
      <c r="AD828" s="14">
        <v>7</v>
      </c>
      <c r="AE828" t="str">
        <f t="shared" si="25"/>
        <v>6-10 years</v>
      </c>
      <c r="AF828" s="14">
        <v>6</v>
      </c>
      <c r="AG828" s="14">
        <v>5</v>
      </c>
      <c r="AH828" s="14">
        <v>0</v>
      </c>
    </row>
    <row r="829" spans="1:34" x14ac:dyDescent="0.3">
      <c r="A829" s="14">
        <v>28</v>
      </c>
      <c r="B829" s="17" t="s">
        <v>43</v>
      </c>
      <c r="C829" t="s">
        <v>44</v>
      </c>
      <c r="D829">
        <v>773</v>
      </c>
      <c r="E829" s="17" t="s">
        <v>45</v>
      </c>
      <c r="F829">
        <v>6</v>
      </c>
      <c r="G829">
        <v>3</v>
      </c>
      <c r="H829" t="s">
        <v>38</v>
      </c>
      <c r="I829">
        <v>1154</v>
      </c>
      <c r="J829">
        <v>3</v>
      </c>
      <c r="K829" s="17" t="s">
        <v>46</v>
      </c>
      <c r="L829">
        <v>39</v>
      </c>
      <c r="M829">
        <v>2</v>
      </c>
      <c r="N829">
        <v>1</v>
      </c>
      <c r="O829" s="17" t="s">
        <v>47</v>
      </c>
      <c r="P829" s="14">
        <v>3</v>
      </c>
      <c r="Q829" t="s">
        <v>52</v>
      </c>
      <c r="R829" s="14">
        <v>2703</v>
      </c>
      <c r="S829" s="17" t="str">
        <f t="shared" si="24"/>
        <v>low</v>
      </c>
      <c r="T829">
        <v>22088</v>
      </c>
      <c r="U829">
        <v>1</v>
      </c>
      <c r="V829" s="17" t="s">
        <v>35</v>
      </c>
      <c r="W829">
        <v>14</v>
      </c>
      <c r="X829">
        <v>3</v>
      </c>
      <c r="Y829">
        <v>4</v>
      </c>
      <c r="Z829">
        <v>1</v>
      </c>
      <c r="AA829">
        <v>3</v>
      </c>
      <c r="AB829">
        <v>2</v>
      </c>
      <c r="AC829">
        <v>3</v>
      </c>
      <c r="AD829" s="14">
        <v>3</v>
      </c>
      <c r="AE829" t="str">
        <f t="shared" si="25"/>
        <v>3-5 years</v>
      </c>
      <c r="AF829" s="14">
        <v>1</v>
      </c>
      <c r="AG829" s="14">
        <v>0</v>
      </c>
      <c r="AH829" s="14">
        <v>2</v>
      </c>
    </row>
    <row r="830" spans="1:34" x14ac:dyDescent="0.3">
      <c r="A830" s="14">
        <v>18</v>
      </c>
      <c r="B830" s="17" t="s">
        <v>35</v>
      </c>
      <c r="C830" t="s">
        <v>55</v>
      </c>
      <c r="D830">
        <v>247</v>
      </c>
      <c r="E830" s="17" t="s">
        <v>45</v>
      </c>
      <c r="F830">
        <v>8</v>
      </c>
      <c r="G830">
        <v>1</v>
      </c>
      <c r="H830" t="s">
        <v>51</v>
      </c>
      <c r="I830">
        <v>1156</v>
      </c>
      <c r="J830">
        <v>3</v>
      </c>
      <c r="K830" s="17" t="s">
        <v>46</v>
      </c>
      <c r="L830">
        <v>80</v>
      </c>
      <c r="M830">
        <v>3</v>
      </c>
      <c r="N830">
        <v>1</v>
      </c>
      <c r="O830" s="17" t="s">
        <v>50</v>
      </c>
      <c r="P830" s="14">
        <v>3</v>
      </c>
      <c r="Q830" t="s">
        <v>41</v>
      </c>
      <c r="R830" s="14">
        <v>1904</v>
      </c>
      <c r="S830" s="17" t="str">
        <f t="shared" si="24"/>
        <v>low</v>
      </c>
      <c r="T830">
        <v>13556</v>
      </c>
      <c r="U830">
        <v>1</v>
      </c>
      <c r="V830" s="17" t="s">
        <v>43</v>
      </c>
      <c r="W830">
        <v>12</v>
      </c>
      <c r="X830">
        <v>3</v>
      </c>
      <c r="Y830">
        <v>4</v>
      </c>
      <c r="Z830">
        <v>0</v>
      </c>
      <c r="AA830">
        <v>0</v>
      </c>
      <c r="AB830">
        <v>0</v>
      </c>
      <c r="AC830">
        <v>3</v>
      </c>
      <c r="AD830" s="14">
        <v>0</v>
      </c>
      <c r="AE830" t="str">
        <f t="shared" si="25"/>
        <v>0-2 years</v>
      </c>
      <c r="AF830" s="14">
        <v>0</v>
      </c>
      <c r="AG830" s="14">
        <v>0</v>
      </c>
      <c r="AH830" s="14">
        <v>0</v>
      </c>
    </row>
    <row r="831" spans="1:34" x14ac:dyDescent="0.3">
      <c r="A831" s="14">
        <v>33</v>
      </c>
      <c r="B831" s="17" t="s">
        <v>35</v>
      </c>
      <c r="C831" t="s">
        <v>36</v>
      </c>
      <c r="D831">
        <v>603</v>
      </c>
      <c r="E831" s="17" t="s">
        <v>37</v>
      </c>
      <c r="F831">
        <v>9</v>
      </c>
      <c r="G831">
        <v>4</v>
      </c>
      <c r="H831" t="s">
        <v>59</v>
      </c>
      <c r="I831">
        <v>1157</v>
      </c>
      <c r="J831">
        <v>1</v>
      </c>
      <c r="K831" s="17" t="s">
        <v>39</v>
      </c>
      <c r="L831">
        <v>77</v>
      </c>
      <c r="M831">
        <v>3</v>
      </c>
      <c r="N831">
        <v>2</v>
      </c>
      <c r="O831" s="17" t="s">
        <v>40</v>
      </c>
      <c r="P831" s="14">
        <v>1</v>
      </c>
      <c r="Q831" t="s">
        <v>41</v>
      </c>
      <c r="R831" s="14">
        <v>8224</v>
      </c>
      <c r="S831" s="17" t="str">
        <f t="shared" si="24"/>
        <v>high</v>
      </c>
      <c r="T831">
        <v>18385</v>
      </c>
      <c r="U831">
        <v>0</v>
      </c>
      <c r="V831" s="17" t="s">
        <v>35</v>
      </c>
      <c r="W831">
        <v>17</v>
      </c>
      <c r="X831">
        <v>3</v>
      </c>
      <c r="Y831">
        <v>1</v>
      </c>
      <c r="Z831">
        <v>0</v>
      </c>
      <c r="AA831">
        <v>6</v>
      </c>
      <c r="AB831">
        <v>3</v>
      </c>
      <c r="AC831">
        <v>3</v>
      </c>
      <c r="AD831" s="14">
        <v>5</v>
      </c>
      <c r="AE831" t="str">
        <f t="shared" si="25"/>
        <v>3-5 years</v>
      </c>
      <c r="AF831" s="14">
        <v>2</v>
      </c>
      <c r="AG831" s="14">
        <v>0</v>
      </c>
      <c r="AH831" s="14">
        <v>3</v>
      </c>
    </row>
    <row r="832" spans="1:34" x14ac:dyDescent="0.3">
      <c r="A832" s="14">
        <v>41</v>
      </c>
      <c r="B832" s="17" t="s">
        <v>43</v>
      </c>
      <c r="C832" t="s">
        <v>36</v>
      </c>
      <c r="D832">
        <v>167</v>
      </c>
      <c r="E832" s="17" t="s">
        <v>45</v>
      </c>
      <c r="F832">
        <v>12</v>
      </c>
      <c r="G832">
        <v>4</v>
      </c>
      <c r="H832" t="s">
        <v>38</v>
      </c>
      <c r="I832">
        <v>1158</v>
      </c>
      <c r="J832">
        <v>2</v>
      </c>
      <c r="K832" s="17" t="s">
        <v>46</v>
      </c>
      <c r="L832">
        <v>46</v>
      </c>
      <c r="M832">
        <v>3</v>
      </c>
      <c r="N832">
        <v>1</v>
      </c>
      <c r="O832" s="17" t="s">
        <v>50</v>
      </c>
      <c r="P832" s="14">
        <v>4</v>
      </c>
      <c r="Q832" t="s">
        <v>48</v>
      </c>
      <c r="R832" s="14">
        <v>4766</v>
      </c>
      <c r="S832" s="17" t="str">
        <f t="shared" si="24"/>
        <v>medium</v>
      </c>
      <c r="T832">
        <v>9051</v>
      </c>
      <c r="U832">
        <v>3</v>
      </c>
      <c r="V832" s="17" t="s">
        <v>35</v>
      </c>
      <c r="W832">
        <v>11</v>
      </c>
      <c r="X832">
        <v>3</v>
      </c>
      <c r="Y832">
        <v>1</v>
      </c>
      <c r="Z832">
        <v>1</v>
      </c>
      <c r="AA832">
        <v>6</v>
      </c>
      <c r="AB832">
        <v>4</v>
      </c>
      <c r="AC832">
        <v>3</v>
      </c>
      <c r="AD832" s="14">
        <v>1</v>
      </c>
      <c r="AE832" t="str">
        <f t="shared" si="25"/>
        <v>0-2 years</v>
      </c>
      <c r="AF832" s="14">
        <v>0</v>
      </c>
      <c r="AG832" s="14">
        <v>0</v>
      </c>
      <c r="AH832" s="14">
        <v>0</v>
      </c>
    </row>
    <row r="833" spans="1:34" x14ac:dyDescent="0.3">
      <c r="A833" s="14">
        <v>31</v>
      </c>
      <c r="B833" s="17" t="s">
        <v>35</v>
      </c>
      <c r="C833" t="s">
        <v>44</v>
      </c>
      <c r="D833">
        <v>874</v>
      </c>
      <c r="E833" s="17" t="s">
        <v>45</v>
      </c>
      <c r="F833">
        <v>15</v>
      </c>
      <c r="G833">
        <v>3</v>
      </c>
      <c r="H833" t="s">
        <v>51</v>
      </c>
      <c r="I833">
        <v>1160</v>
      </c>
      <c r="J833">
        <v>3</v>
      </c>
      <c r="K833" s="17" t="s">
        <v>46</v>
      </c>
      <c r="L833">
        <v>72</v>
      </c>
      <c r="M833">
        <v>3</v>
      </c>
      <c r="N833">
        <v>1</v>
      </c>
      <c r="O833" s="17" t="s">
        <v>50</v>
      </c>
      <c r="P833" s="14">
        <v>3</v>
      </c>
      <c r="Q833" t="s">
        <v>48</v>
      </c>
      <c r="R833" s="14">
        <v>2610</v>
      </c>
      <c r="S833" s="17" t="str">
        <f t="shared" si="24"/>
        <v>low</v>
      </c>
      <c r="T833">
        <v>6233</v>
      </c>
      <c r="U833">
        <v>1</v>
      </c>
      <c r="V833" s="17" t="s">
        <v>43</v>
      </c>
      <c r="W833">
        <v>12</v>
      </c>
      <c r="X833">
        <v>3</v>
      </c>
      <c r="Y833">
        <v>3</v>
      </c>
      <c r="Z833">
        <v>1</v>
      </c>
      <c r="AA833">
        <v>2</v>
      </c>
      <c r="AB833">
        <v>5</v>
      </c>
      <c r="AC833">
        <v>2</v>
      </c>
      <c r="AD833" s="14">
        <v>2</v>
      </c>
      <c r="AE833" t="str">
        <f t="shared" si="25"/>
        <v>0-2 years</v>
      </c>
      <c r="AF833" s="14">
        <v>2</v>
      </c>
      <c r="AG833" s="14">
        <v>2</v>
      </c>
      <c r="AH833" s="14">
        <v>2</v>
      </c>
    </row>
    <row r="834" spans="1:34" x14ac:dyDescent="0.3">
      <c r="A834" s="14">
        <v>37</v>
      </c>
      <c r="B834" s="17" t="s">
        <v>43</v>
      </c>
      <c r="C834" t="s">
        <v>36</v>
      </c>
      <c r="D834">
        <v>367</v>
      </c>
      <c r="E834" s="17" t="s">
        <v>45</v>
      </c>
      <c r="F834">
        <v>25</v>
      </c>
      <c r="G834">
        <v>2</v>
      </c>
      <c r="H834" t="s">
        <v>51</v>
      </c>
      <c r="I834">
        <v>1161</v>
      </c>
      <c r="J834">
        <v>3</v>
      </c>
      <c r="K834" s="17" t="s">
        <v>39</v>
      </c>
      <c r="L834">
        <v>52</v>
      </c>
      <c r="M834">
        <v>2</v>
      </c>
      <c r="N834">
        <v>2</v>
      </c>
      <c r="O834" s="17" t="s">
        <v>54</v>
      </c>
      <c r="P834" s="14">
        <v>4</v>
      </c>
      <c r="Q834" t="s">
        <v>52</v>
      </c>
      <c r="R834" s="14">
        <v>5731</v>
      </c>
      <c r="S834" s="17" t="str">
        <f t="shared" ref="S834:S897" si="26">IF(R834&lt;=3000, "low",IF(R834&lt;=7000,"medium","high"))</f>
        <v>medium</v>
      </c>
      <c r="T834">
        <v>17171</v>
      </c>
      <c r="U834">
        <v>7</v>
      </c>
      <c r="V834" s="17" t="s">
        <v>43</v>
      </c>
      <c r="W834">
        <v>13</v>
      </c>
      <c r="X834">
        <v>3</v>
      </c>
      <c r="Y834">
        <v>3</v>
      </c>
      <c r="Z834">
        <v>2</v>
      </c>
      <c r="AA834">
        <v>9</v>
      </c>
      <c r="AB834">
        <v>2</v>
      </c>
      <c r="AC834">
        <v>3</v>
      </c>
      <c r="AD834" s="14">
        <v>6</v>
      </c>
      <c r="AE834" t="str">
        <f t="shared" ref="AE834:AE897" si="27">IF(AD834&lt;=2,"0-2 years", IF(AD834&lt;=5,"3-5 years", IF(AD834&lt;=10,"6-10 years","10+ years")))</f>
        <v>6-10 years</v>
      </c>
      <c r="AF834" s="14">
        <v>2</v>
      </c>
      <c r="AG834" s="14">
        <v>1</v>
      </c>
      <c r="AH834" s="14">
        <v>3</v>
      </c>
    </row>
    <row r="835" spans="1:34" x14ac:dyDescent="0.3">
      <c r="A835" s="14">
        <v>27</v>
      </c>
      <c r="B835" s="17" t="s">
        <v>43</v>
      </c>
      <c r="C835" t="s">
        <v>36</v>
      </c>
      <c r="D835">
        <v>199</v>
      </c>
      <c r="E835" s="17" t="s">
        <v>45</v>
      </c>
      <c r="F835">
        <v>6</v>
      </c>
      <c r="G835">
        <v>3</v>
      </c>
      <c r="H835" t="s">
        <v>38</v>
      </c>
      <c r="I835">
        <v>1162</v>
      </c>
      <c r="J835">
        <v>4</v>
      </c>
      <c r="K835" s="17" t="s">
        <v>46</v>
      </c>
      <c r="L835">
        <v>55</v>
      </c>
      <c r="M835">
        <v>2</v>
      </c>
      <c r="N835">
        <v>1</v>
      </c>
      <c r="O835" s="17" t="s">
        <v>47</v>
      </c>
      <c r="P835" s="14">
        <v>3</v>
      </c>
      <c r="Q835" t="s">
        <v>48</v>
      </c>
      <c r="R835" s="14">
        <v>2539</v>
      </c>
      <c r="S835" s="17" t="str">
        <f t="shared" si="26"/>
        <v>low</v>
      </c>
      <c r="T835">
        <v>7950</v>
      </c>
      <c r="U835">
        <v>1</v>
      </c>
      <c r="V835" s="17" t="s">
        <v>43</v>
      </c>
      <c r="W835">
        <v>13</v>
      </c>
      <c r="X835">
        <v>3</v>
      </c>
      <c r="Y835">
        <v>3</v>
      </c>
      <c r="Z835">
        <v>1</v>
      </c>
      <c r="AA835">
        <v>4</v>
      </c>
      <c r="AB835">
        <v>0</v>
      </c>
      <c r="AC835">
        <v>3</v>
      </c>
      <c r="AD835" s="14">
        <v>4</v>
      </c>
      <c r="AE835" t="str">
        <f t="shared" si="27"/>
        <v>3-5 years</v>
      </c>
      <c r="AF835" s="14">
        <v>2</v>
      </c>
      <c r="AG835" s="14">
        <v>2</v>
      </c>
      <c r="AH835" s="14">
        <v>2</v>
      </c>
    </row>
    <row r="836" spans="1:34" x14ac:dyDescent="0.3">
      <c r="A836" s="14">
        <v>34</v>
      </c>
      <c r="B836" s="17" t="s">
        <v>43</v>
      </c>
      <c r="C836" t="s">
        <v>36</v>
      </c>
      <c r="D836">
        <v>1400</v>
      </c>
      <c r="E836" s="17" t="s">
        <v>37</v>
      </c>
      <c r="F836">
        <v>9</v>
      </c>
      <c r="G836">
        <v>1</v>
      </c>
      <c r="H836" t="s">
        <v>38</v>
      </c>
      <c r="I836">
        <v>1163</v>
      </c>
      <c r="J836">
        <v>2</v>
      </c>
      <c r="K836" s="17" t="s">
        <v>39</v>
      </c>
      <c r="L836">
        <v>70</v>
      </c>
      <c r="M836">
        <v>3</v>
      </c>
      <c r="N836">
        <v>2</v>
      </c>
      <c r="O836" s="17" t="s">
        <v>40</v>
      </c>
      <c r="P836" s="14">
        <v>3</v>
      </c>
      <c r="Q836" t="s">
        <v>48</v>
      </c>
      <c r="R836" s="14">
        <v>5714</v>
      </c>
      <c r="S836" s="17" t="str">
        <f t="shared" si="26"/>
        <v>medium</v>
      </c>
      <c r="T836">
        <v>5829</v>
      </c>
      <c r="U836">
        <v>1</v>
      </c>
      <c r="V836" s="17" t="s">
        <v>43</v>
      </c>
      <c r="W836">
        <v>20</v>
      </c>
      <c r="X836">
        <v>4</v>
      </c>
      <c r="Y836">
        <v>1</v>
      </c>
      <c r="Z836">
        <v>0</v>
      </c>
      <c r="AA836">
        <v>6</v>
      </c>
      <c r="AB836">
        <v>3</v>
      </c>
      <c r="AC836">
        <v>2</v>
      </c>
      <c r="AD836" s="14">
        <v>6</v>
      </c>
      <c r="AE836" t="str">
        <f t="shared" si="27"/>
        <v>6-10 years</v>
      </c>
      <c r="AF836" s="14">
        <v>5</v>
      </c>
      <c r="AG836" s="14">
        <v>1</v>
      </c>
      <c r="AH836" s="14">
        <v>3</v>
      </c>
    </row>
    <row r="837" spans="1:34" x14ac:dyDescent="0.3">
      <c r="A837" s="14">
        <v>35</v>
      </c>
      <c r="B837" s="17" t="s">
        <v>43</v>
      </c>
      <c r="C837" t="s">
        <v>36</v>
      </c>
      <c r="D837">
        <v>528</v>
      </c>
      <c r="E837" s="17" t="s">
        <v>61</v>
      </c>
      <c r="F837">
        <v>8</v>
      </c>
      <c r="G837">
        <v>4</v>
      </c>
      <c r="H837" t="s">
        <v>60</v>
      </c>
      <c r="I837">
        <v>1164</v>
      </c>
      <c r="J837">
        <v>3</v>
      </c>
      <c r="K837" s="17" t="s">
        <v>46</v>
      </c>
      <c r="L837">
        <v>100</v>
      </c>
      <c r="M837">
        <v>3</v>
      </c>
      <c r="N837">
        <v>1</v>
      </c>
      <c r="O837" s="17" t="s">
        <v>61</v>
      </c>
      <c r="P837" s="14">
        <v>3</v>
      </c>
      <c r="Q837" t="s">
        <v>41</v>
      </c>
      <c r="R837" s="14">
        <v>4323</v>
      </c>
      <c r="S837" s="17" t="str">
        <f t="shared" si="26"/>
        <v>medium</v>
      </c>
      <c r="T837">
        <v>7108</v>
      </c>
      <c r="U837">
        <v>1</v>
      </c>
      <c r="V837" s="17" t="s">
        <v>43</v>
      </c>
      <c r="W837">
        <v>17</v>
      </c>
      <c r="X837">
        <v>3</v>
      </c>
      <c r="Y837">
        <v>2</v>
      </c>
      <c r="Z837">
        <v>0</v>
      </c>
      <c r="AA837">
        <v>6</v>
      </c>
      <c r="AB837">
        <v>2</v>
      </c>
      <c r="AC837">
        <v>1</v>
      </c>
      <c r="AD837" s="14">
        <v>5</v>
      </c>
      <c r="AE837" t="str">
        <f t="shared" si="27"/>
        <v>3-5 years</v>
      </c>
      <c r="AF837" s="14">
        <v>4</v>
      </c>
      <c r="AG837" s="14">
        <v>1</v>
      </c>
      <c r="AH837" s="14">
        <v>4</v>
      </c>
    </row>
    <row r="838" spans="1:34" x14ac:dyDescent="0.3">
      <c r="A838" s="14">
        <v>29</v>
      </c>
      <c r="B838" s="17" t="s">
        <v>35</v>
      </c>
      <c r="C838" t="s">
        <v>36</v>
      </c>
      <c r="D838">
        <v>408</v>
      </c>
      <c r="E838" s="17" t="s">
        <v>37</v>
      </c>
      <c r="F838">
        <v>23</v>
      </c>
      <c r="G838">
        <v>1</v>
      </c>
      <c r="H838" t="s">
        <v>38</v>
      </c>
      <c r="I838">
        <v>1165</v>
      </c>
      <c r="J838">
        <v>4</v>
      </c>
      <c r="K838" s="17" t="s">
        <v>39</v>
      </c>
      <c r="L838">
        <v>45</v>
      </c>
      <c r="M838">
        <v>2</v>
      </c>
      <c r="N838">
        <v>3</v>
      </c>
      <c r="O838" s="17" t="s">
        <v>40</v>
      </c>
      <c r="P838" s="14">
        <v>1</v>
      </c>
      <c r="Q838" t="s">
        <v>48</v>
      </c>
      <c r="R838" s="14">
        <v>7336</v>
      </c>
      <c r="S838" s="17" t="str">
        <f t="shared" si="26"/>
        <v>high</v>
      </c>
      <c r="T838">
        <v>11162</v>
      </c>
      <c r="U838">
        <v>1</v>
      </c>
      <c r="V838" s="17" t="s">
        <v>43</v>
      </c>
      <c r="W838">
        <v>13</v>
      </c>
      <c r="X838">
        <v>3</v>
      </c>
      <c r="Y838">
        <v>1</v>
      </c>
      <c r="Z838">
        <v>1</v>
      </c>
      <c r="AA838">
        <v>11</v>
      </c>
      <c r="AB838">
        <v>3</v>
      </c>
      <c r="AC838">
        <v>1</v>
      </c>
      <c r="AD838" s="14">
        <v>11</v>
      </c>
      <c r="AE838" t="str">
        <f t="shared" si="27"/>
        <v>10+ years</v>
      </c>
      <c r="AF838" s="14">
        <v>8</v>
      </c>
      <c r="AG838" s="14">
        <v>3</v>
      </c>
      <c r="AH838" s="14">
        <v>10</v>
      </c>
    </row>
    <row r="839" spans="1:34" x14ac:dyDescent="0.3">
      <c r="A839" s="14">
        <v>40</v>
      </c>
      <c r="B839" s="17" t="s">
        <v>43</v>
      </c>
      <c r="C839" t="s">
        <v>44</v>
      </c>
      <c r="D839">
        <v>593</v>
      </c>
      <c r="E839" s="17" t="s">
        <v>45</v>
      </c>
      <c r="F839">
        <v>9</v>
      </c>
      <c r="G839">
        <v>4</v>
      </c>
      <c r="H839" t="s">
        <v>51</v>
      </c>
      <c r="I839">
        <v>1166</v>
      </c>
      <c r="J839">
        <v>2</v>
      </c>
      <c r="K839" s="17" t="s">
        <v>39</v>
      </c>
      <c r="L839">
        <v>88</v>
      </c>
      <c r="M839">
        <v>3</v>
      </c>
      <c r="N839">
        <v>3</v>
      </c>
      <c r="O839" s="17" t="s">
        <v>58</v>
      </c>
      <c r="P839" s="14">
        <v>3</v>
      </c>
      <c r="Q839" t="s">
        <v>41</v>
      </c>
      <c r="R839" s="14">
        <v>13499</v>
      </c>
      <c r="S839" s="17" t="str">
        <f t="shared" si="26"/>
        <v>high</v>
      </c>
      <c r="T839">
        <v>13782</v>
      </c>
      <c r="U839">
        <v>9</v>
      </c>
      <c r="V839" s="17" t="s">
        <v>43</v>
      </c>
      <c r="W839">
        <v>17</v>
      </c>
      <c r="X839">
        <v>3</v>
      </c>
      <c r="Y839">
        <v>3</v>
      </c>
      <c r="Z839">
        <v>0</v>
      </c>
      <c r="AA839">
        <v>20</v>
      </c>
      <c r="AB839">
        <v>3</v>
      </c>
      <c r="AC839">
        <v>2</v>
      </c>
      <c r="AD839" s="14">
        <v>18</v>
      </c>
      <c r="AE839" t="str">
        <f t="shared" si="27"/>
        <v>10+ years</v>
      </c>
      <c r="AF839" s="14">
        <v>7</v>
      </c>
      <c r="AG839" s="14">
        <v>2</v>
      </c>
      <c r="AH839" s="14">
        <v>13</v>
      </c>
    </row>
    <row r="840" spans="1:34" x14ac:dyDescent="0.3">
      <c r="A840" s="14">
        <v>42</v>
      </c>
      <c r="B840" s="17" t="s">
        <v>35</v>
      </c>
      <c r="C840" t="s">
        <v>44</v>
      </c>
      <c r="D840">
        <v>481</v>
      </c>
      <c r="E840" s="17" t="s">
        <v>37</v>
      </c>
      <c r="F840">
        <v>12</v>
      </c>
      <c r="G840">
        <v>3</v>
      </c>
      <c r="H840" t="s">
        <v>38</v>
      </c>
      <c r="I840">
        <v>1167</v>
      </c>
      <c r="J840">
        <v>3</v>
      </c>
      <c r="K840" s="17" t="s">
        <v>46</v>
      </c>
      <c r="L840">
        <v>44</v>
      </c>
      <c r="M840">
        <v>3</v>
      </c>
      <c r="N840">
        <v>4</v>
      </c>
      <c r="O840" s="17" t="s">
        <v>40</v>
      </c>
      <c r="P840" s="14">
        <v>1</v>
      </c>
      <c r="Q840" t="s">
        <v>41</v>
      </c>
      <c r="R840" s="14">
        <v>13758</v>
      </c>
      <c r="S840" s="17" t="str">
        <f t="shared" si="26"/>
        <v>high</v>
      </c>
      <c r="T840">
        <v>2447</v>
      </c>
      <c r="U840">
        <v>0</v>
      </c>
      <c r="V840" s="17" t="s">
        <v>35</v>
      </c>
      <c r="W840">
        <v>12</v>
      </c>
      <c r="X840">
        <v>3</v>
      </c>
      <c r="Y840">
        <v>2</v>
      </c>
      <c r="Z840">
        <v>0</v>
      </c>
      <c r="AA840">
        <v>22</v>
      </c>
      <c r="AB840">
        <v>2</v>
      </c>
      <c r="AC840">
        <v>2</v>
      </c>
      <c r="AD840" s="14">
        <v>21</v>
      </c>
      <c r="AE840" t="str">
        <f t="shared" si="27"/>
        <v>10+ years</v>
      </c>
      <c r="AF840" s="14">
        <v>9</v>
      </c>
      <c r="AG840" s="14">
        <v>13</v>
      </c>
      <c r="AH840" s="14">
        <v>14</v>
      </c>
    </row>
    <row r="841" spans="1:34" x14ac:dyDescent="0.3">
      <c r="A841" s="14">
        <v>42</v>
      </c>
      <c r="B841" s="17" t="s">
        <v>43</v>
      </c>
      <c r="C841" t="s">
        <v>36</v>
      </c>
      <c r="D841">
        <v>647</v>
      </c>
      <c r="E841" s="17" t="s">
        <v>37</v>
      </c>
      <c r="F841">
        <v>4</v>
      </c>
      <c r="G841">
        <v>4</v>
      </c>
      <c r="H841" t="s">
        <v>59</v>
      </c>
      <c r="I841">
        <v>1171</v>
      </c>
      <c r="J841">
        <v>2</v>
      </c>
      <c r="K841" s="17" t="s">
        <v>46</v>
      </c>
      <c r="L841">
        <v>45</v>
      </c>
      <c r="M841">
        <v>3</v>
      </c>
      <c r="N841">
        <v>2</v>
      </c>
      <c r="O841" s="17" t="s">
        <v>40</v>
      </c>
      <c r="P841" s="14">
        <v>1</v>
      </c>
      <c r="Q841" t="s">
        <v>41</v>
      </c>
      <c r="R841" s="14">
        <v>5155</v>
      </c>
      <c r="S841" s="17" t="str">
        <f t="shared" si="26"/>
        <v>medium</v>
      </c>
      <c r="T841">
        <v>2253</v>
      </c>
      <c r="U841">
        <v>7</v>
      </c>
      <c r="V841" s="17" t="s">
        <v>43</v>
      </c>
      <c r="W841">
        <v>13</v>
      </c>
      <c r="X841">
        <v>3</v>
      </c>
      <c r="Y841">
        <v>4</v>
      </c>
      <c r="Z841">
        <v>0</v>
      </c>
      <c r="AA841">
        <v>9</v>
      </c>
      <c r="AB841">
        <v>3</v>
      </c>
      <c r="AC841">
        <v>4</v>
      </c>
      <c r="AD841" s="14">
        <v>6</v>
      </c>
      <c r="AE841" t="str">
        <f t="shared" si="27"/>
        <v>6-10 years</v>
      </c>
      <c r="AF841" s="14">
        <v>4</v>
      </c>
      <c r="AG841" s="14">
        <v>1</v>
      </c>
      <c r="AH841" s="14">
        <v>5</v>
      </c>
    </row>
    <row r="842" spans="1:34" x14ac:dyDescent="0.3">
      <c r="A842" s="14">
        <v>35</v>
      </c>
      <c r="B842" s="17" t="s">
        <v>43</v>
      </c>
      <c r="C842" t="s">
        <v>36</v>
      </c>
      <c r="D842">
        <v>982</v>
      </c>
      <c r="E842" s="17" t="s">
        <v>45</v>
      </c>
      <c r="F842">
        <v>1</v>
      </c>
      <c r="G842">
        <v>4</v>
      </c>
      <c r="H842" t="s">
        <v>51</v>
      </c>
      <c r="I842">
        <v>1172</v>
      </c>
      <c r="J842">
        <v>4</v>
      </c>
      <c r="K842" s="17" t="s">
        <v>46</v>
      </c>
      <c r="L842">
        <v>58</v>
      </c>
      <c r="M842">
        <v>2</v>
      </c>
      <c r="N842">
        <v>1</v>
      </c>
      <c r="O842" s="17" t="s">
        <v>50</v>
      </c>
      <c r="P842" s="14">
        <v>3</v>
      </c>
      <c r="Q842" t="s">
        <v>48</v>
      </c>
      <c r="R842" s="14">
        <v>2258</v>
      </c>
      <c r="S842" s="17" t="str">
        <f t="shared" si="26"/>
        <v>low</v>
      </c>
      <c r="T842">
        <v>16340</v>
      </c>
      <c r="U842">
        <v>6</v>
      </c>
      <c r="V842" s="17" t="s">
        <v>43</v>
      </c>
      <c r="W842">
        <v>12</v>
      </c>
      <c r="X842">
        <v>3</v>
      </c>
      <c r="Y842">
        <v>2</v>
      </c>
      <c r="Z842">
        <v>1</v>
      </c>
      <c r="AA842">
        <v>10</v>
      </c>
      <c r="AB842">
        <v>2</v>
      </c>
      <c r="AC842">
        <v>3</v>
      </c>
      <c r="AD842" s="14">
        <v>8</v>
      </c>
      <c r="AE842" t="str">
        <f t="shared" si="27"/>
        <v>6-10 years</v>
      </c>
      <c r="AF842" s="14">
        <v>0</v>
      </c>
      <c r="AG842" s="14">
        <v>1</v>
      </c>
      <c r="AH842" s="14">
        <v>7</v>
      </c>
    </row>
    <row r="843" spans="1:34" x14ac:dyDescent="0.3">
      <c r="A843" s="14">
        <v>24</v>
      </c>
      <c r="B843" s="17" t="s">
        <v>43</v>
      </c>
      <c r="C843" t="s">
        <v>36</v>
      </c>
      <c r="D843">
        <v>477</v>
      </c>
      <c r="E843" s="17" t="s">
        <v>45</v>
      </c>
      <c r="F843">
        <v>24</v>
      </c>
      <c r="G843">
        <v>3</v>
      </c>
      <c r="H843" t="s">
        <v>51</v>
      </c>
      <c r="I843">
        <v>1173</v>
      </c>
      <c r="J843">
        <v>4</v>
      </c>
      <c r="K843" s="17" t="s">
        <v>46</v>
      </c>
      <c r="L843">
        <v>49</v>
      </c>
      <c r="M843">
        <v>3</v>
      </c>
      <c r="N843">
        <v>1</v>
      </c>
      <c r="O843" s="17" t="s">
        <v>50</v>
      </c>
      <c r="P843" s="14">
        <v>2</v>
      </c>
      <c r="Q843" t="s">
        <v>41</v>
      </c>
      <c r="R843" s="14">
        <v>3597</v>
      </c>
      <c r="S843" s="17" t="str">
        <f t="shared" si="26"/>
        <v>medium</v>
      </c>
      <c r="T843">
        <v>6409</v>
      </c>
      <c r="U843">
        <v>8</v>
      </c>
      <c r="V843" s="17" t="s">
        <v>43</v>
      </c>
      <c r="W843">
        <v>22</v>
      </c>
      <c r="X843">
        <v>4</v>
      </c>
      <c r="Y843">
        <v>4</v>
      </c>
      <c r="Z843">
        <v>0</v>
      </c>
      <c r="AA843">
        <v>6</v>
      </c>
      <c r="AB843">
        <v>2</v>
      </c>
      <c r="AC843">
        <v>3</v>
      </c>
      <c r="AD843" s="14">
        <v>4</v>
      </c>
      <c r="AE843" t="str">
        <f t="shared" si="27"/>
        <v>3-5 years</v>
      </c>
      <c r="AF843" s="14">
        <v>3</v>
      </c>
      <c r="AG843" s="14">
        <v>1</v>
      </c>
      <c r="AH843" s="14">
        <v>2</v>
      </c>
    </row>
    <row r="844" spans="1:34" x14ac:dyDescent="0.3">
      <c r="A844" s="14">
        <v>28</v>
      </c>
      <c r="B844" s="17" t="s">
        <v>35</v>
      </c>
      <c r="C844" t="s">
        <v>36</v>
      </c>
      <c r="D844">
        <v>1485</v>
      </c>
      <c r="E844" s="17" t="s">
        <v>45</v>
      </c>
      <c r="F844">
        <v>12</v>
      </c>
      <c r="G844">
        <v>1</v>
      </c>
      <c r="H844" t="s">
        <v>38</v>
      </c>
      <c r="I844">
        <v>1175</v>
      </c>
      <c r="J844">
        <v>3</v>
      </c>
      <c r="K844" s="17" t="s">
        <v>39</v>
      </c>
      <c r="L844">
        <v>79</v>
      </c>
      <c r="M844">
        <v>3</v>
      </c>
      <c r="N844">
        <v>1</v>
      </c>
      <c r="O844" s="17" t="s">
        <v>50</v>
      </c>
      <c r="P844" s="14">
        <v>4</v>
      </c>
      <c r="Q844" t="s">
        <v>48</v>
      </c>
      <c r="R844" s="14">
        <v>2515</v>
      </c>
      <c r="S844" s="17" t="str">
        <f t="shared" si="26"/>
        <v>low</v>
      </c>
      <c r="T844">
        <v>22955</v>
      </c>
      <c r="U844">
        <v>1</v>
      </c>
      <c r="V844" s="17" t="s">
        <v>35</v>
      </c>
      <c r="W844">
        <v>11</v>
      </c>
      <c r="X844">
        <v>3</v>
      </c>
      <c r="Y844">
        <v>4</v>
      </c>
      <c r="Z844">
        <v>0</v>
      </c>
      <c r="AA844">
        <v>1</v>
      </c>
      <c r="AB844">
        <v>4</v>
      </c>
      <c r="AC844">
        <v>2</v>
      </c>
      <c r="AD844" s="14">
        <v>1</v>
      </c>
      <c r="AE844" t="str">
        <f t="shared" si="27"/>
        <v>0-2 years</v>
      </c>
      <c r="AF844" s="14">
        <v>1</v>
      </c>
      <c r="AG844" s="14">
        <v>0</v>
      </c>
      <c r="AH844" s="14">
        <v>0</v>
      </c>
    </row>
    <row r="845" spans="1:34" x14ac:dyDescent="0.3">
      <c r="A845" s="14">
        <v>26</v>
      </c>
      <c r="B845" s="17" t="s">
        <v>43</v>
      </c>
      <c r="C845" t="s">
        <v>36</v>
      </c>
      <c r="D845">
        <v>1384</v>
      </c>
      <c r="E845" s="17" t="s">
        <v>45</v>
      </c>
      <c r="F845">
        <v>3</v>
      </c>
      <c r="G845">
        <v>4</v>
      </c>
      <c r="H845" t="s">
        <v>51</v>
      </c>
      <c r="I845">
        <v>1177</v>
      </c>
      <c r="J845">
        <v>1</v>
      </c>
      <c r="K845" s="17" t="s">
        <v>46</v>
      </c>
      <c r="L845">
        <v>82</v>
      </c>
      <c r="M845">
        <v>4</v>
      </c>
      <c r="N845">
        <v>1</v>
      </c>
      <c r="O845" s="17" t="s">
        <v>50</v>
      </c>
      <c r="P845" s="14">
        <v>4</v>
      </c>
      <c r="Q845" t="s">
        <v>48</v>
      </c>
      <c r="R845" s="14">
        <v>4420</v>
      </c>
      <c r="S845" s="17" t="str">
        <f t="shared" si="26"/>
        <v>medium</v>
      </c>
      <c r="T845">
        <v>13421</v>
      </c>
      <c r="U845">
        <v>1</v>
      </c>
      <c r="V845" s="17" t="s">
        <v>43</v>
      </c>
      <c r="W845">
        <v>22</v>
      </c>
      <c r="X845">
        <v>4</v>
      </c>
      <c r="Y845">
        <v>2</v>
      </c>
      <c r="Z845">
        <v>1</v>
      </c>
      <c r="AA845">
        <v>8</v>
      </c>
      <c r="AB845">
        <v>2</v>
      </c>
      <c r="AC845">
        <v>3</v>
      </c>
      <c r="AD845" s="14">
        <v>8</v>
      </c>
      <c r="AE845" t="str">
        <f t="shared" si="27"/>
        <v>6-10 years</v>
      </c>
      <c r="AF845" s="14">
        <v>7</v>
      </c>
      <c r="AG845" s="14">
        <v>0</v>
      </c>
      <c r="AH845" s="14">
        <v>7</v>
      </c>
    </row>
    <row r="846" spans="1:34" x14ac:dyDescent="0.3">
      <c r="A846" s="14">
        <v>30</v>
      </c>
      <c r="B846" s="17" t="s">
        <v>43</v>
      </c>
      <c r="C846" t="s">
        <v>36</v>
      </c>
      <c r="D846">
        <v>852</v>
      </c>
      <c r="E846" s="17" t="s">
        <v>37</v>
      </c>
      <c r="F846">
        <v>10</v>
      </c>
      <c r="G846">
        <v>3</v>
      </c>
      <c r="H846" t="s">
        <v>59</v>
      </c>
      <c r="I846">
        <v>1179</v>
      </c>
      <c r="J846">
        <v>3</v>
      </c>
      <c r="K846" s="17" t="s">
        <v>46</v>
      </c>
      <c r="L846">
        <v>72</v>
      </c>
      <c r="M846">
        <v>2</v>
      </c>
      <c r="N846">
        <v>2</v>
      </c>
      <c r="O846" s="17" t="s">
        <v>40</v>
      </c>
      <c r="P846" s="14">
        <v>3</v>
      </c>
      <c r="Q846" t="s">
        <v>48</v>
      </c>
      <c r="R846" s="14">
        <v>6578</v>
      </c>
      <c r="S846" s="17" t="str">
        <f t="shared" si="26"/>
        <v>medium</v>
      </c>
      <c r="T846">
        <v>2706</v>
      </c>
      <c r="U846">
        <v>1</v>
      </c>
      <c r="V846" s="17" t="s">
        <v>43</v>
      </c>
      <c r="W846">
        <v>18</v>
      </c>
      <c r="X846">
        <v>3</v>
      </c>
      <c r="Y846">
        <v>1</v>
      </c>
      <c r="Z846">
        <v>1</v>
      </c>
      <c r="AA846">
        <v>10</v>
      </c>
      <c r="AB846">
        <v>3</v>
      </c>
      <c r="AC846">
        <v>3</v>
      </c>
      <c r="AD846" s="14">
        <v>10</v>
      </c>
      <c r="AE846" t="str">
        <f t="shared" si="27"/>
        <v>6-10 years</v>
      </c>
      <c r="AF846" s="14">
        <v>3</v>
      </c>
      <c r="AG846" s="14">
        <v>1</v>
      </c>
      <c r="AH846" s="14">
        <v>4</v>
      </c>
    </row>
    <row r="847" spans="1:34" x14ac:dyDescent="0.3">
      <c r="A847" s="14">
        <v>40</v>
      </c>
      <c r="B847" s="17" t="s">
        <v>43</v>
      </c>
      <c r="C847" t="s">
        <v>44</v>
      </c>
      <c r="D847">
        <v>902</v>
      </c>
      <c r="E847" s="17" t="s">
        <v>45</v>
      </c>
      <c r="F847">
        <v>26</v>
      </c>
      <c r="G847">
        <v>2</v>
      </c>
      <c r="H847" t="s">
        <v>51</v>
      </c>
      <c r="I847">
        <v>1180</v>
      </c>
      <c r="J847">
        <v>3</v>
      </c>
      <c r="K847" s="17" t="s">
        <v>39</v>
      </c>
      <c r="L847">
        <v>92</v>
      </c>
      <c r="M847">
        <v>2</v>
      </c>
      <c r="N847">
        <v>2</v>
      </c>
      <c r="O847" s="17" t="s">
        <v>47</v>
      </c>
      <c r="P847" s="14">
        <v>4</v>
      </c>
      <c r="Q847" t="s">
        <v>48</v>
      </c>
      <c r="R847" s="14">
        <v>4422</v>
      </c>
      <c r="S847" s="17" t="str">
        <f t="shared" si="26"/>
        <v>medium</v>
      </c>
      <c r="T847">
        <v>21203</v>
      </c>
      <c r="U847">
        <v>3</v>
      </c>
      <c r="V847" s="17" t="s">
        <v>35</v>
      </c>
      <c r="W847">
        <v>13</v>
      </c>
      <c r="X847">
        <v>3</v>
      </c>
      <c r="Y847">
        <v>4</v>
      </c>
      <c r="Z847">
        <v>1</v>
      </c>
      <c r="AA847">
        <v>16</v>
      </c>
      <c r="AB847">
        <v>3</v>
      </c>
      <c r="AC847">
        <v>1</v>
      </c>
      <c r="AD847" s="14">
        <v>1</v>
      </c>
      <c r="AE847" t="str">
        <f t="shared" si="27"/>
        <v>0-2 years</v>
      </c>
      <c r="AF847" s="14">
        <v>1</v>
      </c>
      <c r="AG847" s="14">
        <v>0</v>
      </c>
      <c r="AH847" s="14">
        <v>0</v>
      </c>
    </row>
    <row r="848" spans="1:34" x14ac:dyDescent="0.3">
      <c r="A848" s="14">
        <v>35</v>
      </c>
      <c r="B848" s="17" t="s">
        <v>43</v>
      </c>
      <c r="C848" t="s">
        <v>36</v>
      </c>
      <c r="D848">
        <v>819</v>
      </c>
      <c r="E848" s="17" t="s">
        <v>45</v>
      </c>
      <c r="F848">
        <v>2</v>
      </c>
      <c r="G848">
        <v>3</v>
      </c>
      <c r="H848" t="s">
        <v>38</v>
      </c>
      <c r="I848">
        <v>1182</v>
      </c>
      <c r="J848">
        <v>3</v>
      </c>
      <c r="K848" s="17" t="s">
        <v>46</v>
      </c>
      <c r="L848">
        <v>44</v>
      </c>
      <c r="M848">
        <v>2</v>
      </c>
      <c r="N848">
        <v>3</v>
      </c>
      <c r="O848" s="17" t="s">
        <v>53</v>
      </c>
      <c r="P848" s="14">
        <v>2</v>
      </c>
      <c r="Q848" t="s">
        <v>52</v>
      </c>
      <c r="R848" s="14">
        <v>10274</v>
      </c>
      <c r="S848" s="17" t="str">
        <f t="shared" si="26"/>
        <v>high</v>
      </c>
      <c r="T848">
        <v>19588</v>
      </c>
      <c r="U848">
        <v>2</v>
      </c>
      <c r="V848" s="17" t="s">
        <v>43</v>
      </c>
      <c r="W848">
        <v>18</v>
      </c>
      <c r="X848">
        <v>3</v>
      </c>
      <c r="Y848">
        <v>2</v>
      </c>
      <c r="Z848">
        <v>1</v>
      </c>
      <c r="AA848">
        <v>15</v>
      </c>
      <c r="AB848">
        <v>2</v>
      </c>
      <c r="AC848">
        <v>4</v>
      </c>
      <c r="AD848" s="14">
        <v>7</v>
      </c>
      <c r="AE848" t="str">
        <f t="shared" si="27"/>
        <v>6-10 years</v>
      </c>
      <c r="AF848" s="14">
        <v>7</v>
      </c>
      <c r="AG848" s="14">
        <v>6</v>
      </c>
      <c r="AH848" s="14">
        <v>4</v>
      </c>
    </row>
    <row r="849" spans="1:34" x14ac:dyDescent="0.3">
      <c r="A849" s="14">
        <v>34</v>
      </c>
      <c r="B849" s="17" t="s">
        <v>43</v>
      </c>
      <c r="C849" t="s">
        <v>44</v>
      </c>
      <c r="D849">
        <v>669</v>
      </c>
      <c r="E849" s="17" t="s">
        <v>45</v>
      </c>
      <c r="F849">
        <v>1</v>
      </c>
      <c r="G849">
        <v>3</v>
      </c>
      <c r="H849" t="s">
        <v>51</v>
      </c>
      <c r="I849">
        <v>1184</v>
      </c>
      <c r="J849">
        <v>4</v>
      </c>
      <c r="K849" s="17" t="s">
        <v>46</v>
      </c>
      <c r="L849">
        <v>97</v>
      </c>
      <c r="M849">
        <v>2</v>
      </c>
      <c r="N849">
        <v>2</v>
      </c>
      <c r="O849" s="17" t="s">
        <v>54</v>
      </c>
      <c r="P849" s="14">
        <v>1</v>
      </c>
      <c r="Q849" t="s">
        <v>41</v>
      </c>
      <c r="R849" s="14">
        <v>5343</v>
      </c>
      <c r="S849" s="17" t="str">
        <f t="shared" si="26"/>
        <v>medium</v>
      </c>
      <c r="T849">
        <v>25755</v>
      </c>
      <c r="U849">
        <v>0</v>
      </c>
      <c r="V849" s="17" t="s">
        <v>43</v>
      </c>
      <c r="W849">
        <v>20</v>
      </c>
      <c r="X849">
        <v>4</v>
      </c>
      <c r="Y849">
        <v>3</v>
      </c>
      <c r="Z849">
        <v>0</v>
      </c>
      <c r="AA849">
        <v>14</v>
      </c>
      <c r="AB849">
        <v>3</v>
      </c>
      <c r="AC849">
        <v>3</v>
      </c>
      <c r="AD849" s="14">
        <v>13</v>
      </c>
      <c r="AE849" t="str">
        <f t="shared" si="27"/>
        <v>10+ years</v>
      </c>
      <c r="AF849" s="14">
        <v>9</v>
      </c>
      <c r="AG849" s="14">
        <v>4</v>
      </c>
      <c r="AH849" s="14">
        <v>9</v>
      </c>
    </row>
    <row r="850" spans="1:34" x14ac:dyDescent="0.3">
      <c r="A850" s="14">
        <v>35</v>
      </c>
      <c r="B850" s="17" t="s">
        <v>43</v>
      </c>
      <c r="C850" t="s">
        <v>44</v>
      </c>
      <c r="D850">
        <v>636</v>
      </c>
      <c r="E850" s="17" t="s">
        <v>45</v>
      </c>
      <c r="F850">
        <v>4</v>
      </c>
      <c r="G850">
        <v>4</v>
      </c>
      <c r="H850" t="s">
        <v>49</v>
      </c>
      <c r="I850">
        <v>1185</v>
      </c>
      <c r="J850">
        <v>4</v>
      </c>
      <c r="K850" s="17" t="s">
        <v>46</v>
      </c>
      <c r="L850">
        <v>47</v>
      </c>
      <c r="M850">
        <v>2</v>
      </c>
      <c r="N850">
        <v>1</v>
      </c>
      <c r="O850" s="17" t="s">
        <v>50</v>
      </c>
      <c r="P850" s="14">
        <v>4</v>
      </c>
      <c r="Q850" t="s">
        <v>48</v>
      </c>
      <c r="R850" s="14">
        <v>2376</v>
      </c>
      <c r="S850" s="17" t="str">
        <f t="shared" si="26"/>
        <v>low</v>
      </c>
      <c r="T850">
        <v>26537</v>
      </c>
      <c r="U850">
        <v>1</v>
      </c>
      <c r="V850" s="17" t="s">
        <v>43</v>
      </c>
      <c r="W850">
        <v>13</v>
      </c>
      <c r="X850">
        <v>3</v>
      </c>
      <c r="Y850">
        <v>2</v>
      </c>
      <c r="Z850">
        <v>1</v>
      </c>
      <c r="AA850">
        <v>2</v>
      </c>
      <c r="AB850">
        <v>2</v>
      </c>
      <c r="AC850">
        <v>4</v>
      </c>
      <c r="AD850" s="14">
        <v>2</v>
      </c>
      <c r="AE850" t="str">
        <f t="shared" si="27"/>
        <v>0-2 years</v>
      </c>
      <c r="AF850" s="14">
        <v>2</v>
      </c>
      <c r="AG850" s="14">
        <v>2</v>
      </c>
      <c r="AH850" s="14">
        <v>2</v>
      </c>
    </row>
    <row r="851" spans="1:34" x14ac:dyDescent="0.3">
      <c r="A851" s="14">
        <v>43</v>
      </c>
      <c r="B851" s="17" t="s">
        <v>35</v>
      </c>
      <c r="C851" t="s">
        <v>36</v>
      </c>
      <c r="D851">
        <v>1372</v>
      </c>
      <c r="E851" s="17" t="s">
        <v>37</v>
      </c>
      <c r="F851">
        <v>9</v>
      </c>
      <c r="G851">
        <v>3</v>
      </c>
      <c r="H851" t="s">
        <v>59</v>
      </c>
      <c r="I851">
        <v>1188</v>
      </c>
      <c r="J851">
        <v>1</v>
      </c>
      <c r="K851" s="17" t="s">
        <v>39</v>
      </c>
      <c r="L851">
        <v>85</v>
      </c>
      <c r="M851">
        <v>1</v>
      </c>
      <c r="N851">
        <v>2</v>
      </c>
      <c r="O851" s="17" t="s">
        <v>40</v>
      </c>
      <c r="P851" s="14">
        <v>3</v>
      </c>
      <c r="Q851" t="s">
        <v>41</v>
      </c>
      <c r="R851" s="14">
        <v>5346</v>
      </c>
      <c r="S851" s="17" t="str">
        <f t="shared" si="26"/>
        <v>medium</v>
      </c>
      <c r="T851">
        <v>9489</v>
      </c>
      <c r="U851">
        <v>8</v>
      </c>
      <c r="V851" s="17" t="s">
        <v>43</v>
      </c>
      <c r="W851">
        <v>13</v>
      </c>
      <c r="X851">
        <v>3</v>
      </c>
      <c r="Y851">
        <v>2</v>
      </c>
      <c r="Z851">
        <v>0</v>
      </c>
      <c r="AA851">
        <v>7</v>
      </c>
      <c r="AB851">
        <v>2</v>
      </c>
      <c r="AC851">
        <v>2</v>
      </c>
      <c r="AD851" s="14">
        <v>4</v>
      </c>
      <c r="AE851" t="str">
        <f t="shared" si="27"/>
        <v>3-5 years</v>
      </c>
      <c r="AF851" s="14">
        <v>3</v>
      </c>
      <c r="AG851" s="14">
        <v>1</v>
      </c>
      <c r="AH851" s="14">
        <v>3</v>
      </c>
    </row>
    <row r="852" spans="1:34" x14ac:dyDescent="0.3">
      <c r="A852" s="14">
        <v>32</v>
      </c>
      <c r="B852" s="17" t="s">
        <v>43</v>
      </c>
      <c r="C852" t="s">
        <v>55</v>
      </c>
      <c r="D852">
        <v>862</v>
      </c>
      <c r="E852" s="17" t="s">
        <v>37</v>
      </c>
      <c r="F852">
        <v>2</v>
      </c>
      <c r="G852">
        <v>1</v>
      </c>
      <c r="H852" t="s">
        <v>38</v>
      </c>
      <c r="I852">
        <v>1190</v>
      </c>
      <c r="J852">
        <v>3</v>
      </c>
      <c r="K852" s="17" t="s">
        <v>39</v>
      </c>
      <c r="L852">
        <v>76</v>
      </c>
      <c r="M852">
        <v>3</v>
      </c>
      <c r="N852">
        <v>1</v>
      </c>
      <c r="O852" s="17" t="s">
        <v>57</v>
      </c>
      <c r="P852" s="14">
        <v>1</v>
      </c>
      <c r="Q852" t="s">
        <v>52</v>
      </c>
      <c r="R852" s="14">
        <v>2827</v>
      </c>
      <c r="S852" s="17" t="str">
        <f t="shared" si="26"/>
        <v>low</v>
      </c>
      <c r="T852">
        <v>14947</v>
      </c>
      <c r="U852">
        <v>1</v>
      </c>
      <c r="V852" s="17" t="s">
        <v>43</v>
      </c>
      <c r="W852">
        <v>12</v>
      </c>
      <c r="X852">
        <v>3</v>
      </c>
      <c r="Y852">
        <v>3</v>
      </c>
      <c r="Z852">
        <v>3</v>
      </c>
      <c r="AA852">
        <v>1</v>
      </c>
      <c r="AB852">
        <v>3</v>
      </c>
      <c r="AC852">
        <v>3</v>
      </c>
      <c r="AD852" s="14">
        <v>1</v>
      </c>
      <c r="AE852" t="str">
        <f t="shared" si="27"/>
        <v>0-2 years</v>
      </c>
      <c r="AF852" s="14">
        <v>0</v>
      </c>
      <c r="AG852" s="14">
        <v>0</v>
      </c>
      <c r="AH852" s="14">
        <v>0</v>
      </c>
    </row>
    <row r="853" spans="1:34" x14ac:dyDescent="0.3">
      <c r="A853" s="14">
        <v>56</v>
      </c>
      <c r="B853" s="17" t="s">
        <v>43</v>
      </c>
      <c r="C853" t="s">
        <v>36</v>
      </c>
      <c r="D853">
        <v>718</v>
      </c>
      <c r="E853" s="17" t="s">
        <v>45</v>
      </c>
      <c r="F853">
        <v>4</v>
      </c>
      <c r="G853">
        <v>4</v>
      </c>
      <c r="H853" t="s">
        <v>60</v>
      </c>
      <c r="I853">
        <v>1191</v>
      </c>
      <c r="J853">
        <v>4</v>
      </c>
      <c r="K853" s="17" t="s">
        <v>39</v>
      </c>
      <c r="L853">
        <v>92</v>
      </c>
      <c r="M853">
        <v>3</v>
      </c>
      <c r="N853">
        <v>5</v>
      </c>
      <c r="O853" s="17" t="s">
        <v>56</v>
      </c>
      <c r="P853" s="14">
        <v>1</v>
      </c>
      <c r="Q853" t="s">
        <v>52</v>
      </c>
      <c r="R853" s="14">
        <v>19943</v>
      </c>
      <c r="S853" s="17" t="str">
        <f t="shared" si="26"/>
        <v>high</v>
      </c>
      <c r="T853">
        <v>18575</v>
      </c>
      <c r="U853">
        <v>4</v>
      </c>
      <c r="V853" s="17" t="s">
        <v>43</v>
      </c>
      <c r="W853">
        <v>13</v>
      </c>
      <c r="X853">
        <v>3</v>
      </c>
      <c r="Y853">
        <v>4</v>
      </c>
      <c r="Z853">
        <v>1</v>
      </c>
      <c r="AA853">
        <v>28</v>
      </c>
      <c r="AB853">
        <v>2</v>
      </c>
      <c r="AC853">
        <v>3</v>
      </c>
      <c r="AD853" s="14">
        <v>5</v>
      </c>
      <c r="AE853" t="str">
        <f t="shared" si="27"/>
        <v>3-5 years</v>
      </c>
      <c r="AF853" s="14">
        <v>2</v>
      </c>
      <c r="AG853" s="14">
        <v>4</v>
      </c>
      <c r="AH853" s="14">
        <v>2</v>
      </c>
    </row>
    <row r="854" spans="1:34" x14ac:dyDescent="0.3">
      <c r="A854" s="14">
        <v>29</v>
      </c>
      <c r="B854" s="17" t="s">
        <v>43</v>
      </c>
      <c r="C854" t="s">
        <v>36</v>
      </c>
      <c r="D854">
        <v>1401</v>
      </c>
      <c r="E854" s="17" t="s">
        <v>45</v>
      </c>
      <c r="F854">
        <v>6</v>
      </c>
      <c r="G854">
        <v>1</v>
      </c>
      <c r="H854" t="s">
        <v>51</v>
      </c>
      <c r="I854">
        <v>1192</v>
      </c>
      <c r="J854">
        <v>2</v>
      </c>
      <c r="K854" s="17" t="s">
        <v>39</v>
      </c>
      <c r="L854">
        <v>54</v>
      </c>
      <c r="M854">
        <v>3</v>
      </c>
      <c r="N854">
        <v>1</v>
      </c>
      <c r="O854" s="17" t="s">
        <v>50</v>
      </c>
      <c r="P854" s="14">
        <v>4</v>
      </c>
      <c r="Q854" t="s">
        <v>48</v>
      </c>
      <c r="R854" s="14">
        <v>3131</v>
      </c>
      <c r="S854" s="17" t="str">
        <f t="shared" si="26"/>
        <v>medium</v>
      </c>
      <c r="T854">
        <v>26342</v>
      </c>
      <c r="U854">
        <v>1</v>
      </c>
      <c r="V854" s="17" t="s">
        <v>43</v>
      </c>
      <c r="W854">
        <v>13</v>
      </c>
      <c r="X854">
        <v>3</v>
      </c>
      <c r="Y854">
        <v>1</v>
      </c>
      <c r="Z854">
        <v>1</v>
      </c>
      <c r="AA854">
        <v>10</v>
      </c>
      <c r="AB854">
        <v>5</v>
      </c>
      <c r="AC854">
        <v>3</v>
      </c>
      <c r="AD854" s="14">
        <v>10</v>
      </c>
      <c r="AE854" t="str">
        <f t="shared" si="27"/>
        <v>6-10 years</v>
      </c>
      <c r="AF854" s="14">
        <v>8</v>
      </c>
      <c r="AG854" s="14">
        <v>0</v>
      </c>
      <c r="AH854" s="14">
        <v>8</v>
      </c>
    </row>
    <row r="855" spans="1:34" x14ac:dyDescent="0.3">
      <c r="A855" s="14">
        <v>19</v>
      </c>
      <c r="B855" s="17" t="s">
        <v>43</v>
      </c>
      <c r="C855" t="s">
        <v>36</v>
      </c>
      <c r="D855">
        <v>645</v>
      </c>
      <c r="E855" s="17" t="s">
        <v>45</v>
      </c>
      <c r="F855">
        <v>9</v>
      </c>
      <c r="G855">
        <v>2</v>
      </c>
      <c r="H855" t="s">
        <v>38</v>
      </c>
      <c r="I855">
        <v>1193</v>
      </c>
      <c r="J855">
        <v>3</v>
      </c>
      <c r="K855" s="17" t="s">
        <v>46</v>
      </c>
      <c r="L855">
        <v>54</v>
      </c>
      <c r="M855">
        <v>3</v>
      </c>
      <c r="N855">
        <v>1</v>
      </c>
      <c r="O855" s="17" t="s">
        <v>47</v>
      </c>
      <c r="P855" s="14">
        <v>1</v>
      </c>
      <c r="Q855" t="s">
        <v>41</v>
      </c>
      <c r="R855" s="14">
        <v>2552</v>
      </c>
      <c r="S855" s="17" t="str">
        <f t="shared" si="26"/>
        <v>low</v>
      </c>
      <c r="T855">
        <v>7172</v>
      </c>
      <c r="U855">
        <v>1</v>
      </c>
      <c r="V855" s="17" t="s">
        <v>43</v>
      </c>
      <c r="W855">
        <v>25</v>
      </c>
      <c r="X855">
        <v>4</v>
      </c>
      <c r="Y855">
        <v>3</v>
      </c>
      <c r="Z855">
        <v>0</v>
      </c>
      <c r="AA855">
        <v>1</v>
      </c>
      <c r="AB855">
        <v>4</v>
      </c>
      <c r="AC855">
        <v>3</v>
      </c>
      <c r="AD855" s="14">
        <v>1</v>
      </c>
      <c r="AE855" t="str">
        <f t="shared" si="27"/>
        <v>0-2 years</v>
      </c>
      <c r="AF855" s="14">
        <v>1</v>
      </c>
      <c r="AG855" s="14">
        <v>0</v>
      </c>
      <c r="AH855" s="14">
        <v>0</v>
      </c>
    </row>
    <row r="856" spans="1:34" x14ac:dyDescent="0.3">
      <c r="A856" s="14">
        <v>45</v>
      </c>
      <c r="B856" s="17" t="s">
        <v>43</v>
      </c>
      <c r="C856" t="s">
        <v>36</v>
      </c>
      <c r="D856">
        <v>1457</v>
      </c>
      <c r="E856" s="17" t="s">
        <v>45</v>
      </c>
      <c r="F856">
        <v>7</v>
      </c>
      <c r="G856">
        <v>3</v>
      </c>
      <c r="H856" t="s">
        <v>51</v>
      </c>
      <c r="I856">
        <v>1195</v>
      </c>
      <c r="J856">
        <v>1</v>
      </c>
      <c r="K856" s="17" t="s">
        <v>39</v>
      </c>
      <c r="L856">
        <v>83</v>
      </c>
      <c r="M856">
        <v>3</v>
      </c>
      <c r="N856">
        <v>1</v>
      </c>
      <c r="O856" s="17" t="s">
        <v>47</v>
      </c>
      <c r="P856" s="14">
        <v>3</v>
      </c>
      <c r="Q856" t="s">
        <v>48</v>
      </c>
      <c r="R856" s="14">
        <v>4477</v>
      </c>
      <c r="S856" s="17" t="str">
        <f t="shared" si="26"/>
        <v>medium</v>
      </c>
      <c r="T856">
        <v>20100</v>
      </c>
      <c r="U856">
        <v>4</v>
      </c>
      <c r="V856" s="17" t="s">
        <v>35</v>
      </c>
      <c r="W856">
        <v>19</v>
      </c>
      <c r="X856">
        <v>3</v>
      </c>
      <c r="Y856">
        <v>3</v>
      </c>
      <c r="Z856">
        <v>1</v>
      </c>
      <c r="AA856">
        <v>7</v>
      </c>
      <c r="AB856">
        <v>2</v>
      </c>
      <c r="AC856">
        <v>2</v>
      </c>
      <c r="AD856" s="14">
        <v>3</v>
      </c>
      <c r="AE856" t="str">
        <f t="shared" si="27"/>
        <v>3-5 years</v>
      </c>
      <c r="AF856" s="14">
        <v>2</v>
      </c>
      <c r="AG856" s="14">
        <v>0</v>
      </c>
      <c r="AH856" s="14">
        <v>2</v>
      </c>
    </row>
    <row r="857" spans="1:34" x14ac:dyDescent="0.3">
      <c r="A857" s="14">
        <v>37</v>
      </c>
      <c r="B857" s="17" t="s">
        <v>43</v>
      </c>
      <c r="C857" t="s">
        <v>36</v>
      </c>
      <c r="D857">
        <v>977</v>
      </c>
      <c r="E857" s="17" t="s">
        <v>45</v>
      </c>
      <c r="F857">
        <v>1</v>
      </c>
      <c r="G857">
        <v>3</v>
      </c>
      <c r="H857" t="s">
        <v>38</v>
      </c>
      <c r="I857">
        <v>1196</v>
      </c>
      <c r="J857">
        <v>4</v>
      </c>
      <c r="K857" s="17" t="s">
        <v>39</v>
      </c>
      <c r="L857">
        <v>56</v>
      </c>
      <c r="M857">
        <v>2</v>
      </c>
      <c r="N857">
        <v>2</v>
      </c>
      <c r="O857" s="17" t="s">
        <v>53</v>
      </c>
      <c r="P857" s="14">
        <v>4</v>
      </c>
      <c r="Q857" t="s">
        <v>48</v>
      </c>
      <c r="R857" s="14">
        <v>6474</v>
      </c>
      <c r="S857" s="17" t="str">
        <f t="shared" si="26"/>
        <v>medium</v>
      </c>
      <c r="T857">
        <v>9961</v>
      </c>
      <c r="U857">
        <v>1</v>
      </c>
      <c r="V857" s="17" t="s">
        <v>43</v>
      </c>
      <c r="W857">
        <v>13</v>
      </c>
      <c r="X857">
        <v>3</v>
      </c>
      <c r="Y857">
        <v>2</v>
      </c>
      <c r="Z857">
        <v>1</v>
      </c>
      <c r="AA857">
        <v>14</v>
      </c>
      <c r="AB857">
        <v>2</v>
      </c>
      <c r="AC857">
        <v>2</v>
      </c>
      <c r="AD857" s="14">
        <v>14</v>
      </c>
      <c r="AE857" t="str">
        <f t="shared" si="27"/>
        <v>10+ years</v>
      </c>
      <c r="AF857" s="14">
        <v>8</v>
      </c>
      <c r="AG857" s="14">
        <v>3</v>
      </c>
      <c r="AH857" s="14">
        <v>11</v>
      </c>
    </row>
    <row r="858" spans="1:34" x14ac:dyDescent="0.3">
      <c r="A858" s="14">
        <v>20</v>
      </c>
      <c r="B858" s="17" t="s">
        <v>43</v>
      </c>
      <c r="C858" t="s">
        <v>36</v>
      </c>
      <c r="D858">
        <v>805</v>
      </c>
      <c r="E858" s="17" t="s">
        <v>45</v>
      </c>
      <c r="F858">
        <v>3</v>
      </c>
      <c r="G858">
        <v>3</v>
      </c>
      <c r="H858" t="s">
        <v>38</v>
      </c>
      <c r="I858">
        <v>1198</v>
      </c>
      <c r="J858">
        <v>1</v>
      </c>
      <c r="K858" s="17" t="s">
        <v>46</v>
      </c>
      <c r="L858">
        <v>87</v>
      </c>
      <c r="M858">
        <v>2</v>
      </c>
      <c r="N858">
        <v>1</v>
      </c>
      <c r="O858" s="17" t="s">
        <v>50</v>
      </c>
      <c r="P858" s="14">
        <v>3</v>
      </c>
      <c r="Q858" t="s">
        <v>41</v>
      </c>
      <c r="R858" s="14">
        <v>3033</v>
      </c>
      <c r="S858" s="17" t="str">
        <f t="shared" si="26"/>
        <v>medium</v>
      </c>
      <c r="T858">
        <v>12828</v>
      </c>
      <c r="U858">
        <v>1</v>
      </c>
      <c r="V858" s="17" t="s">
        <v>43</v>
      </c>
      <c r="W858">
        <v>12</v>
      </c>
      <c r="X858">
        <v>3</v>
      </c>
      <c r="Y858">
        <v>1</v>
      </c>
      <c r="Z858">
        <v>0</v>
      </c>
      <c r="AA858">
        <v>2</v>
      </c>
      <c r="AB858">
        <v>2</v>
      </c>
      <c r="AC858">
        <v>2</v>
      </c>
      <c r="AD858" s="14">
        <v>2</v>
      </c>
      <c r="AE858" t="str">
        <f t="shared" si="27"/>
        <v>0-2 years</v>
      </c>
      <c r="AF858" s="14">
        <v>2</v>
      </c>
      <c r="AG858" s="14">
        <v>1</v>
      </c>
      <c r="AH858" s="14">
        <v>2</v>
      </c>
    </row>
    <row r="859" spans="1:34" x14ac:dyDescent="0.3">
      <c r="A859" s="14">
        <v>44</v>
      </c>
      <c r="B859" s="17" t="s">
        <v>35</v>
      </c>
      <c r="C859" t="s">
        <v>36</v>
      </c>
      <c r="D859">
        <v>1097</v>
      </c>
      <c r="E859" s="17" t="s">
        <v>45</v>
      </c>
      <c r="F859">
        <v>10</v>
      </c>
      <c r="G859">
        <v>4</v>
      </c>
      <c r="H859" t="s">
        <v>38</v>
      </c>
      <c r="I859">
        <v>1200</v>
      </c>
      <c r="J859">
        <v>3</v>
      </c>
      <c r="K859" s="17" t="s">
        <v>46</v>
      </c>
      <c r="L859">
        <v>96</v>
      </c>
      <c r="M859">
        <v>3</v>
      </c>
      <c r="N859">
        <v>1</v>
      </c>
      <c r="O859" s="17" t="s">
        <v>47</v>
      </c>
      <c r="P859" s="14">
        <v>3</v>
      </c>
      <c r="Q859" t="s">
        <v>41</v>
      </c>
      <c r="R859" s="14">
        <v>2936</v>
      </c>
      <c r="S859" s="17" t="str">
        <f t="shared" si="26"/>
        <v>low</v>
      </c>
      <c r="T859">
        <v>10826</v>
      </c>
      <c r="U859">
        <v>1</v>
      </c>
      <c r="V859" s="17" t="s">
        <v>35</v>
      </c>
      <c r="W859">
        <v>11</v>
      </c>
      <c r="X859">
        <v>3</v>
      </c>
      <c r="Y859">
        <v>3</v>
      </c>
      <c r="Z859">
        <v>0</v>
      </c>
      <c r="AA859">
        <v>6</v>
      </c>
      <c r="AB859">
        <v>4</v>
      </c>
      <c r="AC859">
        <v>3</v>
      </c>
      <c r="AD859" s="14">
        <v>6</v>
      </c>
      <c r="AE859" t="str">
        <f t="shared" si="27"/>
        <v>6-10 years</v>
      </c>
      <c r="AF859" s="14">
        <v>4</v>
      </c>
      <c r="AG859" s="14">
        <v>0</v>
      </c>
      <c r="AH859" s="14">
        <v>2</v>
      </c>
    </row>
    <row r="860" spans="1:34" x14ac:dyDescent="0.3">
      <c r="A860" s="14">
        <v>53</v>
      </c>
      <c r="B860" s="17" t="s">
        <v>43</v>
      </c>
      <c r="C860" t="s">
        <v>36</v>
      </c>
      <c r="D860">
        <v>1223</v>
      </c>
      <c r="E860" s="17" t="s">
        <v>45</v>
      </c>
      <c r="F860">
        <v>7</v>
      </c>
      <c r="G860">
        <v>2</v>
      </c>
      <c r="H860" t="s">
        <v>51</v>
      </c>
      <c r="I860">
        <v>1201</v>
      </c>
      <c r="J860">
        <v>4</v>
      </c>
      <c r="K860" s="17" t="s">
        <v>39</v>
      </c>
      <c r="L860">
        <v>50</v>
      </c>
      <c r="M860">
        <v>3</v>
      </c>
      <c r="N860">
        <v>5</v>
      </c>
      <c r="O860" s="17" t="s">
        <v>56</v>
      </c>
      <c r="P860" s="14">
        <v>3</v>
      </c>
      <c r="Q860" t="s">
        <v>52</v>
      </c>
      <c r="R860" s="14">
        <v>18606</v>
      </c>
      <c r="S860" s="17" t="str">
        <f t="shared" si="26"/>
        <v>high</v>
      </c>
      <c r="T860">
        <v>18640</v>
      </c>
      <c r="U860">
        <v>3</v>
      </c>
      <c r="V860" s="17" t="s">
        <v>43</v>
      </c>
      <c r="W860">
        <v>18</v>
      </c>
      <c r="X860">
        <v>3</v>
      </c>
      <c r="Y860">
        <v>2</v>
      </c>
      <c r="Z860">
        <v>1</v>
      </c>
      <c r="AA860">
        <v>26</v>
      </c>
      <c r="AB860">
        <v>6</v>
      </c>
      <c r="AC860">
        <v>3</v>
      </c>
      <c r="AD860" s="14">
        <v>7</v>
      </c>
      <c r="AE860" t="str">
        <f t="shared" si="27"/>
        <v>6-10 years</v>
      </c>
      <c r="AF860" s="14">
        <v>7</v>
      </c>
      <c r="AG860" s="14">
        <v>4</v>
      </c>
      <c r="AH860" s="14">
        <v>7</v>
      </c>
    </row>
    <row r="861" spans="1:34" x14ac:dyDescent="0.3">
      <c r="A861" s="14">
        <v>29</v>
      </c>
      <c r="B861" s="17" t="s">
        <v>43</v>
      </c>
      <c r="C861" t="s">
        <v>36</v>
      </c>
      <c r="D861">
        <v>942</v>
      </c>
      <c r="E861" s="17" t="s">
        <v>45</v>
      </c>
      <c r="F861">
        <v>15</v>
      </c>
      <c r="G861">
        <v>1</v>
      </c>
      <c r="H861" t="s">
        <v>38</v>
      </c>
      <c r="I861">
        <v>1202</v>
      </c>
      <c r="J861">
        <v>2</v>
      </c>
      <c r="K861" s="17" t="s">
        <v>39</v>
      </c>
      <c r="L861">
        <v>69</v>
      </c>
      <c r="M861">
        <v>1</v>
      </c>
      <c r="N861">
        <v>1</v>
      </c>
      <c r="O861" s="17" t="s">
        <v>47</v>
      </c>
      <c r="P861" s="14">
        <v>4</v>
      </c>
      <c r="Q861" t="s">
        <v>48</v>
      </c>
      <c r="R861" s="14">
        <v>2168</v>
      </c>
      <c r="S861" s="17" t="str">
        <f t="shared" si="26"/>
        <v>low</v>
      </c>
      <c r="T861">
        <v>26933</v>
      </c>
      <c r="U861">
        <v>0</v>
      </c>
      <c r="V861" s="17" t="s">
        <v>35</v>
      </c>
      <c r="W861">
        <v>18</v>
      </c>
      <c r="X861">
        <v>3</v>
      </c>
      <c r="Y861">
        <v>1</v>
      </c>
      <c r="Z861">
        <v>1</v>
      </c>
      <c r="AA861">
        <v>6</v>
      </c>
      <c r="AB861">
        <v>2</v>
      </c>
      <c r="AC861">
        <v>2</v>
      </c>
      <c r="AD861" s="14">
        <v>5</v>
      </c>
      <c r="AE861" t="str">
        <f t="shared" si="27"/>
        <v>3-5 years</v>
      </c>
      <c r="AF861" s="14">
        <v>4</v>
      </c>
      <c r="AG861" s="14">
        <v>1</v>
      </c>
      <c r="AH861" s="14">
        <v>3</v>
      </c>
    </row>
    <row r="862" spans="1:34" x14ac:dyDescent="0.3">
      <c r="A862" s="14">
        <v>22</v>
      </c>
      <c r="B862" s="17" t="s">
        <v>35</v>
      </c>
      <c r="C862" t="s">
        <v>44</v>
      </c>
      <c r="D862">
        <v>1256</v>
      </c>
      <c r="E862" s="17" t="s">
        <v>45</v>
      </c>
      <c r="F862">
        <v>3</v>
      </c>
      <c r="G862">
        <v>4</v>
      </c>
      <c r="H862" t="s">
        <v>38</v>
      </c>
      <c r="I862">
        <v>1203</v>
      </c>
      <c r="J862">
        <v>3</v>
      </c>
      <c r="K862" s="17" t="s">
        <v>46</v>
      </c>
      <c r="L862">
        <v>48</v>
      </c>
      <c r="M862">
        <v>2</v>
      </c>
      <c r="N862">
        <v>1</v>
      </c>
      <c r="O862" s="17" t="s">
        <v>47</v>
      </c>
      <c r="P862" s="14">
        <v>4</v>
      </c>
      <c r="Q862" t="s">
        <v>48</v>
      </c>
      <c r="R862" s="14">
        <v>2853</v>
      </c>
      <c r="S862" s="17" t="str">
        <f t="shared" si="26"/>
        <v>low</v>
      </c>
      <c r="T862">
        <v>4223</v>
      </c>
      <c r="U862">
        <v>0</v>
      </c>
      <c r="V862" s="17" t="s">
        <v>35</v>
      </c>
      <c r="W862">
        <v>11</v>
      </c>
      <c r="X862">
        <v>3</v>
      </c>
      <c r="Y862">
        <v>2</v>
      </c>
      <c r="Z862">
        <v>1</v>
      </c>
      <c r="AA862">
        <v>1</v>
      </c>
      <c r="AB862">
        <v>5</v>
      </c>
      <c r="AC862">
        <v>3</v>
      </c>
      <c r="AD862" s="14">
        <v>0</v>
      </c>
      <c r="AE862" t="str">
        <f t="shared" si="27"/>
        <v>0-2 years</v>
      </c>
      <c r="AF862" s="14">
        <v>0</v>
      </c>
      <c r="AG862" s="14">
        <v>0</v>
      </c>
      <c r="AH862" s="14">
        <v>0</v>
      </c>
    </row>
    <row r="863" spans="1:34" x14ac:dyDescent="0.3">
      <c r="A863" s="14">
        <v>46</v>
      </c>
      <c r="B863" s="17" t="s">
        <v>43</v>
      </c>
      <c r="C863" t="s">
        <v>36</v>
      </c>
      <c r="D863">
        <v>1402</v>
      </c>
      <c r="E863" s="17" t="s">
        <v>37</v>
      </c>
      <c r="F863">
        <v>2</v>
      </c>
      <c r="G863">
        <v>3</v>
      </c>
      <c r="H863" t="s">
        <v>59</v>
      </c>
      <c r="I863">
        <v>1204</v>
      </c>
      <c r="J863">
        <v>3</v>
      </c>
      <c r="K863" s="17" t="s">
        <v>39</v>
      </c>
      <c r="L863">
        <v>69</v>
      </c>
      <c r="M863">
        <v>3</v>
      </c>
      <c r="N863">
        <v>4</v>
      </c>
      <c r="O863" s="17" t="s">
        <v>56</v>
      </c>
      <c r="P863" s="14">
        <v>1</v>
      </c>
      <c r="Q863" t="s">
        <v>48</v>
      </c>
      <c r="R863" s="14">
        <v>17048</v>
      </c>
      <c r="S863" s="17" t="str">
        <f t="shared" si="26"/>
        <v>high</v>
      </c>
      <c r="T863">
        <v>24097</v>
      </c>
      <c r="U863">
        <v>8</v>
      </c>
      <c r="V863" s="17" t="s">
        <v>43</v>
      </c>
      <c r="W863">
        <v>23</v>
      </c>
      <c r="X863">
        <v>4</v>
      </c>
      <c r="Y863">
        <v>1</v>
      </c>
      <c r="Z863">
        <v>0</v>
      </c>
      <c r="AA863">
        <v>28</v>
      </c>
      <c r="AB863">
        <v>2</v>
      </c>
      <c r="AC863">
        <v>3</v>
      </c>
      <c r="AD863" s="14">
        <v>26</v>
      </c>
      <c r="AE863" t="str">
        <f t="shared" si="27"/>
        <v>10+ years</v>
      </c>
      <c r="AF863" s="14">
        <v>15</v>
      </c>
      <c r="AG863" s="14">
        <v>15</v>
      </c>
      <c r="AH863" s="14">
        <v>9</v>
      </c>
    </row>
    <row r="864" spans="1:34" x14ac:dyDescent="0.3">
      <c r="A864" s="14">
        <v>44</v>
      </c>
      <c r="B864" s="17" t="s">
        <v>43</v>
      </c>
      <c r="C864" t="s">
        <v>55</v>
      </c>
      <c r="D864">
        <v>111</v>
      </c>
      <c r="E864" s="17" t="s">
        <v>45</v>
      </c>
      <c r="F864">
        <v>17</v>
      </c>
      <c r="G864">
        <v>3</v>
      </c>
      <c r="H864" t="s">
        <v>38</v>
      </c>
      <c r="I864">
        <v>1206</v>
      </c>
      <c r="J864">
        <v>4</v>
      </c>
      <c r="K864" s="17" t="s">
        <v>46</v>
      </c>
      <c r="L864">
        <v>74</v>
      </c>
      <c r="M864">
        <v>1</v>
      </c>
      <c r="N864">
        <v>1</v>
      </c>
      <c r="O864" s="17" t="s">
        <v>47</v>
      </c>
      <c r="P864" s="14">
        <v>3</v>
      </c>
      <c r="Q864" t="s">
        <v>41</v>
      </c>
      <c r="R864" s="14">
        <v>2290</v>
      </c>
      <c r="S864" s="17" t="str">
        <f t="shared" si="26"/>
        <v>low</v>
      </c>
      <c r="T864">
        <v>4279</v>
      </c>
      <c r="U864">
        <v>2</v>
      </c>
      <c r="V864" s="17" t="s">
        <v>43</v>
      </c>
      <c r="W864">
        <v>13</v>
      </c>
      <c r="X864">
        <v>3</v>
      </c>
      <c r="Y864">
        <v>4</v>
      </c>
      <c r="Z864">
        <v>0</v>
      </c>
      <c r="AA864">
        <v>6</v>
      </c>
      <c r="AB864">
        <v>3</v>
      </c>
      <c r="AC864">
        <v>3</v>
      </c>
      <c r="AD864" s="14">
        <v>0</v>
      </c>
      <c r="AE864" t="str">
        <f t="shared" si="27"/>
        <v>0-2 years</v>
      </c>
      <c r="AF864" s="14">
        <v>0</v>
      </c>
      <c r="AG864" s="14">
        <v>0</v>
      </c>
      <c r="AH864" s="14">
        <v>0</v>
      </c>
    </row>
    <row r="865" spans="1:34" x14ac:dyDescent="0.3">
      <c r="A865" s="14">
        <v>33</v>
      </c>
      <c r="B865" s="17" t="s">
        <v>43</v>
      </c>
      <c r="C865" t="s">
        <v>36</v>
      </c>
      <c r="D865">
        <v>147</v>
      </c>
      <c r="E865" s="17" t="s">
        <v>61</v>
      </c>
      <c r="F865">
        <v>2</v>
      </c>
      <c r="G865">
        <v>3</v>
      </c>
      <c r="H865" t="s">
        <v>61</v>
      </c>
      <c r="I865">
        <v>1207</v>
      </c>
      <c r="J865">
        <v>2</v>
      </c>
      <c r="K865" s="17" t="s">
        <v>46</v>
      </c>
      <c r="L865">
        <v>99</v>
      </c>
      <c r="M865">
        <v>3</v>
      </c>
      <c r="N865">
        <v>1</v>
      </c>
      <c r="O865" s="17" t="s">
        <v>61</v>
      </c>
      <c r="P865" s="14">
        <v>3</v>
      </c>
      <c r="Q865" t="s">
        <v>48</v>
      </c>
      <c r="R865" s="14">
        <v>3600</v>
      </c>
      <c r="S865" s="17" t="str">
        <f t="shared" si="26"/>
        <v>medium</v>
      </c>
      <c r="T865">
        <v>8429</v>
      </c>
      <c r="U865">
        <v>1</v>
      </c>
      <c r="V865" s="17" t="s">
        <v>43</v>
      </c>
      <c r="W865">
        <v>13</v>
      </c>
      <c r="X865">
        <v>3</v>
      </c>
      <c r="Y865">
        <v>4</v>
      </c>
      <c r="Z865">
        <v>1</v>
      </c>
      <c r="AA865">
        <v>5</v>
      </c>
      <c r="AB865">
        <v>2</v>
      </c>
      <c r="AC865">
        <v>3</v>
      </c>
      <c r="AD865" s="14">
        <v>5</v>
      </c>
      <c r="AE865" t="str">
        <f t="shared" si="27"/>
        <v>3-5 years</v>
      </c>
      <c r="AF865" s="14">
        <v>4</v>
      </c>
      <c r="AG865" s="14">
        <v>1</v>
      </c>
      <c r="AH865" s="14">
        <v>4</v>
      </c>
    </row>
    <row r="866" spans="1:34" x14ac:dyDescent="0.3">
      <c r="A866" s="14">
        <v>41</v>
      </c>
      <c r="B866" s="17" t="s">
        <v>35</v>
      </c>
      <c r="C866" t="s">
        <v>55</v>
      </c>
      <c r="D866">
        <v>906</v>
      </c>
      <c r="E866" s="17" t="s">
        <v>45</v>
      </c>
      <c r="F866">
        <v>5</v>
      </c>
      <c r="G866">
        <v>2</v>
      </c>
      <c r="H866" t="s">
        <v>38</v>
      </c>
      <c r="I866">
        <v>1210</v>
      </c>
      <c r="J866">
        <v>1</v>
      </c>
      <c r="K866" s="17" t="s">
        <v>46</v>
      </c>
      <c r="L866">
        <v>95</v>
      </c>
      <c r="M866">
        <v>2</v>
      </c>
      <c r="N866">
        <v>1</v>
      </c>
      <c r="O866" s="17" t="s">
        <v>47</v>
      </c>
      <c r="P866" s="14">
        <v>1</v>
      </c>
      <c r="Q866" t="s">
        <v>52</v>
      </c>
      <c r="R866" s="14">
        <v>2107</v>
      </c>
      <c r="S866" s="17" t="str">
        <f t="shared" si="26"/>
        <v>low</v>
      </c>
      <c r="T866">
        <v>20293</v>
      </c>
      <c r="U866">
        <v>6</v>
      </c>
      <c r="V866" s="17" t="s">
        <v>43</v>
      </c>
      <c r="W866">
        <v>17</v>
      </c>
      <c r="X866">
        <v>3</v>
      </c>
      <c r="Y866">
        <v>1</v>
      </c>
      <c r="Z866">
        <v>1</v>
      </c>
      <c r="AA866">
        <v>5</v>
      </c>
      <c r="AB866">
        <v>2</v>
      </c>
      <c r="AC866">
        <v>1</v>
      </c>
      <c r="AD866" s="14">
        <v>1</v>
      </c>
      <c r="AE866" t="str">
        <f t="shared" si="27"/>
        <v>0-2 years</v>
      </c>
      <c r="AF866" s="14">
        <v>0</v>
      </c>
      <c r="AG866" s="14">
        <v>0</v>
      </c>
      <c r="AH866" s="14">
        <v>0</v>
      </c>
    </row>
    <row r="867" spans="1:34" x14ac:dyDescent="0.3">
      <c r="A867" s="14">
        <v>30</v>
      </c>
      <c r="B867" s="17" t="s">
        <v>43</v>
      </c>
      <c r="C867" t="s">
        <v>36</v>
      </c>
      <c r="D867">
        <v>1329</v>
      </c>
      <c r="E867" s="17" t="s">
        <v>37</v>
      </c>
      <c r="F867">
        <v>29</v>
      </c>
      <c r="G867">
        <v>4</v>
      </c>
      <c r="H867" t="s">
        <v>38</v>
      </c>
      <c r="I867">
        <v>1211</v>
      </c>
      <c r="J867">
        <v>3</v>
      </c>
      <c r="K867" s="17" t="s">
        <v>46</v>
      </c>
      <c r="L867">
        <v>61</v>
      </c>
      <c r="M867">
        <v>3</v>
      </c>
      <c r="N867">
        <v>2</v>
      </c>
      <c r="O867" s="17" t="s">
        <v>40</v>
      </c>
      <c r="P867" s="14">
        <v>1</v>
      </c>
      <c r="Q867" t="s">
        <v>52</v>
      </c>
      <c r="R867" s="14">
        <v>4115</v>
      </c>
      <c r="S867" s="17" t="str">
        <f t="shared" si="26"/>
        <v>medium</v>
      </c>
      <c r="T867">
        <v>13192</v>
      </c>
      <c r="U867">
        <v>8</v>
      </c>
      <c r="V867" s="17" t="s">
        <v>43</v>
      </c>
      <c r="W867">
        <v>19</v>
      </c>
      <c r="X867">
        <v>3</v>
      </c>
      <c r="Y867">
        <v>3</v>
      </c>
      <c r="Z867">
        <v>3</v>
      </c>
      <c r="AA867">
        <v>8</v>
      </c>
      <c r="AB867">
        <v>3</v>
      </c>
      <c r="AC867">
        <v>3</v>
      </c>
      <c r="AD867" s="14">
        <v>4</v>
      </c>
      <c r="AE867" t="str">
        <f t="shared" si="27"/>
        <v>3-5 years</v>
      </c>
      <c r="AF867" s="14">
        <v>3</v>
      </c>
      <c r="AG867" s="14">
        <v>0</v>
      </c>
      <c r="AH867" s="14">
        <v>3</v>
      </c>
    </row>
    <row r="868" spans="1:34" x14ac:dyDescent="0.3">
      <c r="A868" s="14">
        <v>40</v>
      </c>
      <c r="B868" s="17" t="s">
        <v>43</v>
      </c>
      <c r="C868" t="s">
        <v>44</v>
      </c>
      <c r="D868">
        <v>1184</v>
      </c>
      <c r="E868" s="17" t="s">
        <v>37</v>
      </c>
      <c r="F868">
        <v>2</v>
      </c>
      <c r="G868">
        <v>4</v>
      </c>
      <c r="H868" t="s">
        <v>51</v>
      </c>
      <c r="I868">
        <v>1212</v>
      </c>
      <c r="J868">
        <v>2</v>
      </c>
      <c r="K868" s="17" t="s">
        <v>46</v>
      </c>
      <c r="L868">
        <v>62</v>
      </c>
      <c r="M868">
        <v>3</v>
      </c>
      <c r="N868">
        <v>2</v>
      </c>
      <c r="O868" s="17" t="s">
        <v>40</v>
      </c>
      <c r="P868" s="14">
        <v>2</v>
      </c>
      <c r="Q868" t="s">
        <v>48</v>
      </c>
      <c r="R868" s="14">
        <v>4327</v>
      </c>
      <c r="S868" s="17" t="str">
        <f t="shared" si="26"/>
        <v>medium</v>
      </c>
      <c r="T868">
        <v>25440</v>
      </c>
      <c r="U868">
        <v>5</v>
      </c>
      <c r="V868" s="17" t="s">
        <v>43</v>
      </c>
      <c r="W868">
        <v>12</v>
      </c>
      <c r="X868">
        <v>3</v>
      </c>
      <c r="Y868">
        <v>4</v>
      </c>
      <c r="Z868">
        <v>3</v>
      </c>
      <c r="AA868">
        <v>5</v>
      </c>
      <c r="AB868">
        <v>2</v>
      </c>
      <c r="AC868">
        <v>3</v>
      </c>
      <c r="AD868" s="14">
        <v>0</v>
      </c>
      <c r="AE868" t="str">
        <f t="shared" si="27"/>
        <v>0-2 years</v>
      </c>
      <c r="AF868" s="14">
        <v>0</v>
      </c>
      <c r="AG868" s="14">
        <v>0</v>
      </c>
      <c r="AH868" s="14">
        <v>0</v>
      </c>
    </row>
    <row r="869" spans="1:34" x14ac:dyDescent="0.3">
      <c r="A869" s="14">
        <v>50</v>
      </c>
      <c r="B869" s="17" t="s">
        <v>43</v>
      </c>
      <c r="C869" t="s">
        <v>44</v>
      </c>
      <c r="D869">
        <v>1421</v>
      </c>
      <c r="E869" s="17" t="s">
        <v>45</v>
      </c>
      <c r="F869">
        <v>2</v>
      </c>
      <c r="G869">
        <v>3</v>
      </c>
      <c r="H869" t="s">
        <v>51</v>
      </c>
      <c r="I869">
        <v>1215</v>
      </c>
      <c r="J869">
        <v>4</v>
      </c>
      <c r="K869" s="17" t="s">
        <v>39</v>
      </c>
      <c r="L869">
        <v>30</v>
      </c>
      <c r="M869">
        <v>3</v>
      </c>
      <c r="N869">
        <v>4</v>
      </c>
      <c r="O869" s="17" t="s">
        <v>56</v>
      </c>
      <c r="P869" s="14">
        <v>1</v>
      </c>
      <c r="Q869" t="s">
        <v>48</v>
      </c>
      <c r="R869" s="14">
        <v>17856</v>
      </c>
      <c r="S869" s="17" t="str">
        <f t="shared" si="26"/>
        <v>high</v>
      </c>
      <c r="T869">
        <v>9490</v>
      </c>
      <c r="U869">
        <v>2</v>
      </c>
      <c r="V869" s="17" t="s">
        <v>43</v>
      </c>
      <c r="W869">
        <v>22</v>
      </c>
      <c r="X869">
        <v>4</v>
      </c>
      <c r="Y869">
        <v>3</v>
      </c>
      <c r="Z869">
        <v>1</v>
      </c>
      <c r="AA869">
        <v>32</v>
      </c>
      <c r="AB869">
        <v>3</v>
      </c>
      <c r="AC869">
        <v>3</v>
      </c>
      <c r="AD869" s="14">
        <v>2</v>
      </c>
      <c r="AE869" t="str">
        <f t="shared" si="27"/>
        <v>0-2 years</v>
      </c>
      <c r="AF869" s="14">
        <v>2</v>
      </c>
      <c r="AG869" s="14">
        <v>2</v>
      </c>
      <c r="AH869" s="14">
        <v>2</v>
      </c>
    </row>
    <row r="870" spans="1:34" x14ac:dyDescent="0.3">
      <c r="A870" s="14">
        <v>28</v>
      </c>
      <c r="B870" s="17" t="s">
        <v>43</v>
      </c>
      <c r="C870" t="s">
        <v>36</v>
      </c>
      <c r="D870">
        <v>1179</v>
      </c>
      <c r="E870" s="17" t="s">
        <v>45</v>
      </c>
      <c r="F870">
        <v>19</v>
      </c>
      <c r="G870">
        <v>4</v>
      </c>
      <c r="H870" t="s">
        <v>51</v>
      </c>
      <c r="I870">
        <v>1216</v>
      </c>
      <c r="J870">
        <v>4</v>
      </c>
      <c r="K870" s="17" t="s">
        <v>46</v>
      </c>
      <c r="L870">
        <v>78</v>
      </c>
      <c r="M870">
        <v>2</v>
      </c>
      <c r="N870">
        <v>1</v>
      </c>
      <c r="O870" s="17" t="s">
        <v>50</v>
      </c>
      <c r="P870" s="14">
        <v>1</v>
      </c>
      <c r="Q870" t="s">
        <v>48</v>
      </c>
      <c r="R870" s="14">
        <v>3196</v>
      </c>
      <c r="S870" s="17" t="str">
        <f t="shared" si="26"/>
        <v>medium</v>
      </c>
      <c r="T870">
        <v>12449</v>
      </c>
      <c r="U870">
        <v>1</v>
      </c>
      <c r="V870" s="17" t="s">
        <v>43</v>
      </c>
      <c r="W870">
        <v>12</v>
      </c>
      <c r="X870">
        <v>3</v>
      </c>
      <c r="Y870">
        <v>3</v>
      </c>
      <c r="Z870">
        <v>3</v>
      </c>
      <c r="AA870">
        <v>6</v>
      </c>
      <c r="AB870">
        <v>2</v>
      </c>
      <c r="AC870">
        <v>3</v>
      </c>
      <c r="AD870" s="14">
        <v>6</v>
      </c>
      <c r="AE870" t="str">
        <f t="shared" si="27"/>
        <v>6-10 years</v>
      </c>
      <c r="AF870" s="14">
        <v>5</v>
      </c>
      <c r="AG870" s="14">
        <v>3</v>
      </c>
      <c r="AH870" s="14">
        <v>3</v>
      </c>
    </row>
    <row r="871" spans="1:34" x14ac:dyDescent="0.3">
      <c r="A871" s="14">
        <v>46</v>
      </c>
      <c r="B871" s="17" t="s">
        <v>43</v>
      </c>
      <c r="C871" t="s">
        <v>36</v>
      </c>
      <c r="D871">
        <v>1450</v>
      </c>
      <c r="E871" s="17" t="s">
        <v>45</v>
      </c>
      <c r="F871">
        <v>15</v>
      </c>
      <c r="G871">
        <v>2</v>
      </c>
      <c r="H871" t="s">
        <v>38</v>
      </c>
      <c r="I871">
        <v>1217</v>
      </c>
      <c r="J871">
        <v>4</v>
      </c>
      <c r="K871" s="17" t="s">
        <v>46</v>
      </c>
      <c r="L871">
        <v>52</v>
      </c>
      <c r="M871">
        <v>3</v>
      </c>
      <c r="N871">
        <v>5</v>
      </c>
      <c r="O871" s="17" t="s">
        <v>58</v>
      </c>
      <c r="P871" s="14">
        <v>2</v>
      </c>
      <c r="Q871" t="s">
        <v>48</v>
      </c>
      <c r="R871" s="14">
        <v>19081</v>
      </c>
      <c r="S871" s="17" t="str">
        <f t="shared" si="26"/>
        <v>high</v>
      </c>
      <c r="T871">
        <v>10849</v>
      </c>
      <c r="U871">
        <v>5</v>
      </c>
      <c r="V871" s="17" t="s">
        <v>43</v>
      </c>
      <c r="W871">
        <v>11</v>
      </c>
      <c r="X871">
        <v>3</v>
      </c>
      <c r="Y871">
        <v>1</v>
      </c>
      <c r="Z871">
        <v>1</v>
      </c>
      <c r="AA871">
        <v>25</v>
      </c>
      <c r="AB871">
        <v>2</v>
      </c>
      <c r="AC871">
        <v>3</v>
      </c>
      <c r="AD871" s="14">
        <v>4</v>
      </c>
      <c r="AE871" t="str">
        <f t="shared" si="27"/>
        <v>3-5 years</v>
      </c>
      <c r="AF871" s="14">
        <v>2</v>
      </c>
      <c r="AG871" s="14">
        <v>0</v>
      </c>
      <c r="AH871" s="14">
        <v>3</v>
      </c>
    </row>
    <row r="872" spans="1:34" x14ac:dyDescent="0.3">
      <c r="A872" s="14">
        <v>35</v>
      </c>
      <c r="B872" s="17" t="s">
        <v>43</v>
      </c>
      <c r="C872" t="s">
        <v>36</v>
      </c>
      <c r="D872">
        <v>1361</v>
      </c>
      <c r="E872" s="17" t="s">
        <v>37</v>
      </c>
      <c r="F872">
        <v>17</v>
      </c>
      <c r="G872">
        <v>4</v>
      </c>
      <c r="H872" t="s">
        <v>38</v>
      </c>
      <c r="I872">
        <v>1218</v>
      </c>
      <c r="J872">
        <v>3</v>
      </c>
      <c r="K872" s="17" t="s">
        <v>46</v>
      </c>
      <c r="L872">
        <v>94</v>
      </c>
      <c r="M872">
        <v>3</v>
      </c>
      <c r="N872">
        <v>2</v>
      </c>
      <c r="O872" s="17" t="s">
        <v>40</v>
      </c>
      <c r="P872" s="14">
        <v>1</v>
      </c>
      <c r="Q872" t="s">
        <v>48</v>
      </c>
      <c r="R872" s="14">
        <v>8966</v>
      </c>
      <c r="S872" s="17" t="str">
        <f t="shared" si="26"/>
        <v>high</v>
      </c>
      <c r="T872">
        <v>21026</v>
      </c>
      <c r="U872">
        <v>3</v>
      </c>
      <c r="V872" s="17" t="s">
        <v>35</v>
      </c>
      <c r="W872">
        <v>15</v>
      </c>
      <c r="X872">
        <v>3</v>
      </c>
      <c r="Y872">
        <v>4</v>
      </c>
      <c r="Z872">
        <v>3</v>
      </c>
      <c r="AA872">
        <v>15</v>
      </c>
      <c r="AB872">
        <v>2</v>
      </c>
      <c r="AC872">
        <v>3</v>
      </c>
      <c r="AD872" s="14">
        <v>7</v>
      </c>
      <c r="AE872" t="str">
        <f t="shared" si="27"/>
        <v>6-10 years</v>
      </c>
      <c r="AF872" s="14">
        <v>7</v>
      </c>
      <c r="AG872" s="14">
        <v>1</v>
      </c>
      <c r="AH872" s="14">
        <v>7</v>
      </c>
    </row>
    <row r="873" spans="1:34" x14ac:dyDescent="0.3">
      <c r="A873" s="14">
        <v>24</v>
      </c>
      <c r="B873" s="17" t="s">
        <v>35</v>
      </c>
      <c r="C873" t="s">
        <v>36</v>
      </c>
      <c r="D873">
        <v>984</v>
      </c>
      <c r="E873" s="17" t="s">
        <v>45</v>
      </c>
      <c r="F873">
        <v>17</v>
      </c>
      <c r="G873">
        <v>2</v>
      </c>
      <c r="H873" t="s">
        <v>38</v>
      </c>
      <c r="I873">
        <v>1219</v>
      </c>
      <c r="J873">
        <v>4</v>
      </c>
      <c r="K873" s="17" t="s">
        <v>39</v>
      </c>
      <c r="L873">
        <v>97</v>
      </c>
      <c r="M873">
        <v>3</v>
      </c>
      <c r="N873">
        <v>1</v>
      </c>
      <c r="O873" s="17" t="s">
        <v>50</v>
      </c>
      <c r="P873" s="14">
        <v>2</v>
      </c>
      <c r="Q873" t="s">
        <v>48</v>
      </c>
      <c r="R873" s="14">
        <v>2210</v>
      </c>
      <c r="S873" s="17" t="str">
        <f t="shared" si="26"/>
        <v>low</v>
      </c>
      <c r="T873">
        <v>3372</v>
      </c>
      <c r="U873">
        <v>1</v>
      </c>
      <c r="V873" s="17" t="s">
        <v>43</v>
      </c>
      <c r="W873">
        <v>13</v>
      </c>
      <c r="X873">
        <v>3</v>
      </c>
      <c r="Y873">
        <v>1</v>
      </c>
      <c r="Z873">
        <v>1</v>
      </c>
      <c r="AA873">
        <v>1</v>
      </c>
      <c r="AB873">
        <v>3</v>
      </c>
      <c r="AC873">
        <v>1</v>
      </c>
      <c r="AD873" s="14">
        <v>1</v>
      </c>
      <c r="AE873" t="str">
        <f t="shared" si="27"/>
        <v>0-2 years</v>
      </c>
      <c r="AF873" s="14">
        <v>0</v>
      </c>
      <c r="AG873" s="14">
        <v>0</v>
      </c>
      <c r="AH873" s="14">
        <v>0</v>
      </c>
    </row>
    <row r="874" spans="1:34" x14ac:dyDescent="0.3">
      <c r="A874" s="14">
        <v>33</v>
      </c>
      <c r="B874" s="17" t="s">
        <v>43</v>
      </c>
      <c r="C874" t="s">
        <v>44</v>
      </c>
      <c r="D874">
        <v>1146</v>
      </c>
      <c r="E874" s="17" t="s">
        <v>37</v>
      </c>
      <c r="F874">
        <v>25</v>
      </c>
      <c r="G874">
        <v>3</v>
      </c>
      <c r="H874" t="s">
        <v>51</v>
      </c>
      <c r="I874">
        <v>1220</v>
      </c>
      <c r="J874">
        <v>2</v>
      </c>
      <c r="K874" s="17" t="s">
        <v>39</v>
      </c>
      <c r="L874">
        <v>82</v>
      </c>
      <c r="M874">
        <v>3</v>
      </c>
      <c r="N874">
        <v>2</v>
      </c>
      <c r="O874" s="17" t="s">
        <v>40</v>
      </c>
      <c r="P874" s="14">
        <v>3</v>
      </c>
      <c r="Q874" t="s">
        <v>48</v>
      </c>
      <c r="R874" s="14">
        <v>4539</v>
      </c>
      <c r="S874" s="17" t="str">
        <f t="shared" si="26"/>
        <v>medium</v>
      </c>
      <c r="T874">
        <v>4905</v>
      </c>
      <c r="U874">
        <v>1</v>
      </c>
      <c r="V874" s="17" t="s">
        <v>43</v>
      </c>
      <c r="W874">
        <v>12</v>
      </c>
      <c r="X874">
        <v>3</v>
      </c>
      <c r="Y874">
        <v>1</v>
      </c>
      <c r="Z874">
        <v>1</v>
      </c>
      <c r="AA874">
        <v>10</v>
      </c>
      <c r="AB874">
        <v>3</v>
      </c>
      <c r="AC874">
        <v>2</v>
      </c>
      <c r="AD874" s="14">
        <v>10</v>
      </c>
      <c r="AE874" t="str">
        <f t="shared" si="27"/>
        <v>6-10 years</v>
      </c>
      <c r="AF874" s="14">
        <v>7</v>
      </c>
      <c r="AG874" s="14">
        <v>0</v>
      </c>
      <c r="AH874" s="14">
        <v>1</v>
      </c>
    </row>
    <row r="875" spans="1:34" x14ac:dyDescent="0.3">
      <c r="A875" s="14">
        <v>36</v>
      </c>
      <c r="B875" s="17" t="s">
        <v>43</v>
      </c>
      <c r="C875" t="s">
        <v>36</v>
      </c>
      <c r="D875">
        <v>917</v>
      </c>
      <c r="E875" s="17" t="s">
        <v>45</v>
      </c>
      <c r="F875">
        <v>6</v>
      </c>
      <c r="G875">
        <v>4</v>
      </c>
      <c r="H875" t="s">
        <v>38</v>
      </c>
      <c r="I875">
        <v>1221</v>
      </c>
      <c r="J875">
        <v>3</v>
      </c>
      <c r="K875" s="17" t="s">
        <v>46</v>
      </c>
      <c r="L875">
        <v>60</v>
      </c>
      <c r="M875">
        <v>1</v>
      </c>
      <c r="N875">
        <v>1</v>
      </c>
      <c r="O875" s="17" t="s">
        <v>50</v>
      </c>
      <c r="P875" s="14">
        <v>3</v>
      </c>
      <c r="Q875" t="s">
        <v>52</v>
      </c>
      <c r="R875" s="14">
        <v>2741</v>
      </c>
      <c r="S875" s="17" t="str">
        <f t="shared" si="26"/>
        <v>low</v>
      </c>
      <c r="T875">
        <v>6865</v>
      </c>
      <c r="U875">
        <v>1</v>
      </c>
      <c r="V875" s="17" t="s">
        <v>43</v>
      </c>
      <c r="W875">
        <v>14</v>
      </c>
      <c r="X875">
        <v>3</v>
      </c>
      <c r="Y875">
        <v>3</v>
      </c>
      <c r="Z875">
        <v>1</v>
      </c>
      <c r="AA875">
        <v>7</v>
      </c>
      <c r="AB875">
        <v>4</v>
      </c>
      <c r="AC875">
        <v>3</v>
      </c>
      <c r="AD875" s="14">
        <v>7</v>
      </c>
      <c r="AE875" t="str">
        <f t="shared" si="27"/>
        <v>6-10 years</v>
      </c>
      <c r="AF875" s="14">
        <v>7</v>
      </c>
      <c r="AG875" s="14">
        <v>1</v>
      </c>
      <c r="AH875" s="14">
        <v>7</v>
      </c>
    </row>
    <row r="876" spans="1:34" x14ac:dyDescent="0.3">
      <c r="A876" s="14">
        <v>30</v>
      </c>
      <c r="B876" s="17" t="s">
        <v>43</v>
      </c>
      <c r="C876" t="s">
        <v>36</v>
      </c>
      <c r="D876">
        <v>853</v>
      </c>
      <c r="E876" s="17" t="s">
        <v>45</v>
      </c>
      <c r="F876">
        <v>7</v>
      </c>
      <c r="G876">
        <v>4</v>
      </c>
      <c r="H876" t="s">
        <v>38</v>
      </c>
      <c r="I876">
        <v>1224</v>
      </c>
      <c r="J876">
        <v>3</v>
      </c>
      <c r="K876" s="17" t="s">
        <v>46</v>
      </c>
      <c r="L876">
        <v>49</v>
      </c>
      <c r="M876">
        <v>3</v>
      </c>
      <c r="N876">
        <v>2</v>
      </c>
      <c r="O876" s="17" t="s">
        <v>50</v>
      </c>
      <c r="P876" s="14">
        <v>3</v>
      </c>
      <c r="Q876" t="s">
        <v>52</v>
      </c>
      <c r="R876" s="14">
        <v>3491</v>
      </c>
      <c r="S876" s="17" t="str">
        <f t="shared" si="26"/>
        <v>medium</v>
      </c>
      <c r="T876">
        <v>11309</v>
      </c>
      <c r="U876">
        <v>1</v>
      </c>
      <c r="V876" s="17" t="s">
        <v>43</v>
      </c>
      <c r="W876">
        <v>13</v>
      </c>
      <c r="X876">
        <v>3</v>
      </c>
      <c r="Y876">
        <v>1</v>
      </c>
      <c r="Z876">
        <v>3</v>
      </c>
      <c r="AA876">
        <v>10</v>
      </c>
      <c r="AB876">
        <v>4</v>
      </c>
      <c r="AC876">
        <v>2</v>
      </c>
      <c r="AD876" s="14">
        <v>10</v>
      </c>
      <c r="AE876" t="str">
        <f t="shared" si="27"/>
        <v>6-10 years</v>
      </c>
      <c r="AF876" s="14">
        <v>7</v>
      </c>
      <c r="AG876" s="14">
        <v>8</v>
      </c>
      <c r="AH876" s="14">
        <v>9</v>
      </c>
    </row>
    <row r="877" spans="1:34" x14ac:dyDescent="0.3">
      <c r="A877" s="14">
        <v>44</v>
      </c>
      <c r="B877" s="17" t="s">
        <v>43</v>
      </c>
      <c r="C877" t="s">
        <v>36</v>
      </c>
      <c r="D877">
        <v>200</v>
      </c>
      <c r="E877" s="17" t="s">
        <v>45</v>
      </c>
      <c r="F877">
        <v>29</v>
      </c>
      <c r="G877">
        <v>4</v>
      </c>
      <c r="H877" t="s">
        <v>49</v>
      </c>
      <c r="I877">
        <v>1225</v>
      </c>
      <c r="J877">
        <v>4</v>
      </c>
      <c r="K877" s="17" t="s">
        <v>46</v>
      </c>
      <c r="L877">
        <v>32</v>
      </c>
      <c r="M877">
        <v>3</v>
      </c>
      <c r="N877">
        <v>2</v>
      </c>
      <c r="O877" s="17" t="s">
        <v>47</v>
      </c>
      <c r="P877" s="14">
        <v>4</v>
      </c>
      <c r="Q877" t="s">
        <v>41</v>
      </c>
      <c r="R877" s="14">
        <v>4541</v>
      </c>
      <c r="S877" s="17" t="str">
        <f t="shared" si="26"/>
        <v>medium</v>
      </c>
      <c r="T877">
        <v>7744</v>
      </c>
      <c r="U877">
        <v>1</v>
      </c>
      <c r="V877" s="17" t="s">
        <v>43</v>
      </c>
      <c r="W877">
        <v>25</v>
      </c>
      <c r="X877">
        <v>4</v>
      </c>
      <c r="Y877">
        <v>2</v>
      </c>
      <c r="Z877">
        <v>0</v>
      </c>
      <c r="AA877">
        <v>20</v>
      </c>
      <c r="AB877">
        <v>3</v>
      </c>
      <c r="AC877">
        <v>3</v>
      </c>
      <c r="AD877" s="14">
        <v>20</v>
      </c>
      <c r="AE877" t="str">
        <f t="shared" si="27"/>
        <v>10+ years</v>
      </c>
      <c r="AF877" s="14">
        <v>11</v>
      </c>
      <c r="AG877" s="14">
        <v>13</v>
      </c>
      <c r="AH877" s="14">
        <v>17</v>
      </c>
    </row>
    <row r="878" spans="1:34" x14ac:dyDescent="0.3">
      <c r="A878" s="14">
        <v>20</v>
      </c>
      <c r="B878" s="17" t="s">
        <v>43</v>
      </c>
      <c r="C878" t="s">
        <v>36</v>
      </c>
      <c r="D878">
        <v>654</v>
      </c>
      <c r="E878" s="17" t="s">
        <v>37</v>
      </c>
      <c r="F878">
        <v>21</v>
      </c>
      <c r="G878">
        <v>3</v>
      </c>
      <c r="H878" t="s">
        <v>59</v>
      </c>
      <c r="I878">
        <v>1226</v>
      </c>
      <c r="J878">
        <v>3</v>
      </c>
      <c r="K878" s="17" t="s">
        <v>46</v>
      </c>
      <c r="L878">
        <v>43</v>
      </c>
      <c r="M878">
        <v>4</v>
      </c>
      <c r="N878">
        <v>1</v>
      </c>
      <c r="O878" s="17" t="s">
        <v>57</v>
      </c>
      <c r="P878" s="14">
        <v>4</v>
      </c>
      <c r="Q878" t="s">
        <v>41</v>
      </c>
      <c r="R878" s="14">
        <v>2678</v>
      </c>
      <c r="S878" s="17" t="str">
        <f t="shared" si="26"/>
        <v>low</v>
      </c>
      <c r="T878">
        <v>5050</v>
      </c>
      <c r="U878">
        <v>1</v>
      </c>
      <c r="V878" s="17" t="s">
        <v>43</v>
      </c>
      <c r="W878">
        <v>17</v>
      </c>
      <c r="X878">
        <v>3</v>
      </c>
      <c r="Y878">
        <v>4</v>
      </c>
      <c r="Z878">
        <v>0</v>
      </c>
      <c r="AA878">
        <v>2</v>
      </c>
      <c r="AB878">
        <v>2</v>
      </c>
      <c r="AC878">
        <v>3</v>
      </c>
      <c r="AD878" s="14">
        <v>2</v>
      </c>
      <c r="AE878" t="str">
        <f t="shared" si="27"/>
        <v>0-2 years</v>
      </c>
      <c r="AF878" s="14">
        <v>1</v>
      </c>
      <c r="AG878" s="14">
        <v>2</v>
      </c>
      <c r="AH878" s="14">
        <v>2</v>
      </c>
    </row>
    <row r="879" spans="1:34" x14ac:dyDescent="0.3">
      <c r="A879" s="14">
        <v>46</v>
      </c>
      <c r="B879" s="17" t="s">
        <v>43</v>
      </c>
      <c r="C879" t="s">
        <v>36</v>
      </c>
      <c r="D879">
        <v>150</v>
      </c>
      <c r="E879" s="17" t="s">
        <v>45</v>
      </c>
      <c r="F879">
        <v>2</v>
      </c>
      <c r="G879">
        <v>4</v>
      </c>
      <c r="H879" t="s">
        <v>60</v>
      </c>
      <c r="I879">
        <v>1228</v>
      </c>
      <c r="J879">
        <v>4</v>
      </c>
      <c r="K879" s="17" t="s">
        <v>46</v>
      </c>
      <c r="L879">
        <v>60</v>
      </c>
      <c r="M879">
        <v>3</v>
      </c>
      <c r="N879">
        <v>2</v>
      </c>
      <c r="O879" s="17" t="s">
        <v>53</v>
      </c>
      <c r="P879" s="14">
        <v>4</v>
      </c>
      <c r="Q879" t="s">
        <v>52</v>
      </c>
      <c r="R879" s="14">
        <v>7379</v>
      </c>
      <c r="S879" s="17" t="str">
        <f t="shared" si="26"/>
        <v>high</v>
      </c>
      <c r="T879">
        <v>17433</v>
      </c>
      <c r="U879">
        <v>2</v>
      </c>
      <c r="V879" s="17" t="s">
        <v>43</v>
      </c>
      <c r="W879">
        <v>11</v>
      </c>
      <c r="X879">
        <v>3</v>
      </c>
      <c r="Y879">
        <v>3</v>
      </c>
      <c r="Z879">
        <v>1</v>
      </c>
      <c r="AA879">
        <v>12</v>
      </c>
      <c r="AB879">
        <v>3</v>
      </c>
      <c r="AC879">
        <v>2</v>
      </c>
      <c r="AD879" s="14">
        <v>6</v>
      </c>
      <c r="AE879" t="str">
        <f t="shared" si="27"/>
        <v>6-10 years</v>
      </c>
      <c r="AF879" s="14">
        <v>3</v>
      </c>
      <c r="AG879" s="14">
        <v>1</v>
      </c>
      <c r="AH879" s="14">
        <v>4</v>
      </c>
    </row>
    <row r="880" spans="1:34" x14ac:dyDescent="0.3">
      <c r="A880" s="14">
        <v>42</v>
      </c>
      <c r="B880" s="17" t="s">
        <v>43</v>
      </c>
      <c r="C880" t="s">
        <v>55</v>
      </c>
      <c r="D880">
        <v>179</v>
      </c>
      <c r="E880" s="17" t="s">
        <v>61</v>
      </c>
      <c r="F880">
        <v>2</v>
      </c>
      <c r="G880">
        <v>5</v>
      </c>
      <c r="H880" t="s">
        <v>51</v>
      </c>
      <c r="I880">
        <v>1231</v>
      </c>
      <c r="J880">
        <v>4</v>
      </c>
      <c r="K880" s="17" t="s">
        <v>46</v>
      </c>
      <c r="L880">
        <v>79</v>
      </c>
      <c r="M880">
        <v>4</v>
      </c>
      <c r="N880">
        <v>2</v>
      </c>
      <c r="O880" s="17" t="s">
        <v>61</v>
      </c>
      <c r="P880" s="14">
        <v>1</v>
      </c>
      <c r="Q880" t="s">
        <v>48</v>
      </c>
      <c r="R880" s="14">
        <v>6272</v>
      </c>
      <c r="S880" s="17" t="str">
        <f t="shared" si="26"/>
        <v>medium</v>
      </c>
      <c r="T880">
        <v>12858</v>
      </c>
      <c r="U880">
        <v>7</v>
      </c>
      <c r="V880" s="17" t="s">
        <v>43</v>
      </c>
      <c r="W880">
        <v>16</v>
      </c>
      <c r="X880">
        <v>3</v>
      </c>
      <c r="Y880">
        <v>1</v>
      </c>
      <c r="Z880">
        <v>1</v>
      </c>
      <c r="AA880">
        <v>10</v>
      </c>
      <c r="AB880">
        <v>3</v>
      </c>
      <c r="AC880">
        <v>4</v>
      </c>
      <c r="AD880" s="14">
        <v>4</v>
      </c>
      <c r="AE880" t="str">
        <f t="shared" si="27"/>
        <v>3-5 years</v>
      </c>
      <c r="AF880" s="14">
        <v>3</v>
      </c>
      <c r="AG880" s="14">
        <v>0</v>
      </c>
      <c r="AH880" s="14">
        <v>3</v>
      </c>
    </row>
    <row r="881" spans="1:34" x14ac:dyDescent="0.3">
      <c r="A881" s="14">
        <v>60</v>
      </c>
      <c r="B881" s="17" t="s">
        <v>43</v>
      </c>
      <c r="C881" t="s">
        <v>36</v>
      </c>
      <c r="D881">
        <v>696</v>
      </c>
      <c r="E881" s="17" t="s">
        <v>37</v>
      </c>
      <c r="F881">
        <v>7</v>
      </c>
      <c r="G881">
        <v>4</v>
      </c>
      <c r="H881" t="s">
        <v>59</v>
      </c>
      <c r="I881">
        <v>1233</v>
      </c>
      <c r="J881">
        <v>2</v>
      </c>
      <c r="K881" s="17" t="s">
        <v>46</v>
      </c>
      <c r="L881">
        <v>52</v>
      </c>
      <c r="M881">
        <v>4</v>
      </c>
      <c r="N881">
        <v>2</v>
      </c>
      <c r="O881" s="17" t="s">
        <v>40</v>
      </c>
      <c r="P881" s="14">
        <v>4</v>
      </c>
      <c r="Q881" t="s">
        <v>52</v>
      </c>
      <c r="R881" s="14">
        <v>5220</v>
      </c>
      <c r="S881" s="17" t="str">
        <f t="shared" si="26"/>
        <v>medium</v>
      </c>
      <c r="T881">
        <v>10893</v>
      </c>
      <c r="U881">
        <v>0</v>
      </c>
      <c r="V881" s="17" t="s">
        <v>35</v>
      </c>
      <c r="W881">
        <v>18</v>
      </c>
      <c r="X881">
        <v>3</v>
      </c>
      <c r="Y881">
        <v>2</v>
      </c>
      <c r="Z881">
        <v>1</v>
      </c>
      <c r="AA881">
        <v>12</v>
      </c>
      <c r="AB881">
        <v>3</v>
      </c>
      <c r="AC881">
        <v>3</v>
      </c>
      <c r="AD881" s="14">
        <v>11</v>
      </c>
      <c r="AE881" t="str">
        <f t="shared" si="27"/>
        <v>10+ years</v>
      </c>
      <c r="AF881" s="14">
        <v>7</v>
      </c>
      <c r="AG881" s="14">
        <v>1</v>
      </c>
      <c r="AH881" s="14">
        <v>9</v>
      </c>
    </row>
    <row r="882" spans="1:34" x14ac:dyDescent="0.3">
      <c r="A882" s="14">
        <v>32</v>
      </c>
      <c r="B882" s="17" t="s">
        <v>43</v>
      </c>
      <c r="C882" t="s">
        <v>44</v>
      </c>
      <c r="D882">
        <v>116</v>
      </c>
      <c r="E882" s="17" t="s">
        <v>45</v>
      </c>
      <c r="F882">
        <v>13</v>
      </c>
      <c r="G882">
        <v>3</v>
      </c>
      <c r="H882" t="s">
        <v>49</v>
      </c>
      <c r="I882">
        <v>1234</v>
      </c>
      <c r="J882">
        <v>3</v>
      </c>
      <c r="K882" s="17" t="s">
        <v>39</v>
      </c>
      <c r="L882">
        <v>77</v>
      </c>
      <c r="M882">
        <v>2</v>
      </c>
      <c r="N882">
        <v>1</v>
      </c>
      <c r="O882" s="17" t="s">
        <v>50</v>
      </c>
      <c r="P882" s="14">
        <v>2</v>
      </c>
      <c r="Q882" t="s">
        <v>48</v>
      </c>
      <c r="R882" s="14">
        <v>2743</v>
      </c>
      <c r="S882" s="17" t="str">
        <f t="shared" si="26"/>
        <v>low</v>
      </c>
      <c r="T882">
        <v>7331</v>
      </c>
      <c r="U882">
        <v>1</v>
      </c>
      <c r="V882" s="17" t="s">
        <v>43</v>
      </c>
      <c r="W882">
        <v>20</v>
      </c>
      <c r="X882">
        <v>4</v>
      </c>
      <c r="Y882">
        <v>3</v>
      </c>
      <c r="Z882">
        <v>1</v>
      </c>
      <c r="AA882">
        <v>2</v>
      </c>
      <c r="AB882">
        <v>2</v>
      </c>
      <c r="AC882">
        <v>3</v>
      </c>
      <c r="AD882" s="14">
        <v>2</v>
      </c>
      <c r="AE882" t="str">
        <f t="shared" si="27"/>
        <v>0-2 years</v>
      </c>
      <c r="AF882" s="14">
        <v>2</v>
      </c>
      <c r="AG882" s="14">
        <v>2</v>
      </c>
      <c r="AH882" s="14">
        <v>2</v>
      </c>
    </row>
    <row r="883" spans="1:34" x14ac:dyDescent="0.3">
      <c r="A883" s="14">
        <v>32</v>
      </c>
      <c r="B883" s="17" t="s">
        <v>43</v>
      </c>
      <c r="C883" t="s">
        <v>44</v>
      </c>
      <c r="D883">
        <v>1316</v>
      </c>
      <c r="E883" s="17" t="s">
        <v>45</v>
      </c>
      <c r="F883">
        <v>2</v>
      </c>
      <c r="G883">
        <v>2</v>
      </c>
      <c r="H883" t="s">
        <v>38</v>
      </c>
      <c r="I883">
        <v>1235</v>
      </c>
      <c r="J883">
        <v>4</v>
      </c>
      <c r="K883" s="17" t="s">
        <v>39</v>
      </c>
      <c r="L883">
        <v>38</v>
      </c>
      <c r="M883">
        <v>3</v>
      </c>
      <c r="N883">
        <v>2</v>
      </c>
      <c r="O883" s="17" t="s">
        <v>47</v>
      </c>
      <c r="P883" s="14">
        <v>3</v>
      </c>
      <c r="Q883" t="s">
        <v>41</v>
      </c>
      <c r="R883" s="14">
        <v>4998</v>
      </c>
      <c r="S883" s="17" t="str">
        <f t="shared" si="26"/>
        <v>medium</v>
      </c>
      <c r="T883">
        <v>2338</v>
      </c>
      <c r="U883">
        <v>4</v>
      </c>
      <c r="V883" s="17" t="s">
        <v>35</v>
      </c>
      <c r="W883">
        <v>14</v>
      </c>
      <c r="X883">
        <v>3</v>
      </c>
      <c r="Y883">
        <v>4</v>
      </c>
      <c r="Z883">
        <v>0</v>
      </c>
      <c r="AA883">
        <v>10</v>
      </c>
      <c r="AB883">
        <v>2</v>
      </c>
      <c r="AC883">
        <v>3</v>
      </c>
      <c r="AD883" s="14">
        <v>8</v>
      </c>
      <c r="AE883" t="str">
        <f t="shared" si="27"/>
        <v>6-10 years</v>
      </c>
      <c r="AF883" s="14">
        <v>7</v>
      </c>
      <c r="AG883" s="14">
        <v>0</v>
      </c>
      <c r="AH883" s="14">
        <v>7</v>
      </c>
    </row>
    <row r="884" spans="1:34" x14ac:dyDescent="0.3">
      <c r="A884" s="14">
        <v>36</v>
      </c>
      <c r="B884" s="17" t="s">
        <v>43</v>
      </c>
      <c r="C884" t="s">
        <v>36</v>
      </c>
      <c r="D884">
        <v>363</v>
      </c>
      <c r="E884" s="17" t="s">
        <v>45</v>
      </c>
      <c r="F884">
        <v>1</v>
      </c>
      <c r="G884">
        <v>3</v>
      </c>
      <c r="H884" t="s">
        <v>60</v>
      </c>
      <c r="I884">
        <v>1237</v>
      </c>
      <c r="J884">
        <v>3</v>
      </c>
      <c r="K884" s="17" t="s">
        <v>39</v>
      </c>
      <c r="L884">
        <v>77</v>
      </c>
      <c r="M884">
        <v>1</v>
      </c>
      <c r="N884">
        <v>3</v>
      </c>
      <c r="O884" s="17" t="s">
        <v>53</v>
      </c>
      <c r="P884" s="14">
        <v>1</v>
      </c>
      <c r="Q884" t="s">
        <v>52</v>
      </c>
      <c r="R884" s="14">
        <v>10252</v>
      </c>
      <c r="S884" s="17" t="str">
        <f t="shared" si="26"/>
        <v>high</v>
      </c>
      <c r="T884">
        <v>4235</v>
      </c>
      <c r="U884">
        <v>2</v>
      </c>
      <c r="V884" s="17" t="s">
        <v>35</v>
      </c>
      <c r="W884">
        <v>21</v>
      </c>
      <c r="X884">
        <v>4</v>
      </c>
      <c r="Y884">
        <v>3</v>
      </c>
      <c r="Z884">
        <v>1</v>
      </c>
      <c r="AA884">
        <v>17</v>
      </c>
      <c r="AB884">
        <v>2</v>
      </c>
      <c r="AC884">
        <v>3</v>
      </c>
      <c r="AD884" s="14">
        <v>7</v>
      </c>
      <c r="AE884" t="str">
        <f t="shared" si="27"/>
        <v>6-10 years</v>
      </c>
      <c r="AF884" s="14">
        <v>7</v>
      </c>
      <c r="AG884" s="14">
        <v>7</v>
      </c>
      <c r="AH884" s="14">
        <v>7</v>
      </c>
    </row>
    <row r="885" spans="1:34" x14ac:dyDescent="0.3">
      <c r="A885" s="14">
        <v>33</v>
      </c>
      <c r="B885" s="17" t="s">
        <v>43</v>
      </c>
      <c r="C885" t="s">
        <v>36</v>
      </c>
      <c r="D885">
        <v>117</v>
      </c>
      <c r="E885" s="17" t="s">
        <v>45</v>
      </c>
      <c r="F885">
        <v>9</v>
      </c>
      <c r="G885">
        <v>3</v>
      </c>
      <c r="H885" t="s">
        <v>51</v>
      </c>
      <c r="I885">
        <v>1238</v>
      </c>
      <c r="J885">
        <v>1</v>
      </c>
      <c r="K885" s="17" t="s">
        <v>46</v>
      </c>
      <c r="L885">
        <v>60</v>
      </c>
      <c r="M885">
        <v>3</v>
      </c>
      <c r="N885">
        <v>1</v>
      </c>
      <c r="O885" s="17" t="s">
        <v>47</v>
      </c>
      <c r="P885" s="14">
        <v>4</v>
      </c>
      <c r="Q885" t="s">
        <v>48</v>
      </c>
      <c r="R885" s="14">
        <v>2781</v>
      </c>
      <c r="S885" s="17" t="str">
        <f t="shared" si="26"/>
        <v>low</v>
      </c>
      <c r="T885">
        <v>6311</v>
      </c>
      <c r="U885">
        <v>0</v>
      </c>
      <c r="V885" s="17" t="s">
        <v>43</v>
      </c>
      <c r="W885">
        <v>13</v>
      </c>
      <c r="X885">
        <v>3</v>
      </c>
      <c r="Y885">
        <v>2</v>
      </c>
      <c r="Z885">
        <v>1</v>
      </c>
      <c r="AA885">
        <v>15</v>
      </c>
      <c r="AB885">
        <v>5</v>
      </c>
      <c r="AC885">
        <v>3</v>
      </c>
      <c r="AD885" s="14">
        <v>14</v>
      </c>
      <c r="AE885" t="str">
        <f t="shared" si="27"/>
        <v>10+ years</v>
      </c>
      <c r="AF885" s="14">
        <v>10</v>
      </c>
      <c r="AG885" s="14">
        <v>4</v>
      </c>
      <c r="AH885" s="14">
        <v>10</v>
      </c>
    </row>
    <row r="886" spans="1:34" x14ac:dyDescent="0.3">
      <c r="A886" s="14">
        <v>40</v>
      </c>
      <c r="B886" s="17" t="s">
        <v>43</v>
      </c>
      <c r="C886" t="s">
        <v>36</v>
      </c>
      <c r="D886">
        <v>107</v>
      </c>
      <c r="E886" s="17" t="s">
        <v>37</v>
      </c>
      <c r="F886">
        <v>10</v>
      </c>
      <c r="G886">
        <v>3</v>
      </c>
      <c r="H886" t="s">
        <v>60</v>
      </c>
      <c r="I886">
        <v>1239</v>
      </c>
      <c r="J886">
        <v>2</v>
      </c>
      <c r="K886" s="17" t="s">
        <v>39</v>
      </c>
      <c r="L886">
        <v>84</v>
      </c>
      <c r="M886">
        <v>2</v>
      </c>
      <c r="N886">
        <v>2</v>
      </c>
      <c r="O886" s="17" t="s">
        <v>40</v>
      </c>
      <c r="P886" s="14">
        <v>2</v>
      </c>
      <c r="Q886" t="s">
        <v>52</v>
      </c>
      <c r="R886" s="14">
        <v>6852</v>
      </c>
      <c r="S886" s="17" t="str">
        <f t="shared" si="26"/>
        <v>medium</v>
      </c>
      <c r="T886">
        <v>11591</v>
      </c>
      <c r="U886">
        <v>7</v>
      </c>
      <c r="V886" s="17" t="s">
        <v>43</v>
      </c>
      <c r="W886">
        <v>12</v>
      </c>
      <c r="X886">
        <v>3</v>
      </c>
      <c r="Y886">
        <v>2</v>
      </c>
      <c r="Z886">
        <v>1</v>
      </c>
      <c r="AA886">
        <v>7</v>
      </c>
      <c r="AB886">
        <v>2</v>
      </c>
      <c r="AC886">
        <v>4</v>
      </c>
      <c r="AD886" s="14">
        <v>5</v>
      </c>
      <c r="AE886" t="str">
        <f t="shared" si="27"/>
        <v>3-5 years</v>
      </c>
      <c r="AF886" s="14">
        <v>1</v>
      </c>
      <c r="AG886" s="14">
        <v>1</v>
      </c>
      <c r="AH886" s="14">
        <v>3</v>
      </c>
    </row>
    <row r="887" spans="1:34" x14ac:dyDescent="0.3">
      <c r="A887" s="14">
        <v>25</v>
      </c>
      <c r="B887" s="17" t="s">
        <v>43</v>
      </c>
      <c r="C887" t="s">
        <v>36</v>
      </c>
      <c r="D887">
        <v>1356</v>
      </c>
      <c r="E887" s="17" t="s">
        <v>37</v>
      </c>
      <c r="F887">
        <v>10</v>
      </c>
      <c r="G887">
        <v>4</v>
      </c>
      <c r="H887" t="s">
        <v>38</v>
      </c>
      <c r="I887">
        <v>1240</v>
      </c>
      <c r="J887">
        <v>3</v>
      </c>
      <c r="K887" s="17" t="s">
        <v>46</v>
      </c>
      <c r="L887">
        <v>57</v>
      </c>
      <c r="M887">
        <v>3</v>
      </c>
      <c r="N887">
        <v>2</v>
      </c>
      <c r="O887" s="17" t="s">
        <v>40</v>
      </c>
      <c r="P887" s="14">
        <v>4</v>
      </c>
      <c r="Q887" t="s">
        <v>41</v>
      </c>
      <c r="R887" s="14">
        <v>4950</v>
      </c>
      <c r="S887" s="17" t="str">
        <f t="shared" si="26"/>
        <v>medium</v>
      </c>
      <c r="T887">
        <v>20623</v>
      </c>
      <c r="U887">
        <v>0</v>
      </c>
      <c r="V887" s="17" t="s">
        <v>43</v>
      </c>
      <c r="W887">
        <v>14</v>
      </c>
      <c r="X887">
        <v>3</v>
      </c>
      <c r="Y887">
        <v>2</v>
      </c>
      <c r="Z887">
        <v>0</v>
      </c>
      <c r="AA887">
        <v>5</v>
      </c>
      <c r="AB887">
        <v>4</v>
      </c>
      <c r="AC887">
        <v>3</v>
      </c>
      <c r="AD887" s="14">
        <v>4</v>
      </c>
      <c r="AE887" t="str">
        <f t="shared" si="27"/>
        <v>3-5 years</v>
      </c>
      <c r="AF887" s="14">
        <v>3</v>
      </c>
      <c r="AG887" s="14">
        <v>1</v>
      </c>
      <c r="AH887" s="14">
        <v>1</v>
      </c>
    </row>
    <row r="888" spans="1:34" x14ac:dyDescent="0.3">
      <c r="A888" s="14">
        <v>30</v>
      </c>
      <c r="B888" s="17" t="s">
        <v>43</v>
      </c>
      <c r="C888" t="s">
        <v>36</v>
      </c>
      <c r="D888">
        <v>1465</v>
      </c>
      <c r="E888" s="17" t="s">
        <v>45</v>
      </c>
      <c r="F888">
        <v>1</v>
      </c>
      <c r="G888">
        <v>3</v>
      </c>
      <c r="H888" t="s">
        <v>51</v>
      </c>
      <c r="I888">
        <v>1241</v>
      </c>
      <c r="J888">
        <v>4</v>
      </c>
      <c r="K888" s="17" t="s">
        <v>46</v>
      </c>
      <c r="L888">
        <v>63</v>
      </c>
      <c r="M888">
        <v>3</v>
      </c>
      <c r="N888">
        <v>1</v>
      </c>
      <c r="O888" s="17" t="s">
        <v>47</v>
      </c>
      <c r="P888" s="14">
        <v>2</v>
      </c>
      <c r="Q888" t="s">
        <v>48</v>
      </c>
      <c r="R888" s="14">
        <v>3579</v>
      </c>
      <c r="S888" s="17" t="str">
        <f t="shared" si="26"/>
        <v>medium</v>
      </c>
      <c r="T888">
        <v>9369</v>
      </c>
      <c r="U888">
        <v>0</v>
      </c>
      <c r="V888" s="17" t="s">
        <v>35</v>
      </c>
      <c r="W888">
        <v>21</v>
      </c>
      <c r="X888">
        <v>4</v>
      </c>
      <c r="Y888">
        <v>1</v>
      </c>
      <c r="Z888">
        <v>1</v>
      </c>
      <c r="AA888">
        <v>12</v>
      </c>
      <c r="AB888">
        <v>2</v>
      </c>
      <c r="AC888">
        <v>3</v>
      </c>
      <c r="AD888" s="14">
        <v>11</v>
      </c>
      <c r="AE888" t="str">
        <f t="shared" si="27"/>
        <v>10+ years</v>
      </c>
      <c r="AF888" s="14">
        <v>9</v>
      </c>
      <c r="AG888" s="14">
        <v>5</v>
      </c>
      <c r="AH888" s="14">
        <v>7</v>
      </c>
    </row>
    <row r="889" spans="1:34" x14ac:dyDescent="0.3">
      <c r="A889" s="14">
        <v>42</v>
      </c>
      <c r="B889" s="17" t="s">
        <v>43</v>
      </c>
      <c r="C889" t="s">
        <v>44</v>
      </c>
      <c r="D889">
        <v>458</v>
      </c>
      <c r="E889" s="17" t="s">
        <v>45</v>
      </c>
      <c r="F889">
        <v>26</v>
      </c>
      <c r="G889">
        <v>5</v>
      </c>
      <c r="H889" t="s">
        <v>51</v>
      </c>
      <c r="I889">
        <v>1242</v>
      </c>
      <c r="J889">
        <v>1</v>
      </c>
      <c r="K889" s="17" t="s">
        <v>39</v>
      </c>
      <c r="L889">
        <v>60</v>
      </c>
      <c r="M889">
        <v>3</v>
      </c>
      <c r="N889">
        <v>3</v>
      </c>
      <c r="O889" s="17" t="s">
        <v>58</v>
      </c>
      <c r="P889" s="14">
        <v>1</v>
      </c>
      <c r="Q889" t="s">
        <v>48</v>
      </c>
      <c r="R889" s="14">
        <v>13191</v>
      </c>
      <c r="S889" s="17" t="str">
        <f t="shared" si="26"/>
        <v>high</v>
      </c>
      <c r="T889">
        <v>23281</v>
      </c>
      <c r="U889">
        <v>3</v>
      </c>
      <c r="V889" s="17" t="s">
        <v>35</v>
      </c>
      <c r="W889">
        <v>17</v>
      </c>
      <c r="X889">
        <v>3</v>
      </c>
      <c r="Y889">
        <v>3</v>
      </c>
      <c r="Z889">
        <v>0</v>
      </c>
      <c r="AA889">
        <v>20</v>
      </c>
      <c r="AB889">
        <v>6</v>
      </c>
      <c r="AC889">
        <v>3</v>
      </c>
      <c r="AD889" s="14">
        <v>1</v>
      </c>
      <c r="AE889" t="str">
        <f t="shared" si="27"/>
        <v>0-2 years</v>
      </c>
      <c r="AF889" s="14">
        <v>0</v>
      </c>
      <c r="AG889" s="14">
        <v>0</v>
      </c>
      <c r="AH889" s="14">
        <v>0</v>
      </c>
    </row>
    <row r="890" spans="1:34" x14ac:dyDescent="0.3">
      <c r="A890" s="14">
        <v>35</v>
      </c>
      <c r="B890" s="17" t="s">
        <v>43</v>
      </c>
      <c r="C890" t="s">
        <v>55</v>
      </c>
      <c r="D890">
        <v>1212</v>
      </c>
      <c r="E890" s="17" t="s">
        <v>37</v>
      </c>
      <c r="F890">
        <v>8</v>
      </c>
      <c r="G890">
        <v>2</v>
      </c>
      <c r="H890" t="s">
        <v>59</v>
      </c>
      <c r="I890">
        <v>1243</v>
      </c>
      <c r="J890">
        <v>3</v>
      </c>
      <c r="K890" s="17" t="s">
        <v>39</v>
      </c>
      <c r="L890">
        <v>78</v>
      </c>
      <c r="M890">
        <v>2</v>
      </c>
      <c r="N890">
        <v>3</v>
      </c>
      <c r="O890" s="17" t="s">
        <v>40</v>
      </c>
      <c r="P890" s="14">
        <v>4</v>
      </c>
      <c r="Q890" t="s">
        <v>48</v>
      </c>
      <c r="R890" s="14">
        <v>10377</v>
      </c>
      <c r="S890" s="17" t="str">
        <f t="shared" si="26"/>
        <v>high</v>
      </c>
      <c r="T890">
        <v>13755</v>
      </c>
      <c r="U890">
        <v>4</v>
      </c>
      <c r="V890" s="17" t="s">
        <v>35</v>
      </c>
      <c r="W890">
        <v>11</v>
      </c>
      <c r="X890">
        <v>3</v>
      </c>
      <c r="Y890">
        <v>2</v>
      </c>
      <c r="Z890">
        <v>1</v>
      </c>
      <c r="AA890">
        <v>16</v>
      </c>
      <c r="AB890">
        <v>6</v>
      </c>
      <c r="AC890">
        <v>2</v>
      </c>
      <c r="AD890" s="14">
        <v>13</v>
      </c>
      <c r="AE890" t="str">
        <f t="shared" si="27"/>
        <v>10+ years</v>
      </c>
      <c r="AF890" s="14">
        <v>2</v>
      </c>
      <c r="AG890" s="14">
        <v>4</v>
      </c>
      <c r="AH890" s="14">
        <v>12</v>
      </c>
    </row>
    <row r="891" spans="1:34" x14ac:dyDescent="0.3">
      <c r="A891" s="14">
        <v>27</v>
      </c>
      <c r="B891" s="17" t="s">
        <v>43</v>
      </c>
      <c r="C891" t="s">
        <v>36</v>
      </c>
      <c r="D891">
        <v>1103</v>
      </c>
      <c r="E891" s="17" t="s">
        <v>45</v>
      </c>
      <c r="F891">
        <v>14</v>
      </c>
      <c r="G891">
        <v>3</v>
      </c>
      <c r="H891" t="s">
        <v>38</v>
      </c>
      <c r="I891">
        <v>1244</v>
      </c>
      <c r="J891">
        <v>1</v>
      </c>
      <c r="K891" s="17" t="s">
        <v>46</v>
      </c>
      <c r="L891">
        <v>42</v>
      </c>
      <c r="M891">
        <v>3</v>
      </c>
      <c r="N891">
        <v>1</v>
      </c>
      <c r="O891" s="17" t="s">
        <v>47</v>
      </c>
      <c r="P891" s="14">
        <v>1</v>
      </c>
      <c r="Q891" t="s">
        <v>48</v>
      </c>
      <c r="R891" s="14">
        <v>2235</v>
      </c>
      <c r="S891" s="17" t="str">
        <f t="shared" si="26"/>
        <v>low</v>
      </c>
      <c r="T891">
        <v>14377</v>
      </c>
      <c r="U891">
        <v>1</v>
      </c>
      <c r="V891" s="17" t="s">
        <v>35</v>
      </c>
      <c r="W891">
        <v>14</v>
      </c>
      <c r="X891">
        <v>3</v>
      </c>
      <c r="Y891">
        <v>4</v>
      </c>
      <c r="Z891">
        <v>2</v>
      </c>
      <c r="AA891">
        <v>9</v>
      </c>
      <c r="AB891">
        <v>3</v>
      </c>
      <c r="AC891">
        <v>2</v>
      </c>
      <c r="AD891" s="14">
        <v>9</v>
      </c>
      <c r="AE891" t="str">
        <f t="shared" si="27"/>
        <v>6-10 years</v>
      </c>
      <c r="AF891" s="14">
        <v>7</v>
      </c>
      <c r="AG891" s="14">
        <v>6</v>
      </c>
      <c r="AH891" s="14">
        <v>8</v>
      </c>
    </row>
    <row r="892" spans="1:34" x14ac:dyDescent="0.3">
      <c r="A892" s="14">
        <v>54</v>
      </c>
      <c r="B892" s="17" t="s">
        <v>43</v>
      </c>
      <c r="C892" t="s">
        <v>44</v>
      </c>
      <c r="D892">
        <v>966</v>
      </c>
      <c r="E892" s="17" t="s">
        <v>45</v>
      </c>
      <c r="F892">
        <v>1</v>
      </c>
      <c r="G892">
        <v>4</v>
      </c>
      <c r="H892" t="s">
        <v>38</v>
      </c>
      <c r="I892">
        <v>1245</v>
      </c>
      <c r="J892">
        <v>4</v>
      </c>
      <c r="K892" s="17" t="s">
        <v>39</v>
      </c>
      <c r="L892">
        <v>53</v>
      </c>
      <c r="M892">
        <v>3</v>
      </c>
      <c r="N892">
        <v>3</v>
      </c>
      <c r="O892" s="17" t="s">
        <v>53</v>
      </c>
      <c r="P892" s="14">
        <v>3</v>
      </c>
      <c r="Q892" t="s">
        <v>52</v>
      </c>
      <c r="R892" s="14">
        <v>10502</v>
      </c>
      <c r="S892" s="17" t="str">
        <f t="shared" si="26"/>
        <v>high</v>
      </c>
      <c r="T892">
        <v>9659</v>
      </c>
      <c r="U892">
        <v>7</v>
      </c>
      <c r="V892" s="17" t="s">
        <v>43</v>
      </c>
      <c r="W892">
        <v>17</v>
      </c>
      <c r="X892">
        <v>3</v>
      </c>
      <c r="Y892">
        <v>1</v>
      </c>
      <c r="Z892">
        <v>1</v>
      </c>
      <c r="AA892">
        <v>33</v>
      </c>
      <c r="AB892">
        <v>2</v>
      </c>
      <c r="AC892">
        <v>1</v>
      </c>
      <c r="AD892" s="14">
        <v>5</v>
      </c>
      <c r="AE892" t="str">
        <f t="shared" si="27"/>
        <v>3-5 years</v>
      </c>
      <c r="AF892" s="14">
        <v>4</v>
      </c>
      <c r="AG892" s="14">
        <v>1</v>
      </c>
      <c r="AH892" s="14">
        <v>4</v>
      </c>
    </row>
    <row r="893" spans="1:34" x14ac:dyDescent="0.3">
      <c r="A893" s="14">
        <v>44</v>
      </c>
      <c r="B893" s="17" t="s">
        <v>43</v>
      </c>
      <c r="C893" t="s">
        <v>36</v>
      </c>
      <c r="D893">
        <v>1117</v>
      </c>
      <c r="E893" s="17" t="s">
        <v>45</v>
      </c>
      <c r="F893">
        <v>2</v>
      </c>
      <c r="G893">
        <v>1</v>
      </c>
      <c r="H893" t="s">
        <v>38</v>
      </c>
      <c r="I893">
        <v>1246</v>
      </c>
      <c r="J893">
        <v>1</v>
      </c>
      <c r="K893" s="17" t="s">
        <v>39</v>
      </c>
      <c r="L893">
        <v>72</v>
      </c>
      <c r="M893">
        <v>4</v>
      </c>
      <c r="N893">
        <v>1</v>
      </c>
      <c r="O893" s="17" t="s">
        <v>47</v>
      </c>
      <c r="P893" s="14">
        <v>4</v>
      </c>
      <c r="Q893" t="s">
        <v>48</v>
      </c>
      <c r="R893" s="14">
        <v>2011</v>
      </c>
      <c r="S893" s="17" t="str">
        <f t="shared" si="26"/>
        <v>low</v>
      </c>
      <c r="T893">
        <v>19982</v>
      </c>
      <c r="U893">
        <v>1</v>
      </c>
      <c r="V893" s="17" t="s">
        <v>43</v>
      </c>
      <c r="W893">
        <v>13</v>
      </c>
      <c r="X893">
        <v>3</v>
      </c>
      <c r="Y893">
        <v>4</v>
      </c>
      <c r="Z893">
        <v>1</v>
      </c>
      <c r="AA893">
        <v>10</v>
      </c>
      <c r="AB893">
        <v>5</v>
      </c>
      <c r="AC893">
        <v>3</v>
      </c>
      <c r="AD893" s="14">
        <v>10</v>
      </c>
      <c r="AE893" t="str">
        <f t="shared" si="27"/>
        <v>6-10 years</v>
      </c>
      <c r="AF893" s="14">
        <v>5</v>
      </c>
      <c r="AG893" s="14">
        <v>7</v>
      </c>
      <c r="AH893" s="14">
        <v>7</v>
      </c>
    </row>
    <row r="894" spans="1:34" x14ac:dyDescent="0.3">
      <c r="A894" s="14">
        <v>19</v>
      </c>
      <c r="B894" s="17" t="s">
        <v>35</v>
      </c>
      <c r="C894" t="s">
        <v>55</v>
      </c>
      <c r="D894">
        <v>504</v>
      </c>
      <c r="E894" s="17" t="s">
        <v>45</v>
      </c>
      <c r="F894">
        <v>10</v>
      </c>
      <c r="G894">
        <v>3</v>
      </c>
      <c r="H894" t="s">
        <v>51</v>
      </c>
      <c r="I894">
        <v>1248</v>
      </c>
      <c r="J894">
        <v>1</v>
      </c>
      <c r="K894" s="17" t="s">
        <v>39</v>
      </c>
      <c r="L894">
        <v>96</v>
      </c>
      <c r="M894">
        <v>2</v>
      </c>
      <c r="N894">
        <v>1</v>
      </c>
      <c r="O894" s="17" t="s">
        <v>47</v>
      </c>
      <c r="P894" s="14">
        <v>2</v>
      </c>
      <c r="Q894" t="s">
        <v>41</v>
      </c>
      <c r="R894" s="14">
        <v>1859</v>
      </c>
      <c r="S894" s="17" t="str">
        <f t="shared" si="26"/>
        <v>low</v>
      </c>
      <c r="T894">
        <v>6148</v>
      </c>
      <c r="U894">
        <v>1</v>
      </c>
      <c r="V894" s="17" t="s">
        <v>35</v>
      </c>
      <c r="W894">
        <v>25</v>
      </c>
      <c r="X894">
        <v>4</v>
      </c>
      <c r="Y894">
        <v>2</v>
      </c>
      <c r="Z894">
        <v>0</v>
      </c>
      <c r="AA894">
        <v>1</v>
      </c>
      <c r="AB894">
        <v>2</v>
      </c>
      <c r="AC894">
        <v>4</v>
      </c>
      <c r="AD894" s="14">
        <v>1</v>
      </c>
      <c r="AE894" t="str">
        <f t="shared" si="27"/>
        <v>0-2 years</v>
      </c>
      <c r="AF894" s="14">
        <v>1</v>
      </c>
      <c r="AG894" s="14">
        <v>0</v>
      </c>
      <c r="AH894" s="14">
        <v>0</v>
      </c>
    </row>
    <row r="895" spans="1:34" x14ac:dyDescent="0.3">
      <c r="A895" s="14">
        <v>29</v>
      </c>
      <c r="B895" s="17" t="s">
        <v>43</v>
      </c>
      <c r="C895" t="s">
        <v>36</v>
      </c>
      <c r="D895">
        <v>1010</v>
      </c>
      <c r="E895" s="17" t="s">
        <v>45</v>
      </c>
      <c r="F895">
        <v>1</v>
      </c>
      <c r="G895">
        <v>3</v>
      </c>
      <c r="H895" t="s">
        <v>38</v>
      </c>
      <c r="I895">
        <v>1249</v>
      </c>
      <c r="J895">
        <v>1</v>
      </c>
      <c r="K895" s="17" t="s">
        <v>39</v>
      </c>
      <c r="L895">
        <v>97</v>
      </c>
      <c r="M895">
        <v>3</v>
      </c>
      <c r="N895">
        <v>1</v>
      </c>
      <c r="O895" s="17" t="s">
        <v>47</v>
      </c>
      <c r="P895" s="14">
        <v>4</v>
      </c>
      <c r="Q895" t="s">
        <v>52</v>
      </c>
      <c r="R895" s="14">
        <v>3760</v>
      </c>
      <c r="S895" s="17" t="str">
        <f t="shared" si="26"/>
        <v>medium</v>
      </c>
      <c r="T895">
        <v>5598</v>
      </c>
      <c r="U895">
        <v>1</v>
      </c>
      <c r="V895" s="17" t="s">
        <v>43</v>
      </c>
      <c r="W895">
        <v>15</v>
      </c>
      <c r="X895">
        <v>3</v>
      </c>
      <c r="Y895">
        <v>1</v>
      </c>
      <c r="Z895">
        <v>3</v>
      </c>
      <c r="AA895">
        <v>3</v>
      </c>
      <c r="AB895">
        <v>5</v>
      </c>
      <c r="AC895">
        <v>3</v>
      </c>
      <c r="AD895" s="14">
        <v>3</v>
      </c>
      <c r="AE895" t="str">
        <f t="shared" si="27"/>
        <v>3-5 years</v>
      </c>
      <c r="AF895" s="14">
        <v>2</v>
      </c>
      <c r="AG895" s="14">
        <v>1</v>
      </c>
      <c r="AH895" s="14">
        <v>2</v>
      </c>
    </row>
    <row r="896" spans="1:34" x14ac:dyDescent="0.3">
      <c r="A896" s="14">
        <v>54</v>
      </c>
      <c r="B896" s="17" t="s">
        <v>43</v>
      </c>
      <c r="C896" t="s">
        <v>36</v>
      </c>
      <c r="D896">
        <v>685</v>
      </c>
      <c r="E896" s="17" t="s">
        <v>45</v>
      </c>
      <c r="F896">
        <v>3</v>
      </c>
      <c r="G896">
        <v>3</v>
      </c>
      <c r="H896" t="s">
        <v>38</v>
      </c>
      <c r="I896">
        <v>1250</v>
      </c>
      <c r="J896">
        <v>4</v>
      </c>
      <c r="K896" s="17" t="s">
        <v>46</v>
      </c>
      <c r="L896">
        <v>85</v>
      </c>
      <c r="M896">
        <v>3</v>
      </c>
      <c r="N896">
        <v>4</v>
      </c>
      <c r="O896" s="17" t="s">
        <v>58</v>
      </c>
      <c r="P896" s="14">
        <v>4</v>
      </c>
      <c r="Q896" t="s">
        <v>48</v>
      </c>
      <c r="R896" s="14">
        <v>17779</v>
      </c>
      <c r="S896" s="17" t="str">
        <f t="shared" si="26"/>
        <v>high</v>
      </c>
      <c r="T896">
        <v>23474</v>
      </c>
      <c r="U896">
        <v>3</v>
      </c>
      <c r="V896" s="17" t="s">
        <v>43</v>
      </c>
      <c r="W896">
        <v>14</v>
      </c>
      <c r="X896">
        <v>3</v>
      </c>
      <c r="Y896">
        <v>1</v>
      </c>
      <c r="Z896">
        <v>0</v>
      </c>
      <c r="AA896">
        <v>36</v>
      </c>
      <c r="AB896">
        <v>2</v>
      </c>
      <c r="AC896">
        <v>3</v>
      </c>
      <c r="AD896" s="14">
        <v>10</v>
      </c>
      <c r="AE896" t="str">
        <f t="shared" si="27"/>
        <v>6-10 years</v>
      </c>
      <c r="AF896" s="14">
        <v>9</v>
      </c>
      <c r="AG896" s="14">
        <v>0</v>
      </c>
      <c r="AH896" s="14">
        <v>9</v>
      </c>
    </row>
    <row r="897" spans="1:34" x14ac:dyDescent="0.3">
      <c r="A897" s="14">
        <v>31</v>
      </c>
      <c r="B897" s="17" t="s">
        <v>43</v>
      </c>
      <c r="C897" t="s">
        <v>36</v>
      </c>
      <c r="D897">
        <v>1332</v>
      </c>
      <c r="E897" s="17" t="s">
        <v>45</v>
      </c>
      <c r="F897">
        <v>11</v>
      </c>
      <c r="G897">
        <v>2</v>
      </c>
      <c r="H897" t="s">
        <v>51</v>
      </c>
      <c r="I897">
        <v>1251</v>
      </c>
      <c r="J897">
        <v>3</v>
      </c>
      <c r="K897" s="17" t="s">
        <v>46</v>
      </c>
      <c r="L897">
        <v>80</v>
      </c>
      <c r="M897">
        <v>3</v>
      </c>
      <c r="N897">
        <v>2</v>
      </c>
      <c r="O897" s="17" t="s">
        <v>54</v>
      </c>
      <c r="P897" s="14">
        <v>1</v>
      </c>
      <c r="Q897" t="s">
        <v>48</v>
      </c>
      <c r="R897" s="14">
        <v>6833</v>
      </c>
      <c r="S897" s="17" t="str">
        <f t="shared" si="26"/>
        <v>medium</v>
      </c>
      <c r="T897">
        <v>17089</v>
      </c>
      <c r="U897">
        <v>1</v>
      </c>
      <c r="V897" s="17" t="s">
        <v>35</v>
      </c>
      <c r="W897">
        <v>12</v>
      </c>
      <c r="X897">
        <v>3</v>
      </c>
      <c r="Y897">
        <v>4</v>
      </c>
      <c r="Z897">
        <v>0</v>
      </c>
      <c r="AA897">
        <v>6</v>
      </c>
      <c r="AB897">
        <v>2</v>
      </c>
      <c r="AC897">
        <v>2</v>
      </c>
      <c r="AD897" s="14">
        <v>6</v>
      </c>
      <c r="AE897" t="str">
        <f t="shared" si="27"/>
        <v>6-10 years</v>
      </c>
      <c r="AF897" s="14">
        <v>5</v>
      </c>
      <c r="AG897" s="14">
        <v>0</v>
      </c>
      <c r="AH897" s="14">
        <v>1</v>
      </c>
    </row>
    <row r="898" spans="1:34" x14ac:dyDescent="0.3">
      <c r="A898" s="14">
        <v>31</v>
      </c>
      <c r="B898" s="17" t="s">
        <v>43</v>
      </c>
      <c r="C898" t="s">
        <v>36</v>
      </c>
      <c r="D898">
        <v>1062</v>
      </c>
      <c r="E898" s="17" t="s">
        <v>45</v>
      </c>
      <c r="F898">
        <v>24</v>
      </c>
      <c r="G898">
        <v>3</v>
      </c>
      <c r="H898" t="s">
        <v>51</v>
      </c>
      <c r="I898">
        <v>1252</v>
      </c>
      <c r="J898">
        <v>3</v>
      </c>
      <c r="K898" s="17" t="s">
        <v>39</v>
      </c>
      <c r="L898">
        <v>96</v>
      </c>
      <c r="M898">
        <v>2</v>
      </c>
      <c r="N898">
        <v>2</v>
      </c>
      <c r="O898" s="17" t="s">
        <v>54</v>
      </c>
      <c r="P898" s="14">
        <v>1</v>
      </c>
      <c r="Q898" t="s">
        <v>41</v>
      </c>
      <c r="R898" s="14">
        <v>6812</v>
      </c>
      <c r="S898" s="17" t="str">
        <f t="shared" ref="S898:S961" si="28">IF(R898&lt;=3000, "low",IF(R898&lt;=7000,"medium","high"))</f>
        <v>medium</v>
      </c>
      <c r="T898">
        <v>17198</v>
      </c>
      <c r="U898">
        <v>1</v>
      </c>
      <c r="V898" s="17" t="s">
        <v>43</v>
      </c>
      <c r="W898">
        <v>19</v>
      </c>
      <c r="X898">
        <v>3</v>
      </c>
      <c r="Y898">
        <v>2</v>
      </c>
      <c r="Z898">
        <v>0</v>
      </c>
      <c r="AA898">
        <v>10</v>
      </c>
      <c r="AB898">
        <v>2</v>
      </c>
      <c r="AC898">
        <v>3</v>
      </c>
      <c r="AD898" s="14">
        <v>10</v>
      </c>
      <c r="AE898" t="str">
        <f t="shared" ref="AE898:AE961" si="29">IF(AD898&lt;=2,"0-2 years", IF(AD898&lt;=5,"3-5 years", IF(AD898&lt;=10,"6-10 years","10+ years")))</f>
        <v>6-10 years</v>
      </c>
      <c r="AF898" s="14">
        <v>9</v>
      </c>
      <c r="AG898" s="14">
        <v>1</v>
      </c>
      <c r="AH898" s="14">
        <v>8</v>
      </c>
    </row>
    <row r="899" spans="1:34" x14ac:dyDescent="0.3">
      <c r="A899" s="14">
        <v>59</v>
      </c>
      <c r="B899" s="17" t="s">
        <v>43</v>
      </c>
      <c r="C899" t="s">
        <v>36</v>
      </c>
      <c r="D899">
        <v>326</v>
      </c>
      <c r="E899" s="17" t="s">
        <v>37</v>
      </c>
      <c r="F899">
        <v>3</v>
      </c>
      <c r="G899">
        <v>3</v>
      </c>
      <c r="H899" t="s">
        <v>38</v>
      </c>
      <c r="I899">
        <v>1254</v>
      </c>
      <c r="J899">
        <v>3</v>
      </c>
      <c r="K899" s="17" t="s">
        <v>39</v>
      </c>
      <c r="L899">
        <v>48</v>
      </c>
      <c r="M899">
        <v>2</v>
      </c>
      <c r="N899">
        <v>2</v>
      </c>
      <c r="O899" s="17" t="s">
        <v>40</v>
      </c>
      <c r="P899" s="14">
        <v>4</v>
      </c>
      <c r="Q899" t="s">
        <v>41</v>
      </c>
      <c r="R899" s="14">
        <v>5171</v>
      </c>
      <c r="S899" s="17" t="str">
        <f t="shared" si="28"/>
        <v>medium</v>
      </c>
      <c r="T899">
        <v>16490</v>
      </c>
      <c r="U899">
        <v>5</v>
      </c>
      <c r="V899" s="17" t="s">
        <v>43</v>
      </c>
      <c r="W899">
        <v>17</v>
      </c>
      <c r="X899">
        <v>3</v>
      </c>
      <c r="Y899">
        <v>4</v>
      </c>
      <c r="Z899">
        <v>0</v>
      </c>
      <c r="AA899">
        <v>13</v>
      </c>
      <c r="AB899">
        <v>2</v>
      </c>
      <c r="AC899">
        <v>3</v>
      </c>
      <c r="AD899" s="14">
        <v>6</v>
      </c>
      <c r="AE899" t="str">
        <f t="shared" si="29"/>
        <v>6-10 years</v>
      </c>
      <c r="AF899" s="14">
        <v>1</v>
      </c>
      <c r="AG899" s="14">
        <v>0</v>
      </c>
      <c r="AH899" s="14">
        <v>5</v>
      </c>
    </row>
    <row r="900" spans="1:34" x14ac:dyDescent="0.3">
      <c r="A900" s="14">
        <v>43</v>
      </c>
      <c r="B900" s="17" t="s">
        <v>43</v>
      </c>
      <c r="C900" t="s">
        <v>36</v>
      </c>
      <c r="D900">
        <v>920</v>
      </c>
      <c r="E900" s="17" t="s">
        <v>45</v>
      </c>
      <c r="F900">
        <v>3</v>
      </c>
      <c r="G900">
        <v>3</v>
      </c>
      <c r="H900" t="s">
        <v>38</v>
      </c>
      <c r="I900">
        <v>1255</v>
      </c>
      <c r="J900">
        <v>3</v>
      </c>
      <c r="K900" s="17" t="s">
        <v>46</v>
      </c>
      <c r="L900">
        <v>96</v>
      </c>
      <c r="M900">
        <v>1</v>
      </c>
      <c r="N900">
        <v>5</v>
      </c>
      <c r="O900" s="17" t="s">
        <v>58</v>
      </c>
      <c r="P900" s="14">
        <v>4</v>
      </c>
      <c r="Q900" t="s">
        <v>48</v>
      </c>
      <c r="R900" s="14">
        <v>19740</v>
      </c>
      <c r="S900" s="17" t="str">
        <f t="shared" si="28"/>
        <v>high</v>
      </c>
      <c r="T900">
        <v>18625</v>
      </c>
      <c r="U900">
        <v>3</v>
      </c>
      <c r="V900" s="17" t="s">
        <v>43</v>
      </c>
      <c r="W900">
        <v>14</v>
      </c>
      <c r="X900">
        <v>3</v>
      </c>
      <c r="Y900">
        <v>2</v>
      </c>
      <c r="Z900">
        <v>1</v>
      </c>
      <c r="AA900">
        <v>25</v>
      </c>
      <c r="AB900">
        <v>2</v>
      </c>
      <c r="AC900">
        <v>3</v>
      </c>
      <c r="AD900" s="14">
        <v>8</v>
      </c>
      <c r="AE900" t="str">
        <f t="shared" si="29"/>
        <v>6-10 years</v>
      </c>
      <c r="AF900" s="14">
        <v>7</v>
      </c>
      <c r="AG900" s="14">
        <v>0</v>
      </c>
      <c r="AH900" s="14">
        <v>7</v>
      </c>
    </row>
    <row r="901" spans="1:34" x14ac:dyDescent="0.3">
      <c r="A901" s="14">
        <v>49</v>
      </c>
      <c r="B901" s="17" t="s">
        <v>43</v>
      </c>
      <c r="C901" t="s">
        <v>36</v>
      </c>
      <c r="D901">
        <v>1098</v>
      </c>
      <c r="E901" s="17" t="s">
        <v>45</v>
      </c>
      <c r="F901">
        <v>4</v>
      </c>
      <c r="G901">
        <v>2</v>
      </c>
      <c r="H901" t="s">
        <v>51</v>
      </c>
      <c r="I901">
        <v>1256</v>
      </c>
      <c r="J901">
        <v>1</v>
      </c>
      <c r="K901" s="17" t="s">
        <v>46</v>
      </c>
      <c r="L901">
        <v>85</v>
      </c>
      <c r="M901">
        <v>2</v>
      </c>
      <c r="N901">
        <v>5</v>
      </c>
      <c r="O901" s="17" t="s">
        <v>56</v>
      </c>
      <c r="P901" s="14">
        <v>3</v>
      </c>
      <c r="Q901" t="s">
        <v>48</v>
      </c>
      <c r="R901" s="14">
        <v>18711</v>
      </c>
      <c r="S901" s="17" t="str">
        <f t="shared" si="28"/>
        <v>high</v>
      </c>
      <c r="T901">
        <v>12124</v>
      </c>
      <c r="U901">
        <v>2</v>
      </c>
      <c r="V901" s="17" t="s">
        <v>43</v>
      </c>
      <c r="W901">
        <v>13</v>
      </c>
      <c r="X901">
        <v>3</v>
      </c>
      <c r="Y901">
        <v>3</v>
      </c>
      <c r="Z901">
        <v>1</v>
      </c>
      <c r="AA901">
        <v>23</v>
      </c>
      <c r="AB901">
        <v>2</v>
      </c>
      <c r="AC901">
        <v>4</v>
      </c>
      <c r="AD901" s="14">
        <v>1</v>
      </c>
      <c r="AE901" t="str">
        <f t="shared" si="29"/>
        <v>0-2 years</v>
      </c>
      <c r="AF901" s="14">
        <v>0</v>
      </c>
      <c r="AG901" s="14">
        <v>0</v>
      </c>
      <c r="AH901" s="14">
        <v>0</v>
      </c>
    </row>
    <row r="902" spans="1:34" x14ac:dyDescent="0.3">
      <c r="A902" s="14">
        <v>36</v>
      </c>
      <c r="B902" s="17" t="s">
        <v>43</v>
      </c>
      <c r="C902" t="s">
        <v>44</v>
      </c>
      <c r="D902">
        <v>469</v>
      </c>
      <c r="E902" s="17" t="s">
        <v>45</v>
      </c>
      <c r="F902">
        <v>3</v>
      </c>
      <c r="G902">
        <v>3</v>
      </c>
      <c r="H902" t="s">
        <v>60</v>
      </c>
      <c r="I902">
        <v>1257</v>
      </c>
      <c r="J902">
        <v>3</v>
      </c>
      <c r="K902" s="17" t="s">
        <v>46</v>
      </c>
      <c r="L902">
        <v>46</v>
      </c>
      <c r="M902">
        <v>3</v>
      </c>
      <c r="N902">
        <v>1</v>
      </c>
      <c r="O902" s="17" t="s">
        <v>47</v>
      </c>
      <c r="P902" s="14">
        <v>2</v>
      </c>
      <c r="Q902" t="s">
        <v>48</v>
      </c>
      <c r="R902" s="14">
        <v>3692</v>
      </c>
      <c r="S902" s="17" t="str">
        <f t="shared" si="28"/>
        <v>medium</v>
      </c>
      <c r="T902">
        <v>9256</v>
      </c>
      <c r="U902">
        <v>1</v>
      </c>
      <c r="V902" s="17" t="s">
        <v>43</v>
      </c>
      <c r="W902">
        <v>12</v>
      </c>
      <c r="X902">
        <v>3</v>
      </c>
      <c r="Y902">
        <v>3</v>
      </c>
      <c r="Z902">
        <v>0</v>
      </c>
      <c r="AA902">
        <v>12</v>
      </c>
      <c r="AB902">
        <v>2</v>
      </c>
      <c r="AC902">
        <v>2</v>
      </c>
      <c r="AD902" s="14">
        <v>11</v>
      </c>
      <c r="AE902" t="str">
        <f t="shared" si="29"/>
        <v>10+ years</v>
      </c>
      <c r="AF902" s="14">
        <v>10</v>
      </c>
      <c r="AG902" s="14">
        <v>0</v>
      </c>
      <c r="AH902" s="14">
        <v>7</v>
      </c>
    </row>
    <row r="903" spans="1:34" x14ac:dyDescent="0.3">
      <c r="A903" s="14">
        <v>48</v>
      </c>
      <c r="B903" s="17" t="s">
        <v>43</v>
      </c>
      <c r="C903" t="s">
        <v>36</v>
      </c>
      <c r="D903">
        <v>969</v>
      </c>
      <c r="E903" s="17" t="s">
        <v>45</v>
      </c>
      <c r="F903">
        <v>2</v>
      </c>
      <c r="G903">
        <v>2</v>
      </c>
      <c r="H903" t="s">
        <v>60</v>
      </c>
      <c r="I903">
        <v>1258</v>
      </c>
      <c r="J903">
        <v>4</v>
      </c>
      <c r="K903" s="17" t="s">
        <v>46</v>
      </c>
      <c r="L903">
        <v>76</v>
      </c>
      <c r="M903">
        <v>4</v>
      </c>
      <c r="N903">
        <v>1</v>
      </c>
      <c r="O903" s="17" t="s">
        <v>50</v>
      </c>
      <c r="P903" s="14">
        <v>2</v>
      </c>
      <c r="Q903" t="s">
        <v>41</v>
      </c>
      <c r="R903" s="14">
        <v>2559</v>
      </c>
      <c r="S903" s="17" t="str">
        <f t="shared" si="28"/>
        <v>low</v>
      </c>
      <c r="T903">
        <v>16620</v>
      </c>
      <c r="U903">
        <v>5</v>
      </c>
      <c r="V903" s="17" t="s">
        <v>43</v>
      </c>
      <c r="W903">
        <v>11</v>
      </c>
      <c r="X903">
        <v>3</v>
      </c>
      <c r="Y903">
        <v>3</v>
      </c>
      <c r="Z903">
        <v>0</v>
      </c>
      <c r="AA903">
        <v>7</v>
      </c>
      <c r="AB903">
        <v>4</v>
      </c>
      <c r="AC903">
        <v>2</v>
      </c>
      <c r="AD903" s="14">
        <v>1</v>
      </c>
      <c r="AE903" t="str">
        <f t="shared" si="29"/>
        <v>0-2 years</v>
      </c>
      <c r="AF903" s="14">
        <v>0</v>
      </c>
      <c r="AG903" s="14">
        <v>0</v>
      </c>
      <c r="AH903" s="14">
        <v>0</v>
      </c>
    </row>
    <row r="904" spans="1:34" x14ac:dyDescent="0.3">
      <c r="A904" s="14">
        <v>27</v>
      </c>
      <c r="B904" s="17" t="s">
        <v>43</v>
      </c>
      <c r="C904" t="s">
        <v>36</v>
      </c>
      <c r="D904">
        <v>1167</v>
      </c>
      <c r="E904" s="17" t="s">
        <v>45</v>
      </c>
      <c r="F904">
        <v>4</v>
      </c>
      <c r="G904">
        <v>2</v>
      </c>
      <c r="H904" t="s">
        <v>38</v>
      </c>
      <c r="I904">
        <v>1259</v>
      </c>
      <c r="J904">
        <v>1</v>
      </c>
      <c r="K904" s="17" t="s">
        <v>46</v>
      </c>
      <c r="L904">
        <v>76</v>
      </c>
      <c r="M904">
        <v>3</v>
      </c>
      <c r="N904">
        <v>1</v>
      </c>
      <c r="O904" s="17" t="s">
        <v>47</v>
      </c>
      <c r="P904" s="14">
        <v>3</v>
      </c>
      <c r="Q904" t="s">
        <v>52</v>
      </c>
      <c r="R904" s="14">
        <v>2517</v>
      </c>
      <c r="S904" s="17" t="str">
        <f t="shared" si="28"/>
        <v>low</v>
      </c>
      <c r="T904">
        <v>3208</v>
      </c>
      <c r="U904">
        <v>1</v>
      </c>
      <c r="V904" s="17" t="s">
        <v>43</v>
      </c>
      <c r="W904">
        <v>11</v>
      </c>
      <c r="X904">
        <v>3</v>
      </c>
      <c r="Y904">
        <v>2</v>
      </c>
      <c r="Z904">
        <v>3</v>
      </c>
      <c r="AA904">
        <v>5</v>
      </c>
      <c r="AB904">
        <v>2</v>
      </c>
      <c r="AC904">
        <v>3</v>
      </c>
      <c r="AD904" s="14">
        <v>5</v>
      </c>
      <c r="AE904" t="str">
        <f t="shared" si="29"/>
        <v>3-5 years</v>
      </c>
      <c r="AF904" s="14">
        <v>3</v>
      </c>
      <c r="AG904" s="14">
        <v>0</v>
      </c>
      <c r="AH904" s="14">
        <v>3</v>
      </c>
    </row>
    <row r="905" spans="1:34" x14ac:dyDescent="0.3">
      <c r="A905" s="14">
        <v>29</v>
      </c>
      <c r="B905" s="17" t="s">
        <v>43</v>
      </c>
      <c r="C905" t="s">
        <v>36</v>
      </c>
      <c r="D905">
        <v>1329</v>
      </c>
      <c r="E905" s="17" t="s">
        <v>45</v>
      </c>
      <c r="F905">
        <v>7</v>
      </c>
      <c r="G905">
        <v>3</v>
      </c>
      <c r="H905" t="s">
        <v>38</v>
      </c>
      <c r="I905">
        <v>1260</v>
      </c>
      <c r="J905">
        <v>3</v>
      </c>
      <c r="K905" s="17" t="s">
        <v>46</v>
      </c>
      <c r="L905">
        <v>82</v>
      </c>
      <c r="M905">
        <v>3</v>
      </c>
      <c r="N905">
        <v>2</v>
      </c>
      <c r="O905" s="17" t="s">
        <v>54</v>
      </c>
      <c r="P905" s="14">
        <v>4</v>
      </c>
      <c r="Q905" t="s">
        <v>52</v>
      </c>
      <c r="R905" s="14">
        <v>6623</v>
      </c>
      <c r="S905" s="17" t="str">
        <f t="shared" si="28"/>
        <v>medium</v>
      </c>
      <c r="T905">
        <v>4204</v>
      </c>
      <c r="U905">
        <v>1</v>
      </c>
      <c r="V905" s="17" t="s">
        <v>35</v>
      </c>
      <c r="W905">
        <v>11</v>
      </c>
      <c r="X905">
        <v>3</v>
      </c>
      <c r="Y905">
        <v>2</v>
      </c>
      <c r="Z905">
        <v>2</v>
      </c>
      <c r="AA905">
        <v>6</v>
      </c>
      <c r="AB905">
        <v>2</v>
      </c>
      <c r="AC905">
        <v>3</v>
      </c>
      <c r="AD905" s="14">
        <v>6</v>
      </c>
      <c r="AE905" t="str">
        <f t="shared" si="29"/>
        <v>6-10 years</v>
      </c>
      <c r="AF905" s="14">
        <v>0</v>
      </c>
      <c r="AG905" s="14">
        <v>1</v>
      </c>
      <c r="AH905" s="14">
        <v>0</v>
      </c>
    </row>
    <row r="906" spans="1:34" x14ac:dyDescent="0.3">
      <c r="A906" s="14">
        <v>48</v>
      </c>
      <c r="B906" s="17" t="s">
        <v>43</v>
      </c>
      <c r="C906" t="s">
        <v>36</v>
      </c>
      <c r="D906">
        <v>715</v>
      </c>
      <c r="E906" s="17" t="s">
        <v>45</v>
      </c>
      <c r="F906">
        <v>1</v>
      </c>
      <c r="G906">
        <v>3</v>
      </c>
      <c r="H906" t="s">
        <v>38</v>
      </c>
      <c r="I906">
        <v>1263</v>
      </c>
      <c r="J906">
        <v>4</v>
      </c>
      <c r="K906" s="17" t="s">
        <v>46</v>
      </c>
      <c r="L906">
        <v>76</v>
      </c>
      <c r="M906">
        <v>2</v>
      </c>
      <c r="N906">
        <v>5</v>
      </c>
      <c r="O906" s="17" t="s">
        <v>58</v>
      </c>
      <c r="P906" s="14">
        <v>4</v>
      </c>
      <c r="Q906" t="s">
        <v>41</v>
      </c>
      <c r="R906" s="14">
        <v>18265</v>
      </c>
      <c r="S906" s="17" t="str">
        <f t="shared" si="28"/>
        <v>high</v>
      </c>
      <c r="T906">
        <v>8733</v>
      </c>
      <c r="U906">
        <v>6</v>
      </c>
      <c r="V906" s="17" t="s">
        <v>43</v>
      </c>
      <c r="W906">
        <v>12</v>
      </c>
      <c r="X906">
        <v>3</v>
      </c>
      <c r="Y906">
        <v>3</v>
      </c>
      <c r="Z906">
        <v>0</v>
      </c>
      <c r="AA906">
        <v>25</v>
      </c>
      <c r="AB906">
        <v>3</v>
      </c>
      <c r="AC906">
        <v>4</v>
      </c>
      <c r="AD906" s="14">
        <v>1</v>
      </c>
      <c r="AE906" t="str">
        <f t="shared" si="29"/>
        <v>0-2 years</v>
      </c>
      <c r="AF906" s="14">
        <v>0</v>
      </c>
      <c r="AG906" s="14">
        <v>0</v>
      </c>
      <c r="AH906" s="14">
        <v>0</v>
      </c>
    </row>
    <row r="907" spans="1:34" x14ac:dyDescent="0.3">
      <c r="A907" s="14">
        <v>29</v>
      </c>
      <c r="B907" s="17" t="s">
        <v>43</v>
      </c>
      <c r="C907" t="s">
        <v>36</v>
      </c>
      <c r="D907">
        <v>694</v>
      </c>
      <c r="E907" s="17" t="s">
        <v>45</v>
      </c>
      <c r="F907">
        <v>1</v>
      </c>
      <c r="G907">
        <v>3</v>
      </c>
      <c r="H907" t="s">
        <v>38</v>
      </c>
      <c r="I907">
        <v>1264</v>
      </c>
      <c r="J907">
        <v>4</v>
      </c>
      <c r="K907" s="17" t="s">
        <v>39</v>
      </c>
      <c r="L907">
        <v>87</v>
      </c>
      <c r="M907">
        <v>2</v>
      </c>
      <c r="N907">
        <v>4</v>
      </c>
      <c r="O907" s="17" t="s">
        <v>58</v>
      </c>
      <c r="P907" s="14">
        <v>4</v>
      </c>
      <c r="Q907" t="s">
        <v>52</v>
      </c>
      <c r="R907" s="14">
        <v>16124</v>
      </c>
      <c r="S907" s="17" t="str">
        <f t="shared" si="28"/>
        <v>high</v>
      </c>
      <c r="T907">
        <v>3423</v>
      </c>
      <c r="U907">
        <v>3</v>
      </c>
      <c r="V907" s="17" t="s">
        <v>43</v>
      </c>
      <c r="W907">
        <v>14</v>
      </c>
      <c r="X907">
        <v>3</v>
      </c>
      <c r="Y907">
        <v>2</v>
      </c>
      <c r="Z907">
        <v>2</v>
      </c>
      <c r="AA907">
        <v>9</v>
      </c>
      <c r="AB907">
        <v>2</v>
      </c>
      <c r="AC907">
        <v>2</v>
      </c>
      <c r="AD907" s="14">
        <v>7</v>
      </c>
      <c r="AE907" t="str">
        <f t="shared" si="29"/>
        <v>6-10 years</v>
      </c>
      <c r="AF907" s="14">
        <v>7</v>
      </c>
      <c r="AG907" s="14">
        <v>1</v>
      </c>
      <c r="AH907" s="14">
        <v>7</v>
      </c>
    </row>
    <row r="908" spans="1:34" x14ac:dyDescent="0.3">
      <c r="A908" s="14">
        <v>34</v>
      </c>
      <c r="B908" s="17" t="s">
        <v>43</v>
      </c>
      <c r="C908" t="s">
        <v>36</v>
      </c>
      <c r="D908">
        <v>1320</v>
      </c>
      <c r="E908" s="17" t="s">
        <v>45</v>
      </c>
      <c r="F908">
        <v>20</v>
      </c>
      <c r="G908">
        <v>3</v>
      </c>
      <c r="H908" t="s">
        <v>60</v>
      </c>
      <c r="I908">
        <v>1265</v>
      </c>
      <c r="J908">
        <v>3</v>
      </c>
      <c r="K908" s="17" t="s">
        <v>39</v>
      </c>
      <c r="L908">
        <v>89</v>
      </c>
      <c r="M908">
        <v>4</v>
      </c>
      <c r="N908">
        <v>1</v>
      </c>
      <c r="O908" s="17" t="s">
        <v>47</v>
      </c>
      <c r="P908" s="14">
        <v>3</v>
      </c>
      <c r="Q908" t="s">
        <v>48</v>
      </c>
      <c r="R908" s="14">
        <v>2585</v>
      </c>
      <c r="S908" s="17" t="str">
        <f t="shared" si="28"/>
        <v>low</v>
      </c>
      <c r="T908">
        <v>21643</v>
      </c>
      <c r="U908">
        <v>0</v>
      </c>
      <c r="V908" s="17" t="s">
        <v>43</v>
      </c>
      <c r="W908">
        <v>17</v>
      </c>
      <c r="X908">
        <v>3</v>
      </c>
      <c r="Y908">
        <v>4</v>
      </c>
      <c r="Z908">
        <v>0</v>
      </c>
      <c r="AA908">
        <v>2</v>
      </c>
      <c r="AB908">
        <v>5</v>
      </c>
      <c r="AC908">
        <v>2</v>
      </c>
      <c r="AD908" s="14">
        <v>1</v>
      </c>
      <c r="AE908" t="str">
        <f t="shared" si="29"/>
        <v>0-2 years</v>
      </c>
      <c r="AF908" s="14">
        <v>0</v>
      </c>
      <c r="AG908" s="14">
        <v>0</v>
      </c>
      <c r="AH908" s="14">
        <v>0</v>
      </c>
    </row>
    <row r="909" spans="1:34" x14ac:dyDescent="0.3">
      <c r="A909" s="14">
        <v>44</v>
      </c>
      <c r="B909" s="17" t="s">
        <v>43</v>
      </c>
      <c r="C909" t="s">
        <v>36</v>
      </c>
      <c r="D909">
        <v>1099</v>
      </c>
      <c r="E909" s="17" t="s">
        <v>37</v>
      </c>
      <c r="F909">
        <v>5</v>
      </c>
      <c r="G909">
        <v>3</v>
      </c>
      <c r="H909" t="s">
        <v>59</v>
      </c>
      <c r="I909">
        <v>1267</v>
      </c>
      <c r="J909">
        <v>2</v>
      </c>
      <c r="K909" s="17" t="s">
        <v>46</v>
      </c>
      <c r="L909">
        <v>88</v>
      </c>
      <c r="M909">
        <v>3</v>
      </c>
      <c r="N909">
        <v>5</v>
      </c>
      <c r="O909" s="17" t="s">
        <v>56</v>
      </c>
      <c r="P909" s="14">
        <v>2</v>
      </c>
      <c r="Q909" t="s">
        <v>48</v>
      </c>
      <c r="R909" s="14">
        <v>18213</v>
      </c>
      <c r="S909" s="17" t="str">
        <f t="shared" si="28"/>
        <v>high</v>
      </c>
      <c r="T909">
        <v>8751</v>
      </c>
      <c r="U909">
        <v>7</v>
      </c>
      <c r="V909" s="17" t="s">
        <v>43</v>
      </c>
      <c r="W909">
        <v>11</v>
      </c>
      <c r="X909">
        <v>3</v>
      </c>
      <c r="Y909">
        <v>3</v>
      </c>
      <c r="Z909">
        <v>1</v>
      </c>
      <c r="AA909">
        <v>26</v>
      </c>
      <c r="AB909">
        <v>5</v>
      </c>
      <c r="AC909">
        <v>3</v>
      </c>
      <c r="AD909" s="14">
        <v>22</v>
      </c>
      <c r="AE909" t="str">
        <f t="shared" si="29"/>
        <v>10+ years</v>
      </c>
      <c r="AF909" s="14">
        <v>9</v>
      </c>
      <c r="AG909" s="14">
        <v>3</v>
      </c>
      <c r="AH909" s="14">
        <v>10</v>
      </c>
    </row>
    <row r="910" spans="1:34" x14ac:dyDescent="0.3">
      <c r="A910" s="14">
        <v>33</v>
      </c>
      <c r="B910" s="17" t="s">
        <v>43</v>
      </c>
      <c r="C910" t="s">
        <v>36</v>
      </c>
      <c r="D910">
        <v>536</v>
      </c>
      <c r="E910" s="17" t="s">
        <v>37</v>
      </c>
      <c r="F910">
        <v>10</v>
      </c>
      <c r="G910">
        <v>5</v>
      </c>
      <c r="H910" t="s">
        <v>59</v>
      </c>
      <c r="I910">
        <v>1268</v>
      </c>
      <c r="J910">
        <v>4</v>
      </c>
      <c r="K910" s="17" t="s">
        <v>46</v>
      </c>
      <c r="L910">
        <v>82</v>
      </c>
      <c r="M910">
        <v>4</v>
      </c>
      <c r="N910">
        <v>3</v>
      </c>
      <c r="O910" s="17" t="s">
        <v>40</v>
      </c>
      <c r="P910" s="14">
        <v>3</v>
      </c>
      <c r="Q910" t="s">
        <v>52</v>
      </c>
      <c r="R910" s="14">
        <v>8380</v>
      </c>
      <c r="S910" s="17" t="str">
        <f t="shared" si="28"/>
        <v>high</v>
      </c>
      <c r="T910">
        <v>21708</v>
      </c>
      <c r="U910">
        <v>0</v>
      </c>
      <c r="V910" s="17" t="s">
        <v>35</v>
      </c>
      <c r="W910">
        <v>14</v>
      </c>
      <c r="X910">
        <v>3</v>
      </c>
      <c r="Y910">
        <v>4</v>
      </c>
      <c r="Z910">
        <v>2</v>
      </c>
      <c r="AA910">
        <v>10</v>
      </c>
      <c r="AB910">
        <v>3</v>
      </c>
      <c r="AC910">
        <v>3</v>
      </c>
      <c r="AD910" s="14">
        <v>9</v>
      </c>
      <c r="AE910" t="str">
        <f t="shared" si="29"/>
        <v>6-10 years</v>
      </c>
      <c r="AF910" s="14">
        <v>8</v>
      </c>
      <c r="AG910" s="14">
        <v>0</v>
      </c>
      <c r="AH910" s="14">
        <v>8</v>
      </c>
    </row>
    <row r="911" spans="1:34" x14ac:dyDescent="0.3">
      <c r="A911" s="14">
        <v>19</v>
      </c>
      <c r="B911" s="17" t="s">
        <v>43</v>
      </c>
      <c r="C911" t="s">
        <v>36</v>
      </c>
      <c r="D911">
        <v>265</v>
      </c>
      <c r="E911" s="17" t="s">
        <v>45</v>
      </c>
      <c r="F911">
        <v>25</v>
      </c>
      <c r="G911">
        <v>3</v>
      </c>
      <c r="H911" t="s">
        <v>38</v>
      </c>
      <c r="I911">
        <v>1269</v>
      </c>
      <c r="J911">
        <v>2</v>
      </c>
      <c r="K911" s="17" t="s">
        <v>39</v>
      </c>
      <c r="L911">
        <v>57</v>
      </c>
      <c r="M911">
        <v>4</v>
      </c>
      <c r="N911">
        <v>1</v>
      </c>
      <c r="O911" s="17" t="s">
        <v>47</v>
      </c>
      <c r="P911" s="14">
        <v>4</v>
      </c>
      <c r="Q911" t="s">
        <v>41</v>
      </c>
      <c r="R911" s="14">
        <v>2994</v>
      </c>
      <c r="S911" s="17" t="str">
        <f t="shared" si="28"/>
        <v>low</v>
      </c>
      <c r="T911">
        <v>21221</v>
      </c>
      <c r="U911">
        <v>1</v>
      </c>
      <c r="V911" s="17" t="s">
        <v>35</v>
      </c>
      <c r="W911">
        <v>12</v>
      </c>
      <c r="X911">
        <v>3</v>
      </c>
      <c r="Y911">
        <v>4</v>
      </c>
      <c r="Z911">
        <v>0</v>
      </c>
      <c r="AA911">
        <v>1</v>
      </c>
      <c r="AB911">
        <v>2</v>
      </c>
      <c r="AC911">
        <v>3</v>
      </c>
      <c r="AD911" s="14">
        <v>1</v>
      </c>
      <c r="AE911" t="str">
        <f t="shared" si="29"/>
        <v>0-2 years</v>
      </c>
      <c r="AF911" s="14">
        <v>0</v>
      </c>
      <c r="AG911" s="14">
        <v>0</v>
      </c>
      <c r="AH911" s="14">
        <v>1</v>
      </c>
    </row>
    <row r="912" spans="1:34" x14ac:dyDescent="0.3">
      <c r="A912" s="14">
        <v>23</v>
      </c>
      <c r="B912" s="17" t="s">
        <v>43</v>
      </c>
      <c r="C912" t="s">
        <v>36</v>
      </c>
      <c r="D912">
        <v>373</v>
      </c>
      <c r="E912" s="17" t="s">
        <v>45</v>
      </c>
      <c r="F912">
        <v>1</v>
      </c>
      <c r="G912">
        <v>2</v>
      </c>
      <c r="H912" t="s">
        <v>38</v>
      </c>
      <c r="I912">
        <v>1270</v>
      </c>
      <c r="J912">
        <v>4</v>
      </c>
      <c r="K912" s="17" t="s">
        <v>46</v>
      </c>
      <c r="L912">
        <v>47</v>
      </c>
      <c r="M912">
        <v>3</v>
      </c>
      <c r="N912">
        <v>1</v>
      </c>
      <c r="O912" s="17" t="s">
        <v>47</v>
      </c>
      <c r="P912" s="14">
        <v>3</v>
      </c>
      <c r="Q912" t="s">
        <v>48</v>
      </c>
      <c r="R912" s="14">
        <v>1223</v>
      </c>
      <c r="S912" s="17" t="str">
        <f t="shared" si="28"/>
        <v>low</v>
      </c>
      <c r="T912">
        <v>16901</v>
      </c>
      <c r="U912">
        <v>1</v>
      </c>
      <c r="V912" s="17" t="s">
        <v>43</v>
      </c>
      <c r="W912">
        <v>22</v>
      </c>
      <c r="X912">
        <v>4</v>
      </c>
      <c r="Y912">
        <v>4</v>
      </c>
      <c r="Z912">
        <v>1</v>
      </c>
      <c r="AA912">
        <v>1</v>
      </c>
      <c r="AB912">
        <v>2</v>
      </c>
      <c r="AC912">
        <v>3</v>
      </c>
      <c r="AD912" s="14">
        <v>1</v>
      </c>
      <c r="AE912" t="str">
        <f t="shared" si="29"/>
        <v>0-2 years</v>
      </c>
      <c r="AF912" s="14">
        <v>0</v>
      </c>
      <c r="AG912" s="14">
        <v>0</v>
      </c>
      <c r="AH912" s="14">
        <v>1</v>
      </c>
    </row>
    <row r="913" spans="1:34" x14ac:dyDescent="0.3">
      <c r="A913" s="14">
        <v>25</v>
      </c>
      <c r="B913" s="17" t="s">
        <v>35</v>
      </c>
      <c r="C913" t="s">
        <v>44</v>
      </c>
      <c r="D913">
        <v>599</v>
      </c>
      <c r="E913" s="17" t="s">
        <v>37</v>
      </c>
      <c r="F913">
        <v>24</v>
      </c>
      <c r="G913">
        <v>1</v>
      </c>
      <c r="H913" t="s">
        <v>38</v>
      </c>
      <c r="I913">
        <v>1273</v>
      </c>
      <c r="J913">
        <v>3</v>
      </c>
      <c r="K913" s="17" t="s">
        <v>46</v>
      </c>
      <c r="L913">
        <v>73</v>
      </c>
      <c r="M913">
        <v>1</v>
      </c>
      <c r="N913">
        <v>1</v>
      </c>
      <c r="O913" s="17" t="s">
        <v>57</v>
      </c>
      <c r="P913" s="14">
        <v>4</v>
      </c>
      <c r="Q913" t="s">
        <v>41</v>
      </c>
      <c r="R913" s="14">
        <v>1118</v>
      </c>
      <c r="S913" s="17" t="str">
        <f t="shared" si="28"/>
        <v>low</v>
      </c>
      <c r="T913">
        <v>8040</v>
      </c>
      <c r="U913">
        <v>1</v>
      </c>
      <c r="V913" s="17" t="s">
        <v>35</v>
      </c>
      <c r="W913">
        <v>14</v>
      </c>
      <c r="X913">
        <v>3</v>
      </c>
      <c r="Y913">
        <v>4</v>
      </c>
      <c r="Z913">
        <v>0</v>
      </c>
      <c r="AA913">
        <v>1</v>
      </c>
      <c r="AB913">
        <v>4</v>
      </c>
      <c r="AC913">
        <v>3</v>
      </c>
      <c r="AD913" s="14">
        <v>1</v>
      </c>
      <c r="AE913" t="str">
        <f t="shared" si="29"/>
        <v>0-2 years</v>
      </c>
      <c r="AF913" s="14">
        <v>0</v>
      </c>
      <c r="AG913" s="14">
        <v>1</v>
      </c>
      <c r="AH913" s="14">
        <v>0</v>
      </c>
    </row>
    <row r="914" spans="1:34" x14ac:dyDescent="0.3">
      <c r="A914" s="14">
        <v>26</v>
      </c>
      <c r="B914" s="17" t="s">
        <v>43</v>
      </c>
      <c r="C914" t="s">
        <v>36</v>
      </c>
      <c r="D914">
        <v>583</v>
      </c>
      <c r="E914" s="17" t="s">
        <v>45</v>
      </c>
      <c r="F914">
        <v>4</v>
      </c>
      <c r="G914">
        <v>2</v>
      </c>
      <c r="H914" t="s">
        <v>38</v>
      </c>
      <c r="I914">
        <v>1275</v>
      </c>
      <c r="J914">
        <v>3</v>
      </c>
      <c r="K914" s="17" t="s">
        <v>46</v>
      </c>
      <c r="L914">
        <v>53</v>
      </c>
      <c r="M914">
        <v>3</v>
      </c>
      <c r="N914">
        <v>1</v>
      </c>
      <c r="O914" s="17" t="s">
        <v>47</v>
      </c>
      <c r="P914" s="14">
        <v>4</v>
      </c>
      <c r="Q914" t="s">
        <v>41</v>
      </c>
      <c r="R914" s="14">
        <v>2875</v>
      </c>
      <c r="S914" s="17" t="str">
        <f t="shared" si="28"/>
        <v>low</v>
      </c>
      <c r="T914">
        <v>9973</v>
      </c>
      <c r="U914">
        <v>1</v>
      </c>
      <c r="V914" s="17" t="s">
        <v>35</v>
      </c>
      <c r="W914">
        <v>20</v>
      </c>
      <c r="X914">
        <v>4</v>
      </c>
      <c r="Y914">
        <v>2</v>
      </c>
      <c r="Z914">
        <v>0</v>
      </c>
      <c r="AA914">
        <v>8</v>
      </c>
      <c r="AB914">
        <v>2</v>
      </c>
      <c r="AC914">
        <v>2</v>
      </c>
      <c r="AD914" s="14">
        <v>8</v>
      </c>
      <c r="AE914" t="str">
        <f t="shared" si="29"/>
        <v>6-10 years</v>
      </c>
      <c r="AF914" s="14">
        <v>5</v>
      </c>
      <c r="AG914" s="14">
        <v>2</v>
      </c>
      <c r="AH914" s="14">
        <v>2</v>
      </c>
    </row>
    <row r="915" spans="1:34" x14ac:dyDescent="0.3">
      <c r="A915" s="14">
        <v>45</v>
      </c>
      <c r="B915" s="17" t="s">
        <v>35</v>
      </c>
      <c r="C915" t="s">
        <v>36</v>
      </c>
      <c r="D915">
        <v>1449</v>
      </c>
      <c r="E915" s="17" t="s">
        <v>37</v>
      </c>
      <c r="F915">
        <v>2</v>
      </c>
      <c r="G915">
        <v>3</v>
      </c>
      <c r="H915" t="s">
        <v>59</v>
      </c>
      <c r="I915">
        <v>1277</v>
      </c>
      <c r="J915">
        <v>1</v>
      </c>
      <c r="K915" s="17" t="s">
        <v>39</v>
      </c>
      <c r="L915">
        <v>94</v>
      </c>
      <c r="M915">
        <v>1</v>
      </c>
      <c r="N915">
        <v>5</v>
      </c>
      <c r="O915" s="17" t="s">
        <v>56</v>
      </c>
      <c r="P915" s="14">
        <v>2</v>
      </c>
      <c r="Q915" t="s">
        <v>41</v>
      </c>
      <c r="R915" s="14">
        <v>18824</v>
      </c>
      <c r="S915" s="17" t="str">
        <f t="shared" si="28"/>
        <v>high</v>
      </c>
      <c r="T915">
        <v>2493</v>
      </c>
      <c r="U915">
        <v>2</v>
      </c>
      <c r="V915" s="17" t="s">
        <v>35</v>
      </c>
      <c r="W915">
        <v>16</v>
      </c>
      <c r="X915">
        <v>3</v>
      </c>
      <c r="Y915">
        <v>1</v>
      </c>
      <c r="Z915">
        <v>0</v>
      </c>
      <c r="AA915">
        <v>26</v>
      </c>
      <c r="AB915">
        <v>2</v>
      </c>
      <c r="AC915">
        <v>3</v>
      </c>
      <c r="AD915" s="14">
        <v>24</v>
      </c>
      <c r="AE915" t="str">
        <f t="shared" si="29"/>
        <v>10+ years</v>
      </c>
      <c r="AF915" s="14">
        <v>10</v>
      </c>
      <c r="AG915" s="14">
        <v>1</v>
      </c>
      <c r="AH915" s="14">
        <v>11</v>
      </c>
    </row>
    <row r="916" spans="1:34" x14ac:dyDescent="0.3">
      <c r="A916" s="14">
        <v>55</v>
      </c>
      <c r="B916" s="17" t="s">
        <v>43</v>
      </c>
      <c r="C916" t="s">
        <v>55</v>
      </c>
      <c r="D916">
        <v>177</v>
      </c>
      <c r="E916" s="17" t="s">
        <v>45</v>
      </c>
      <c r="F916">
        <v>8</v>
      </c>
      <c r="G916">
        <v>1</v>
      </c>
      <c r="H916" t="s">
        <v>51</v>
      </c>
      <c r="I916">
        <v>1278</v>
      </c>
      <c r="J916">
        <v>4</v>
      </c>
      <c r="K916" s="17" t="s">
        <v>46</v>
      </c>
      <c r="L916">
        <v>37</v>
      </c>
      <c r="M916">
        <v>2</v>
      </c>
      <c r="N916">
        <v>4</v>
      </c>
      <c r="O916" s="17" t="s">
        <v>54</v>
      </c>
      <c r="P916" s="14">
        <v>2</v>
      </c>
      <c r="Q916" t="s">
        <v>52</v>
      </c>
      <c r="R916" s="14">
        <v>13577</v>
      </c>
      <c r="S916" s="17" t="str">
        <f t="shared" si="28"/>
        <v>high</v>
      </c>
      <c r="T916">
        <v>25592</v>
      </c>
      <c r="U916">
        <v>1</v>
      </c>
      <c r="V916" s="17" t="s">
        <v>35</v>
      </c>
      <c r="W916">
        <v>15</v>
      </c>
      <c r="X916">
        <v>3</v>
      </c>
      <c r="Y916">
        <v>4</v>
      </c>
      <c r="Z916">
        <v>1</v>
      </c>
      <c r="AA916">
        <v>34</v>
      </c>
      <c r="AB916">
        <v>3</v>
      </c>
      <c r="AC916">
        <v>3</v>
      </c>
      <c r="AD916" s="14">
        <v>33</v>
      </c>
      <c r="AE916" t="str">
        <f t="shared" si="29"/>
        <v>10+ years</v>
      </c>
      <c r="AF916" s="14">
        <v>9</v>
      </c>
      <c r="AG916" s="14">
        <v>15</v>
      </c>
      <c r="AH916" s="14">
        <v>0</v>
      </c>
    </row>
    <row r="917" spans="1:34" x14ac:dyDescent="0.3">
      <c r="A917" s="14">
        <v>21</v>
      </c>
      <c r="B917" s="17" t="s">
        <v>35</v>
      </c>
      <c r="C917" t="s">
        <v>44</v>
      </c>
      <c r="D917">
        <v>251</v>
      </c>
      <c r="E917" s="17" t="s">
        <v>45</v>
      </c>
      <c r="F917">
        <v>10</v>
      </c>
      <c r="G917">
        <v>2</v>
      </c>
      <c r="H917" t="s">
        <v>38</v>
      </c>
      <c r="I917">
        <v>1279</v>
      </c>
      <c r="J917">
        <v>1</v>
      </c>
      <c r="K917" s="17" t="s">
        <v>39</v>
      </c>
      <c r="L917">
        <v>45</v>
      </c>
      <c r="M917">
        <v>2</v>
      </c>
      <c r="N917">
        <v>1</v>
      </c>
      <c r="O917" s="17" t="s">
        <v>50</v>
      </c>
      <c r="P917" s="14">
        <v>3</v>
      </c>
      <c r="Q917" t="s">
        <v>41</v>
      </c>
      <c r="R917" s="14">
        <v>2625</v>
      </c>
      <c r="S917" s="17" t="str">
        <f t="shared" si="28"/>
        <v>low</v>
      </c>
      <c r="T917">
        <v>25308</v>
      </c>
      <c r="U917">
        <v>1</v>
      </c>
      <c r="V917" s="17" t="s">
        <v>43</v>
      </c>
      <c r="W917">
        <v>20</v>
      </c>
      <c r="X917">
        <v>4</v>
      </c>
      <c r="Y917">
        <v>3</v>
      </c>
      <c r="Z917">
        <v>0</v>
      </c>
      <c r="AA917">
        <v>2</v>
      </c>
      <c r="AB917">
        <v>2</v>
      </c>
      <c r="AC917">
        <v>1</v>
      </c>
      <c r="AD917" s="14">
        <v>2</v>
      </c>
      <c r="AE917" t="str">
        <f t="shared" si="29"/>
        <v>0-2 years</v>
      </c>
      <c r="AF917" s="14">
        <v>2</v>
      </c>
      <c r="AG917" s="14">
        <v>2</v>
      </c>
      <c r="AH917" s="14">
        <v>2</v>
      </c>
    </row>
    <row r="918" spans="1:34" x14ac:dyDescent="0.3">
      <c r="A918" s="14">
        <v>46</v>
      </c>
      <c r="B918" s="17" t="s">
        <v>43</v>
      </c>
      <c r="C918" t="s">
        <v>36</v>
      </c>
      <c r="D918">
        <v>168</v>
      </c>
      <c r="E918" s="17" t="s">
        <v>37</v>
      </c>
      <c r="F918">
        <v>4</v>
      </c>
      <c r="G918">
        <v>2</v>
      </c>
      <c r="H918" t="s">
        <v>59</v>
      </c>
      <c r="I918">
        <v>1280</v>
      </c>
      <c r="J918">
        <v>4</v>
      </c>
      <c r="K918" s="17" t="s">
        <v>39</v>
      </c>
      <c r="L918">
        <v>33</v>
      </c>
      <c r="M918">
        <v>2</v>
      </c>
      <c r="N918">
        <v>5</v>
      </c>
      <c r="O918" s="17" t="s">
        <v>56</v>
      </c>
      <c r="P918" s="14">
        <v>2</v>
      </c>
      <c r="Q918" t="s">
        <v>48</v>
      </c>
      <c r="R918" s="14">
        <v>18789</v>
      </c>
      <c r="S918" s="17" t="str">
        <f t="shared" si="28"/>
        <v>high</v>
      </c>
      <c r="T918">
        <v>9946</v>
      </c>
      <c r="U918">
        <v>2</v>
      </c>
      <c r="V918" s="17" t="s">
        <v>43</v>
      </c>
      <c r="W918">
        <v>14</v>
      </c>
      <c r="X918">
        <v>3</v>
      </c>
      <c r="Y918">
        <v>3</v>
      </c>
      <c r="Z918">
        <v>1</v>
      </c>
      <c r="AA918">
        <v>26</v>
      </c>
      <c r="AB918">
        <v>2</v>
      </c>
      <c r="AC918">
        <v>3</v>
      </c>
      <c r="AD918" s="14">
        <v>11</v>
      </c>
      <c r="AE918" t="str">
        <f t="shared" si="29"/>
        <v>10+ years</v>
      </c>
      <c r="AF918" s="14">
        <v>4</v>
      </c>
      <c r="AG918" s="14">
        <v>0</v>
      </c>
      <c r="AH918" s="14">
        <v>8</v>
      </c>
    </row>
    <row r="919" spans="1:34" x14ac:dyDescent="0.3">
      <c r="A919" s="14">
        <v>34</v>
      </c>
      <c r="B919" s="17" t="s">
        <v>43</v>
      </c>
      <c r="C919" t="s">
        <v>36</v>
      </c>
      <c r="D919">
        <v>131</v>
      </c>
      <c r="E919" s="17" t="s">
        <v>37</v>
      </c>
      <c r="F919">
        <v>2</v>
      </c>
      <c r="G919">
        <v>3</v>
      </c>
      <c r="H919" t="s">
        <v>59</v>
      </c>
      <c r="I919">
        <v>1281</v>
      </c>
      <c r="J919">
        <v>3</v>
      </c>
      <c r="K919" s="17" t="s">
        <v>39</v>
      </c>
      <c r="L919">
        <v>86</v>
      </c>
      <c r="M919">
        <v>3</v>
      </c>
      <c r="N919">
        <v>2</v>
      </c>
      <c r="O919" s="17" t="s">
        <v>40</v>
      </c>
      <c r="P919" s="14">
        <v>1</v>
      </c>
      <c r="Q919" t="s">
        <v>41</v>
      </c>
      <c r="R919" s="14">
        <v>4538</v>
      </c>
      <c r="S919" s="17" t="str">
        <f t="shared" si="28"/>
        <v>medium</v>
      </c>
      <c r="T919">
        <v>6039</v>
      </c>
      <c r="U919">
        <v>0</v>
      </c>
      <c r="V919" s="17" t="s">
        <v>35</v>
      </c>
      <c r="W919">
        <v>12</v>
      </c>
      <c r="X919">
        <v>3</v>
      </c>
      <c r="Y919">
        <v>4</v>
      </c>
      <c r="Z919">
        <v>0</v>
      </c>
      <c r="AA919">
        <v>4</v>
      </c>
      <c r="AB919">
        <v>3</v>
      </c>
      <c r="AC919">
        <v>3</v>
      </c>
      <c r="AD919" s="14">
        <v>3</v>
      </c>
      <c r="AE919" t="str">
        <f t="shared" si="29"/>
        <v>3-5 years</v>
      </c>
      <c r="AF919" s="14">
        <v>2</v>
      </c>
      <c r="AG919" s="14">
        <v>0</v>
      </c>
      <c r="AH919" s="14">
        <v>2</v>
      </c>
    </row>
    <row r="920" spans="1:34" x14ac:dyDescent="0.3">
      <c r="A920" s="14">
        <v>51</v>
      </c>
      <c r="B920" s="17" t="s">
        <v>43</v>
      </c>
      <c r="C920" t="s">
        <v>44</v>
      </c>
      <c r="D920">
        <v>237</v>
      </c>
      <c r="E920" s="17" t="s">
        <v>37</v>
      </c>
      <c r="F920">
        <v>9</v>
      </c>
      <c r="G920">
        <v>3</v>
      </c>
      <c r="H920" t="s">
        <v>38</v>
      </c>
      <c r="I920">
        <v>1282</v>
      </c>
      <c r="J920">
        <v>4</v>
      </c>
      <c r="K920" s="17" t="s">
        <v>46</v>
      </c>
      <c r="L920">
        <v>83</v>
      </c>
      <c r="M920">
        <v>3</v>
      </c>
      <c r="N920">
        <v>5</v>
      </c>
      <c r="O920" s="17" t="s">
        <v>56</v>
      </c>
      <c r="P920" s="14">
        <v>2</v>
      </c>
      <c r="Q920" t="s">
        <v>52</v>
      </c>
      <c r="R920" s="14">
        <v>19847</v>
      </c>
      <c r="S920" s="17" t="str">
        <f t="shared" si="28"/>
        <v>high</v>
      </c>
      <c r="T920">
        <v>19196</v>
      </c>
      <c r="U920">
        <v>4</v>
      </c>
      <c r="V920" s="17" t="s">
        <v>35</v>
      </c>
      <c r="W920">
        <v>24</v>
      </c>
      <c r="X920">
        <v>4</v>
      </c>
      <c r="Y920">
        <v>1</v>
      </c>
      <c r="Z920">
        <v>1</v>
      </c>
      <c r="AA920">
        <v>31</v>
      </c>
      <c r="AB920">
        <v>5</v>
      </c>
      <c r="AC920">
        <v>2</v>
      </c>
      <c r="AD920" s="14">
        <v>29</v>
      </c>
      <c r="AE920" t="str">
        <f t="shared" si="29"/>
        <v>10+ years</v>
      </c>
      <c r="AF920" s="14">
        <v>10</v>
      </c>
      <c r="AG920" s="14">
        <v>11</v>
      </c>
      <c r="AH920" s="14">
        <v>10</v>
      </c>
    </row>
    <row r="921" spans="1:34" x14ac:dyDescent="0.3">
      <c r="A921" s="14">
        <v>59</v>
      </c>
      <c r="B921" s="17" t="s">
        <v>43</v>
      </c>
      <c r="C921" t="s">
        <v>36</v>
      </c>
      <c r="D921">
        <v>1429</v>
      </c>
      <c r="E921" s="17" t="s">
        <v>45</v>
      </c>
      <c r="F921">
        <v>18</v>
      </c>
      <c r="G921">
        <v>4</v>
      </c>
      <c r="H921" t="s">
        <v>51</v>
      </c>
      <c r="I921">
        <v>1283</v>
      </c>
      <c r="J921">
        <v>4</v>
      </c>
      <c r="K921" s="17" t="s">
        <v>46</v>
      </c>
      <c r="L921">
        <v>67</v>
      </c>
      <c r="M921">
        <v>3</v>
      </c>
      <c r="N921">
        <v>3</v>
      </c>
      <c r="O921" s="17" t="s">
        <v>53</v>
      </c>
      <c r="P921" s="14">
        <v>4</v>
      </c>
      <c r="Q921" t="s">
        <v>41</v>
      </c>
      <c r="R921" s="14">
        <v>10512</v>
      </c>
      <c r="S921" s="17" t="str">
        <f t="shared" si="28"/>
        <v>high</v>
      </c>
      <c r="T921">
        <v>20002</v>
      </c>
      <c r="U921">
        <v>6</v>
      </c>
      <c r="V921" s="17" t="s">
        <v>43</v>
      </c>
      <c r="W921">
        <v>12</v>
      </c>
      <c r="X921">
        <v>3</v>
      </c>
      <c r="Y921">
        <v>4</v>
      </c>
      <c r="Z921">
        <v>0</v>
      </c>
      <c r="AA921">
        <v>25</v>
      </c>
      <c r="AB921">
        <v>6</v>
      </c>
      <c r="AC921">
        <v>2</v>
      </c>
      <c r="AD921" s="14">
        <v>9</v>
      </c>
      <c r="AE921" t="str">
        <f t="shared" si="29"/>
        <v>6-10 years</v>
      </c>
      <c r="AF921" s="14">
        <v>7</v>
      </c>
      <c r="AG921" s="14">
        <v>5</v>
      </c>
      <c r="AH921" s="14">
        <v>4</v>
      </c>
    </row>
    <row r="922" spans="1:34" x14ac:dyDescent="0.3">
      <c r="A922" s="14">
        <v>34</v>
      </c>
      <c r="B922" s="17" t="s">
        <v>43</v>
      </c>
      <c r="C922" t="s">
        <v>44</v>
      </c>
      <c r="D922">
        <v>135</v>
      </c>
      <c r="E922" s="17" t="s">
        <v>45</v>
      </c>
      <c r="F922">
        <v>19</v>
      </c>
      <c r="G922">
        <v>3</v>
      </c>
      <c r="H922" t="s">
        <v>51</v>
      </c>
      <c r="I922">
        <v>1285</v>
      </c>
      <c r="J922">
        <v>3</v>
      </c>
      <c r="K922" s="17" t="s">
        <v>39</v>
      </c>
      <c r="L922">
        <v>46</v>
      </c>
      <c r="M922">
        <v>3</v>
      </c>
      <c r="N922">
        <v>2</v>
      </c>
      <c r="O922" s="17" t="s">
        <v>50</v>
      </c>
      <c r="P922" s="14">
        <v>2</v>
      </c>
      <c r="Q922" t="s">
        <v>52</v>
      </c>
      <c r="R922" s="14">
        <v>4444</v>
      </c>
      <c r="S922" s="17" t="str">
        <f t="shared" si="28"/>
        <v>medium</v>
      </c>
      <c r="T922">
        <v>22534</v>
      </c>
      <c r="U922">
        <v>4</v>
      </c>
      <c r="V922" s="17" t="s">
        <v>43</v>
      </c>
      <c r="W922">
        <v>13</v>
      </c>
      <c r="X922">
        <v>3</v>
      </c>
      <c r="Y922">
        <v>3</v>
      </c>
      <c r="Z922">
        <v>2</v>
      </c>
      <c r="AA922">
        <v>15</v>
      </c>
      <c r="AB922">
        <v>2</v>
      </c>
      <c r="AC922">
        <v>4</v>
      </c>
      <c r="AD922" s="14">
        <v>11</v>
      </c>
      <c r="AE922" t="str">
        <f t="shared" si="29"/>
        <v>10+ years</v>
      </c>
      <c r="AF922" s="14">
        <v>8</v>
      </c>
      <c r="AG922" s="14">
        <v>5</v>
      </c>
      <c r="AH922" s="14">
        <v>10</v>
      </c>
    </row>
    <row r="923" spans="1:34" x14ac:dyDescent="0.3">
      <c r="A923" s="14">
        <v>28</v>
      </c>
      <c r="B923" s="17" t="s">
        <v>43</v>
      </c>
      <c r="C923" t="s">
        <v>44</v>
      </c>
      <c r="D923">
        <v>791</v>
      </c>
      <c r="E923" s="17" t="s">
        <v>45</v>
      </c>
      <c r="F923">
        <v>1</v>
      </c>
      <c r="G923">
        <v>4</v>
      </c>
      <c r="H923" t="s">
        <v>51</v>
      </c>
      <c r="I923">
        <v>1286</v>
      </c>
      <c r="J923">
        <v>4</v>
      </c>
      <c r="K923" s="17" t="s">
        <v>46</v>
      </c>
      <c r="L923">
        <v>44</v>
      </c>
      <c r="M923">
        <v>3</v>
      </c>
      <c r="N923">
        <v>1</v>
      </c>
      <c r="O923" s="17" t="s">
        <v>50</v>
      </c>
      <c r="P923" s="14">
        <v>3</v>
      </c>
      <c r="Q923" t="s">
        <v>41</v>
      </c>
      <c r="R923" s="14">
        <v>2154</v>
      </c>
      <c r="S923" s="17" t="str">
        <f t="shared" si="28"/>
        <v>low</v>
      </c>
      <c r="T923">
        <v>6842</v>
      </c>
      <c r="U923">
        <v>0</v>
      </c>
      <c r="V923" s="17" t="s">
        <v>35</v>
      </c>
      <c r="W923">
        <v>11</v>
      </c>
      <c r="X923">
        <v>3</v>
      </c>
      <c r="Y923">
        <v>3</v>
      </c>
      <c r="Z923">
        <v>0</v>
      </c>
      <c r="AA923">
        <v>5</v>
      </c>
      <c r="AB923">
        <v>2</v>
      </c>
      <c r="AC923">
        <v>2</v>
      </c>
      <c r="AD923" s="14">
        <v>4</v>
      </c>
      <c r="AE923" t="str">
        <f t="shared" si="29"/>
        <v>3-5 years</v>
      </c>
      <c r="AF923" s="14">
        <v>2</v>
      </c>
      <c r="AG923" s="14">
        <v>0</v>
      </c>
      <c r="AH923" s="14">
        <v>2</v>
      </c>
    </row>
    <row r="924" spans="1:34" x14ac:dyDescent="0.3">
      <c r="A924" s="14">
        <v>44</v>
      </c>
      <c r="B924" s="17" t="s">
        <v>43</v>
      </c>
      <c r="C924" t="s">
        <v>36</v>
      </c>
      <c r="D924">
        <v>1199</v>
      </c>
      <c r="E924" s="17" t="s">
        <v>45</v>
      </c>
      <c r="F924">
        <v>4</v>
      </c>
      <c r="G924">
        <v>2</v>
      </c>
      <c r="H924" t="s">
        <v>38</v>
      </c>
      <c r="I924">
        <v>1288</v>
      </c>
      <c r="J924">
        <v>3</v>
      </c>
      <c r="K924" s="17" t="s">
        <v>46</v>
      </c>
      <c r="L924">
        <v>92</v>
      </c>
      <c r="M924">
        <v>4</v>
      </c>
      <c r="N924">
        <v>5</v>
      </c>
      <c r="O924" s="17" t="s">
        <v>56</v>
      </c>
      <c r="P924" s="14">
        <v>1</v>
      </c>
      <c r="Q924" t="s">
        <v>52</v>
      </c>
      <c r="R924" s="14">
        <v>19190</v>
      </c>
      <c r="S924" s="17" t="str">
        <f t="shared" si="28"/>
        <v>high</v>
      </c>
      <c r="T924">
        <v>17477</v>
      </c>
      <c r="U924">
        <v>1</v>
      </c>
      <c r="V924" s="17" t="s">
        <v>43</v>
      </c>
      <c r="W924">
        <v>14</v>
      </c>
      <c r="X924">
        <v>3</v>
      </c>
      <c r="Y924">
        <v>4</v>
      </c>
      <c r="Z924">
        <v>2</v>
      </c>
      <c r="AA924">
        <v>26</v>
      </c>
      <c r="AB924">
        <v>4</v>
      </c>
      <c r="AC924">
        <v>2</v>
      </c>
      <c r="AD924" s="14">
        <v>25</v>
      </c>
      <c r="AE924" t="str">
        <f t="shared" si="29"/>
        <v>10+ years</v>
      </c>
      <c r="AF924" s="14">
        <v>9</v>
      </c>
      <c r="AG924" s="14">
        <v>14</v>
      </c>
      <c r="AH924" s="14">
        <v>13</v>
      </c>
    </row>
    <row r="925" spans="1:34" x14ac:dyDescent="0.3">
      <c r="A925" s="14">
        <v>34</v>
      </c>
      <c r="B925" s="17" t="s">
        <v>43</v>
      </c>
      <c r="C925" t="s">
        <v>44</v>
      </c>
      <c r="D925">
        <v>648</v>
      </c>
      <c r="E925" s="17" t="s">
        <v>61</v>
      </c>
      <c r="F925">
        <v>11</v>
      </c>
      <c r="G925">
        <v>3</v>
      </c>
      <c r="H925" t="s">
        <v>38</v>
      </c>
      <c r="I925">
        <v>1289</v>
      </c>
      <c r="J925">
        <v>3</v>
      </c>
      <c r="K925" s="17" t="s">
        <v>46</v>
      </c>
      <c r="L925">
        <v>56</v>
      </c>
      <c r="M925">
        <v>2</v>
      </c>
      <c r="N925">
        <v>2</v>
      </c>
      <c r="O925" s="17" t="s">
        <v>61</v>
      </c>
      <c r="P925" s="14">
        <v>2</v>
      </c>
      <c r="Q925" t="s">
        <v>48</v>
      </c>
      <c r="R925" s="14">
        <v>4490</v>
      </c>
      <c r="S925" s="17" t="str">
        <f t="shared" si="28"/>
        <v>medium</v>
      </c>
      <c r="T925">
        <v>21833</v>
      </c>
      <c r="U925">
        <v>4</v>
      </c>
      <c r="V925" s="17" t="s">
        <v>43</v>
      </c>
      <c r="W925">
        <v>11</v>
      </c>
      <c r="X925">
        <v>3</v>
      </c>
      <c r="Y925">
        <v>4</v>
      </c>
      <c r="Z925">
        <v>2</v>
      </c>
      <c r="AA925">
        <v>14</v>
      </c>
      <c r="AB925">
        <v>5</v>
      </c>
      <c r="AC925">
        <v>4</v>
      </c>
      <c r="AD925" s="14">
        <v>10</v>
      </c>
      <c r="AE925" t="str">
        <f t="shared" si="29"/>
        <v>6-10 years</v>
      </c>
      <c r="AF925" s="14">
        <v>9</v>
      </c>
      <c r="AG925" s="14">
        <v>1</v>
      </c>
      <c r="AH925" s="14">
        <v>8</v>
      </c>
    </row>
    <row r="926" spans="1:34" x14ac:dyDescent="0.3">
      <c r="A926" s="14">
        <v>35</v>
      </c>
      <c r="B926" s="17" t="s">
        <v>43</v>
      </c>
      <c r="C926" t="s">
        <v>36</v>
      </c>
      <c r="D926">
        <v>735</v>
      </c>
      <c r="E926" s="17" t="s">
        <v>45</v>
      </c>
      <c r="F926">
        <v>6</v>
      </c>
      <c r="G926">
        <v>1</v>
      </c>
      <c r="H926" t="s">
        <v>38</v>
      </c>
      <c r="I926">
        <v>1291</v>
      </c>
      <c r="J926">
        <v>3</v>
      </c>
      <c r="K926" s="17" t="s">
        <v>46</v>
      </c>
      <c r="L926">
        <v>66</v>
      </c>
      <c r="M926">
        <v>3</v>
      </c>
      <c r="N926">
        <v>1</v>
      </c>
      <c r="O926" s="17" t="s">
        <v>47</v>
      </c>
      <c r="P926" s="14">
        <v>3</v>
      </c>
      <c r="Q926" t="s">
        <v>48</v>
      </c>
      <c r="R926" s="14">
        <v>3506</v>
      </c>
      <c r="S926" s="17" t="str">
        <f t="shared" si="28"/>
        <v>medium</v>
      </c>
      <c r="T926">
        <v>6020</v>
      </c>
      <c r="U926">
        <v>0</v>
      </c>
      <c r="V926" s="17" t="s">
        <v>35</v>
      </c>
      <c r="W926">
        <v>14</v>
      </c>
      <c r="X926">
        <v>3</v>
      </c>
      <c r="Y926">
        <v>4</v>
      </c>
      <c r="Z926">
        <v>0</v>
      </c>
      <c r="AA926">
        <v>4</v>
      </c>
      <c r="AB926">
        <v>3</v>
      </c>
      <c r="AC926">
        <v>3</v>
      </c>
      <c r="AD926" s="14">
        <v>3</v>
      </c>
      <c r="AE926" t="str">
        <f t="shared" si="29"/>
        <v>3-5 years</v>
      </c>
      <c r="AF926" s="14">
        <v>2</v>
      </c>
      <c r="AG926" s="14">
        <v>2</v>
      </c>
      <c r="AH926" s="14">
        <v>2</v>
      </c>
    </row>
    <row r="927" spans="1:34" x14ac:dyDescent="0.3">
      <c r="A927" s="14">
        <v>42</v>
      </c>
      <c r="B927" s="17" t="s">
        <v>43</v>
      </c>
      <c r="C927" t="s">
        <v>36</v>
      </c>
      <c r="D927">
        <v>603</v>
      </c>
      <c r="E927" s="17" t="s">
        <v>45</v>
      </c>
      <c r="F927">
        <v>7</v>
      </c>
      <c r="G927">
        <v>4</v>
      </c>
      <c r="H927" t="s">
        <v>51</v>
      </c>
      <c r="I927">
        <v>1292</v>
      </c>
      <c r="J927">
        <v>2</v>
      </c>
      <c r="K927" s="17" t="s">
        <v>39</v>
      </c>
      <c r="L927">
        <v>78</v>
      </c>
      <c r="M927">
        <v>4</v>
      </c>
      <c r="N927">
        <v>2</v>
      </c>
      <c r="O927" s="17" t="s">
        <v>47</v>
      </c>
      <c r="P927" s="14">
        <v>2</v>
      </c>
      <c r="Q927" t="s">
        <v>48</v>
      </c>
      <c r="R927" s="14">
        <v>2372</v>
      </c>
      <c r="S927" s="17" t="str">
        <f t="shared" si="28"/>
        <v>low</v>
      </c>
      <c r="T927">
        <v>5628</v>
      </c>
      <c r="U927">
        <v>6</v>
      </c>
      <c r="V927" s="17" t="s">
        <v>35</v>
      </c>
      <c r="W927">
        <v>16</v>
      </c>
      <c r="X927">
        <v>3</v>
      </c>
      <c r="Y927">
        <v>4</v>
      </c>
      <c r="Z927">
        <v>0</v>
      </c>
      <c r="AA927">
        <v>18</v>
      </c>
      <c r="AB927">
        <v>2</v>
      </c>
      <c r="AC927">
        <v>3</v>
      </c>
      <c r="AD927" s="14">
        <v>1</v>
      </c>
      <c r="AE927" t="str">
        <f t="shared" si="29"/>
        <v>0-2 years</v>
      </c>
      <c r="AF927" s="14">
        <v>0</v>
      </c>
      <c r="AG927" s="14">
        <v>0</v>
      </c>
      <c r="AH927" s="14">
        <v>0</v>
      </c>
    </row>
    <row r="928" spans="1:34" x14ac:dyDescent="0.3">
      <c r="A928" s="14">
        <v>43</v>
      </c>
      <c r="B928" s="17" t="s">
        <v>43</v>
      </c>
      <c r="C928" t="s">
        <v>36</v>
      </c>
      <c r="D928">
        <v>531</v>
      </c>
      <c r="E928" s="17" t="s">
        <v>37</v>
      </c>
      <c r="F928">
        <v>4</v>
      </c>
      <c r="G928">
        <v>4</v>
      </c>
      <c r="H928" t="s">
        <v>59</v>
      </c>
      <c r="I928">
        <v>1293</v>
      </c>
      <c r="J928">
        <v>4</v>
      </c>
      <c r="K928" s="17" t="s">
        <v>39</v>
      </c>
      <c r="L928">
        <v>56</v>
      </c>
      <c r="M928">
        <v>2</v>
      </c>
      <c r="N928">
        <v>3</v>
      </c>
      <c r="O928" s="17" t="s">
        <v>40</v>
      </c>
      <c r="P928" s="14">
        <v>4</v>
      </c>
      <c r="Q928" t="s">
        <v>41</v>
      </c>
      <c r="R928" s="14">
        <v>10231</v>
      </c>
      <c r="S928" s="17" t="str">
        <f t="shared" si="28"/>
        <v>high</v>
      </c>
      <c r="T928">
        <v>20364</v>
      </c>
      <c r="U928">
        <v>3</v>
      </c>
      <c r="V928" s="17" t="s">
        <v>43</v>
      </c>
      <c r="W928">
        <v>14</v>
      </c>
      <c r="X928">
        <v>3</v>
      </c>
      <c r="Y928">
        <v>4</v>
      </c>
      <c r="Z928">
        <v>0</v>
      </c>
      <c r="AA928">
        <v>23</v>
      </c>
      <c r="AB928">
        <v>3</v>
      </c>
      <c r="AC928">
        <v>4</v>
      </c>
      <c r="AD928" s="14">
        <v>21</v>
      </c>
      <c r="AE928" t="str">
        <f t="shared" si="29"/>
        <v>10+ years</v>
      </c>
      <c r="AF928" s="14">
        <v>7</v>
      </c>
      <c r="AG928" s="14">
        <v>15</v>
      </c>
      <c r="AH928" s="14">
        <v>17</v>
      </c>
    </row>
    <row r="929" spans="1:34" x14ac:dyDescent="0.3">
      <c r="A929" s="14">
        <v>36</v>
      </c>
      <c r="B929" s="17" t="s">
        <v>43</v>
      </c>
      <c r="C929" t="s">
        <v>36</v>
      </c>
      <c r="D929">
        <v>429</v>
      </c>
      <c r="E929" s="17" t="s">
        <v>45</v>
      </c>
      <c r="F929">
        <v>2</v>
      </c>
      <c r="G929">
        <v>4</v>
      </c>
      <c r="H929" t="s">
        <v>38</v>
      </c>
      <c r="I929">
        <v>1294</v>
      </c>
      <c r="J929">
        <v>3</v>
      </c>
      <c r="K929" s="17" t="s">
        <v>39</v>
      </c>
      <c r="L929">
        <v>53</v>
      </c>
      <c r="M929">
        <v>3</v>
      </c>
      <c r="N929">
        <v>2</v>
      </c>
      <c r="O929" s="17" t="s">
        <v>53</v>
      </c>
      <c r="P929" s="14">
        <v>2</v>
      </c>
      <c r="Q929" t="s">
        <v>41</v>
      </c>
      <c r="R929" s="14">
        <v>5410</v>
      </c>
      <c r="S929" s="17" t="str">
        <f t="shared" si="28"/>
        <v>medium</v>
      </c>
      <c r="T929">
        <v>2323</v>
      </c>
      <c r="U929">
        <v>9</v>
      </c>
      <c r="V929" s="17" t="s">
        <v>35</v>
      </c>
      <c r="W929">
        <v>11</v>
      </c>
      <c r="X929">
        <v>3</v>
      </c>
      <c r="Y929">
        <v>4</v>
      </c>
      <c r="Z929">
        <v>0</v>
      </c>
      <c r="AA929">
        <v>18</v>
      </c>
      <c r="AB929">
        <v>2</v>
      </c>
      <c r="AC929">
        <v>3</v>
      </c>
      <c r="AD929" s="14">
        <v>16</v>
      </c>
      <c r="AE929" t="str">
        <f t="shared" si="29"/>
        <v>10+ years</v>
      </c>
      <c r="AF929" s="14">
        <v>14</v>
      </c>
      <c r="AG929" s="14">
        <v>5</v>
      </c>
      <c r="AH929" s="14">
        <v>12</v>
      </c>
    </row>
    <row r="930" spans="1:34" x14ac:dyDescent="0.3">
      <c r="A930" s="14">
        <v>44</v>
      </c>
      <c r="B930" s="17" t="s">
        <v>35</v>
      </c>
      <c r="C930" t="s">
        <v>36</v>
      </c>
      <c r="D930">
        <v>621</v>
      </c>
      <c r="E930" s="17" t="s">
        <v>45</v>
      </c>
      <c r="F930">
        <v>15</v>
      </c>
      <c r="G930">
        <v>3</v>
      </c>
      <c r="H930" t="s">
        <v>51</v>
      </c>
      <c r="I930">
        <v>1295</v>
      </c>
      <c r="J930">
        <v>1</v>
      </c>
      <c r="K930" s="17" t="s">
        <v>39</v>
      </c>
      <c r="L930">
        <v>73</v>
      </c>
      <c r="M930">
        <v>3</v>
      </c>
      <c r="N930">
        <v>3</v>
      </c>
      <c r="O930" s="17" t="s">
        <v>54</v>
      </c>
      <c r="P930" s="14">
        <v>4</v>
      </c>
      <c r="Q930" t="s">
        <v>48</v>
      </c>
      <c r="R930" s="14">
        <v>7978</v>
      </c>
      <c r="S930" s="17" t="str">
        <f t="shared" si="28"/>
        <v>high</v>
      </c>
      <c r="T930">
        <v>14075</v>
      </c>
      <c r="U930">
        <v>1</v>
      </c>
      <c r="V930" s="17" t="s">
        <v>43</v>
      </c>
      <c r="W930">
        <v>11</v>
      </c>
      <c r="X930">
        <v>3</v>
      </c>
      <c r="Y930">
        <v>4</v>
      </c>
      <c r="Z930">
        <v>1</v>
      </c>
      <c r="AA930">
        <v>10</v>
      </c>
      <c r="AB930">
        <v>2</v>
      </c>
      <c r="AC930">
        <v>3</v>
      </c>
      <c r="AD930" s="14">
        <v>10</v>
      </c>
      <c r="AE930" t="str">
        <f t="shared" si="29"/>
        <v>6-10 years</v>
      </c>
      <c r="AF930" s="14">
        <v>7</v>
      </c>
      <c r="AG930" s="14">
        <v>0</v>
      </c>
      <c r="AH930" s="14">
        <v>5</v>
      </c>
    </row>
    <row r="931" spans="1:34" x14ac:dyDescent="0.3">
      <c r="A931" s="14">
        <v>28</v>
      </c>
      <c r="B931" s="17" t="s">
        <v>43</v>
      </c>
      <c r="C931" t="s">
        <v>44</v>
      </c>
      <c r="D931">
        <v>193</v>
      </c>
      <c r="E931" s="17" t="s">
        <v>45</v>
      </c>
      <c r="F931">
        <v>2</v>
      </c>
      <c r="G931">
        <v>3</v>
      </c>
      <c r="H931" t="s">
        <v>38</v>
      </c>
      <c r="I931">
        <v>1296</v>
      </c>
      <c r="J931">
        <v>4</v>
      </c>
      <c r="K931" s="17" t="s">
        <v>46</v>
      </c>
      <c r="L931">
        <v>52</v>
      </c>
      <c r="M931">
        <v>2</v>
      </c>
      <c r="N931">
        <v>1</v>
      </c>
      <c r="O931" s="17" t="s">
        <v>50</v>
      </c>
      <c r="P931" s="14">
        <v>4</v>
      </c>
      <c r="Q931" t="s">
        <v>48</v>
      </c>
      <c r="R931" s="14">
        <v>3867</v>
      </c>
      <c r="S931" s="17" t="str">
        <f t="shared" si="28"/>
        <v>medium</v>
      </c>
      <c r="T931">
        <v>14222</v>
      </c>
      <c r="U931">
        <v>1</v>
      </c>
      <c r="V931" s="17" t="s">
        <v>35</v>
      </c>
      <c r="W931">
        <v>12</v>
      </c>
      <c r="X931">
        <v>3</v>
      </c>
      <c r="Y931">
        <v>2</v>
      </c>
      <c r="Z931">
        <v>1</v>
      </c>
      <c r="AA931">
        <v>2</v>
      </c>
      <c r="AB931">
        <v>2</v>
      </c>
      <c r="AC931">
        <v>3</v>
      </c>
      <c r="AD931" s="14">
        <v>2</v>
      </c>
      <c r="AE931" t="str">
        <f t="shared" si="29"/>
        <v>0-2 years</v>
      </c>
      <c r="AF931" s="14">
        <v>2</v>
      </c>
      <c r="AG931" s="14">
        <v>2</v>
      </c>
      <c r="AH931" s="14">
        <v>2</v>
      </c>
    </row>
    <row r="932" spans="1:34" x14ac:dyDescent="0.3">
      <c r="A932" s="14">
        <v>51</v>
      </c>
      <c r="B932" s="17" t="s">
        <v>43</v>
      </c>
      <c r="C932" t="s">
        <v>44</v>
      </c>
      <c r="D932">
        <v>968</v>
      </c>
      <c r="E932" s="17" t="s">
        <v>45</v>
      </c>
      <c r="F932">
        <v>6</v>
      </c>
      <c r="G932">
        <v>2</v>
      </c>
      <c r="H932" t="s">
        <v>51</v>
      </c>
      <c r="I932">
        <v>1297</v>
      </c>
      <c r="J932">
        <v>2</v>
      </c>
      <c r="K932" s="17" t="s">
        <v>39</v>
      </c>
      <c r="L932">
        <v>40</v>
      </c>
      <c r="M932">
        <v>2</v>
      </c>
      <c r="N932">
        <v>1</v>
      </c>
      <c r="O932" s="17" t="s">
        <v>50</v>
      </c>
      <c r="P932" s="14">
        <v>3</v>
      </c>
      <c r="Q932" t="s">
        <v>41</v>
      </c>
      <c r="R932" s="14">
        <v>2838</v>
      </c>
      <c r="S932" s="17" t="str">
        <f t="shared" si="28"/>
        <v>low</v>
      </c>
      <c r="T932">
        <v>4257</v>
      </c>
      <c r="U932">
        <v>0</v>
      </c>
      <c r="V932" s="17" t="s">
        <v>43</v>
      </c>
      <c r="W932">
        <v>14</v>
      </c>
      <c r="X932">
        <v>3</v>
      </c>
      <c r="Y932">
        <v>2</v>
      </c>
      <c r="Z932">
        <v>0</v>
      </c>
      <c r="AA932">
        <v>8</v>
      </c>
      <c r="AB932">
        <v>6</v>
      </c>
      <c r="AC932">
        <v>2</v>
      </c>
      <c r="AD932" s="14">
        <v>7</v>
      </c>
      <c r="AE932" t="str">
        <f t="shared" si="29"/>
        <v>6-10 years</v>
      </c>
      <c r="AF932" s="14">
        <v>0</v>
      </c>
      <c r="AG932" s="14">
        <v>7</v>
      </c>
      <c r="AH932" s="14">
        <v>7</v>
      </c>
    </row>
    <row r="933" spans="1:34" x14ac:dyDescent="0.3">
      <c r="A933" s="14">
        <v>30</v>
      </c>
      <c r="B933" s="17" t="s">
        <v>43</v>
      </c>
      <c r="C933" t="s">
        <v>55</v>
      </c>
      <c r="D933">
        <v>879</v>
      </c>
      <c r="E933" s="17" t="s">
        <v>45</v>
      </c>
      <c r="F933">
        <v>9</v>
      </c>
      <c r="G933">
        <v>2</v>
      </c>
      <c r="H933" t="s">
        <v>51</v>
      </c>
      <c r="I933">
        <v>1298</v>
      </c>
      <c r="J933">
        <v>3</v>
      </c>
      <c r="K933" s="17" t="s">
        <v>39</v>
      </c>
      <c r="L933">
        <v>72</v>
      </c>
      <c r="M933">
        <v>3</v>
      </c>
      <c r="N933">
        <v>2</v>
      </c>
      <c r="O933" s="17" t="s">
        <v>53</v>
      </c>
      <c r="P933" s="14">
        <v>3</v>
      </c>
      <c r="Q933" t="s">
        <v>41</v>
      </c>
      <c r="R933" s="14">
        <v>4695</v>
      </c>
      <c r="S933" s="17" t="str">
        <f t="shared" si="28"/>
        <v>medium</v>
      </c>
      <c r="T933">
        <v>12858</v>
      </c>
      <c r="U933">
        <v>7</v>
      </c>
      <c r="V933" s="17" t="s">
        <v>35</v>
      </c>
      <c r="W933">
        <v>18</v>
      </c>
      <c r="X933">
        <v>3</v>
      </c>
      <c r="Y933">
        <v>3</v>
      </c>
      <c r="Z933">
        <v>0</v>
      </c>
      <c r="AA933">
        <v>10</v>
      </c>
      <c r="AB933">
        <v>3</v>
      </c>
      <c r="AC933">
        <v>3</v>
      </c>
      <c r="AD933" s="14">
        <v>8</v>
      </c>
      <c r="AE933" t="str">
        <f t="shared" si="29"/>
        <v>6-10 years</v>
      </c>
      <c r="AF933" s="14">
        <v>4</v>
      </c>
      <c r="AG933" s="14">
        <v>1</v>
      </c>
      <c r="AH933" s="14">
        <v>7</v>
      </c>
    </row>
    <row r="934" spans="1:34" x14ac:dyDescent="0.3">
      <c r="A934" s="14">
        <v>29</v>
      </c>
      <c r="B934" s="17" t="s">
        <v>35</v>
      </c>
      <c r="C934" t="s">
        <v>36</v>
      </c>
      <c r="D934">
        <v>806</v>
      </c>
      <c r="E934" s="17" t="s">
        <v>45</v>
      </c>
      <c r="F934">
        <v>7</v>
      </c>
      <c r="G934">
        <v>3</v>
      </c>
      <c r="H934" t="s">
        <v>60</v>
      </c>
      <c r="I934">
        <v>1299</v>
      </c>
      <c r="J934">
        <v>2</v>
      </c>
      <c r="K934" s="17" t="s">
        <v>39</v>
      </c>
      <c r="L934">
        <v>39</v>
      </c>
      <c r="M934">
        <v>3</v>
      </c>
      <c r="N934">
        <v>1</v>
      </c>
      <c r="O934" s="17" t="s">
        <v>50</v>
      </c>
      <c r="P934" s="14">
        <v>3</v>
      </c>
      <c r="Q934" t="s">
        <v>52</v>
      </c>
      <c r="R934" s="14">
        <v>3339</v>
      </c>
      <c r="S934" s="17" t="str">
        <f t="shared" si="28"/>
        <v>medium</v>
      </c>
      <c r="T934">
        <v>17285</v>
      </c>
      <c r="U934">
        <v>3</v>
      </c>
      <c r="V934" s="17" t="s">
        <v>35</v>
      </c>
      <c r="W934">
        <v>13</v>
      </c>
      <c r="X934">
        <v>3</v>
      </c>
      <c r="Y934">
        <v>1</v>
      </c>
      <c r="Z934">
        <v>2</v>
      </c>
      <c r="AA934">
        <v>10</v>
      </c>
      <c r="AB934">
        <v>2</v>
      </c>
      <c r="AC934">
        <v>3</v>
      </c>
      <c r="AD934" s="14">
        <v>7</v>
      </c>
      <c r="AE934" t="str">
        <f t="shared" si="29"/>
        <v>6-10 years</v>
      </c>
      <c r="AF934" s="14">
        <v>7</v>
      </c>
      <c r="AG934" s="14">
        <v>7</v>
      </c>
      <c r="AH934" s="14">
        <v>7</v>
      </c>
    </row>
    <row r="935" spans="1:34" x14ac:dyDescent="0.3">
      <c r="A935" s="14">
        <v>28</v>
      </c>
      <c r="B935" s="17" t="s">
        <v>43</v>
      </c>
      <c r="C935" t="s">
        <v>36</v>
      </c>
      <c r="D935">
        <v>640</v>
      </c>
      <c r="E935" s="17" t="s">
        <v>45</v>
      </c>
      <c r="F935">
        <v>1</v>
      </c>
      <c r="G935">
        <v>3</v>
      </c>
      <c r="H935" t="s">
        <v>60</v>
      </c>
      <c r="I935">
        <v>1301</v>
      </c>
      <c r="J935">
        <v>4</v>
      </c>
      <c r="K935" s="17" t="s">
        <v>46</v>
      </c>
      <c r="L935">
        <v>84</v>
      </c>
      <c r="M935">
        <v>3</v>
      </c>
      <c r="N935">
        <v>1</v>
      </c>
      <c r="O935" s="17" t="s">
        <v>47</v>
      </c>
      <c r="P935" s="14">
        <v>1</v>
      </c>
      <c r="Q935" t="s">
        <v>41</v>
      </c>
      <c r="R935" s="14">
        <v>2080</v>
      </c>
      <c r="S935" s="17" t="str">
        <f t="shared" si="28"/>
        <v>low</v>
      </c>
      <c r="T935">
        <v>4732</v>
      </c>
      <c r="U935">
        <v>2</v>
      </c>
      <c r="V935" s="17" t="s">
        <v>43</v>
      </c>
      <c r="W935">
        <v>11</v>
      </c>
      <c r="X935">
        <v>3</v>
      </c>
      <c r="Y935">
        <v>2</v>
      </c>
      <c r="Z935">
        <v>0</v>
      </c>
      <c r="AA935">
        <v>5</v>
      </c>
      <c r="AB935">
        <v>2</v>
      </c>
      <c r="AC935">
        <v>2</v>
      </c>
      <c r="AD935" s="14">
        <v>3</v>
      </c>
      <c r="AE935" t="str">
        <f t="shared" si="29"/>
        <v>3-5 years</v>
      </c>
      <c r="AF935" s="14">
        <v>2</v>
      </c>
      <c r="AG935" s="14">
        <v>1</v>
      </c>
      <c r="AH935" s="14">
        <v>2</v>
      </c>
    </row>
    <row r="936" spans="1:34" x14ac:dyDescent="0.3">
      <c r="A936" s="14">
        <v>25</v>
      </c>
      <c r="B936" s="17" t="s">
        <v>43</v>
      </c>
      <c r="C936" t="s">
        <v>36</v>
      </c>
      <c r="D936">
        <v>266</v>
      </c>
      <c r="E936" s="17" t="s">
        <v>45</v>
      </c>
      <c r="F936">
        <v>1</v>
      </c>
      <c r="G936">
        <v>3</v>
      </c>
      <c r="H936" t="s">
        <v>51</v>
      </c>
      <c r="I936">
        <v>1303</v>
      </c>
      <c r="J936">
        <v>4</v>
      </c>
      <c r="K936" s="17" t="s">
        <v>39</v>
      </c>
      <c r="L936">
        <v>40</v>
      </c>
      <c r="M936">
        <v>3</v>
      </c>
      <c r="N936">
        <v>1</v>
      </c>
      <c r="O936" s="17" t="s">
        <v>47</v>
      </c>
      <c r="P936" s="14">
        <v>2</v>
      </c>
      <c r="Q936" t="s">
        <v>41</v>
      </c>
      <c r="R936" s="14">
        <v>2096</v>
      </c>
      <c r="S936" s="17" t="str">
        <f t="shared" si="28"/>
        <v>low</v>
      </c>
      <c r="T936">
        <v>18830</v>
      </c>
      <c r="U936">
        <v>1</v>
      </c>
      <c r="V936" s="17" t="s">
        <v>43</v>
      </c>
      <c r="W936">
        <v>18</v>
      </c>
      <c r="X936">
        <v>3</v>
      </c>
      <c r="Y936">
        <v>4</v>
      </c>
      <c r="Z936">
        <v>0</v>
      </c>
      <c r="AA936">
        <v>2</v>
      </c>
      <c r="AB936">
        <v>3</v>
      </c>
      <c r="AC936">
        <v>2</v>
      </c>
      <c r="AD936" s="14">
        <v>2</v>
      </c>
      <c r="AE936" t="str">
        <f t="shared" si="29"/>
        <v>0-2 years</v>
      </c>
      <c r="AF936" s="14">
        <v>2</v>
      </c>
      <c r="AG936" s="14">
        <v>2</v>
      </c>
      <c r="AH936" s="14">
        <v>1</v>
      </c>
    </row>
    <row r="937" spans="1:34" x14ac:dyDescent="0.3">
      <c r="A937" s="14">
        <v>32</v>
      </c>
      <c r="B937" s="17" t="s">
        <v>43</v>
      </c>
      <c r="C937" t="s">
        <v>36</v>
      </c>
      <c r="D937">
        <v>604</v>
      </c>
      <c r="E937" s="17" t="s">
        <v>37</v>
      </c>
      <c r="F937">
        <v>8</v>
      </c>
      <c r="G937">
        <v>3</v>
      </c>
      <c r="H937" t="s">
        <v>51</v>
      </c>
      <c r="I937">
        <v>1304</v>
      </c>
      <c r="J937">
        <v>3</v>
      </c>
      <c r="K937" s="17" t="s">
        <v>46</v>
      </c>
      <c r="L937">
        <v>56</v>
      </c>
      <c r="M937">
        <v>4</v>
      </c>
      <c r="N937">
        <v>2</v>
      </c>
      <c r="O937" s="17" t="s">
        <v>40</v>
      </c>
      <c r="P937" s="14">
        <v>4</v>
      </c>
      <c r="Q937" t="s">
        <v>48</v>
      </c>
      <c r="R937" s="14">
        <v>6209</v>
      </c>
      <c r="S937" s="17" t="str">
        <f t="shared" si="28"/>
        <v>medium</v>
      </c>
      <c r="T937">
        <v>11693</v>
      </c>
      <c r="U937">
        <v>1</v>
      </c>
      <c r="V937" s="17" t="s">
        <v>43</v>
      </c>
      <c r="W937">
        <v>15</v>
      </c>
      <c r="X937">
        <v>3</v>
      </c>
      <c r="Y937">
        <v>3</v>
      </c>
      <c r="Z937">
        <v>2</v>
      </c>
      <c r="AA937">
        <v>10</v>
      </c>
      <c r="AB937">
        <v>4</v>
      </c>
      <c r="AC937">
        <v>4</v>
      </c>
      <c r="AD937" s="14">
        <v>10</v>
      </c>
      <c r="AE937" t="str">
        <f t="shared" si="29"/>
        <v>6-10 years</v>
      </c>
      <c r="AF937" s="14">
        <v>7</v>
      </c>
      <c r="AG937" s="14">
        <v>0</v>
      </c>
      <c r="AH937" s="14">
        <v>8</v>
      </c>
    </row>
    <row r="938" spans="1:34" x14ac:dyDescent="0.3">
      <c r="A938" s="14">
        <v>45</v>
      </c>
      <c r="B938" s="17" t="s">
        <v>43</v>
      </c>
      <c r="C938" t="s">
        <v>44</v>
      </c>
      <c r="D938">
        <v>364</v>
      </c>
      <c r="E938" s="17" t="s">
        <v>45</v>
      </c>
      <c r="F938">
        <v>25</v>
      </c>
      <c r="G938">
        <v>3</v>
      </c>
      <c r="H938" t="s">
        <v>51</v>
      </c>
      <c r="I938">
        <v>1306</v>
      </c>
      <c r="J938">
        <v>2</v>
      </c>
      <c r="K938" s="17" t="s">
        <v>39</v>
      </c>
      <c r="L938">
        <v>83</v>
      </c>
      <c r="M938">
        <v>3</v>
      </c>
      <c r="N938">
        <v>5</v>
      </c>
      <c r="O938" s="17" t="s">
        <v>56</v>
      </c>
      <c r="P938" s="14">
        <v>2</v>
      </c>
      <c r="Q938" t="s">
        <v>41</v>
      </c>
      <c r="R938" s="14">
        <v>18061</v>
      </c>
      <c r="S938" s="17" t="str">
        <f t="shared" si="28"/>
        <v>high</v>
      </c>
      <c r="T938">
        <v>13035</v>
      </c>
      <c r="U938">
        <v>3</v>
      </c>
      <c r="V938" s="17" t="s">
        <v>43</v>
      </c>
      <c r="W938">
        <v>22</v>
      </c>
      <c r="X938">
        <v>4</v>
      </c>
      <c r="Y938">
        <v>3</v>
      </c>
      <c r="Z938">
        <v>0</v>
      </c>
      <c r="AA938">
        <v>22</v>
      </c>
      <c r="AB938">
        <v>4</v>
      </c>
      <c r="AC938">
        <v>3</v>
      </c>
      <c r="AD938" s="14">
        <v>0</v>
      </c>
      <c r="AE938" t="str">
        <f t="shared" si="29"/>
        <v>0-2 years</v>
      </c>
      <c r="AF938" s="14">
        <v>0</v>
      </c>
      <c r="AG938" s="14">
        <v>0</v>
      </c>
      <c r="AH938" s="14">
        <v>0</v>
      </c>
    </row>
    <row r="939" spans="1:34" x14ac:dyDescent="0.3">
      <c r="A939" s="14">
        <v>39</v>
      </c>
      <c r="B939" s="17" t="s">
        <v>43</v>
      </c>
      <c r="C939" t="s">
        <v>36</v>
      </c>
      <c r="D939">
        <v>412</v>
      </c>
      <c r="E939" s="17" t="s">
        <v>45</v>
      </c>
      <c r="F939">
        <v>13</v>
      </c>
      <c r="G939">
        <v>4</v>
      </c>
      <c r="H939" t="s">
        <v>51</v>
      </c>
      <c r="I939">
        <v>1307</v>
      </c>
      <c r="J939">
        <v>3</v>
      </c>
      <c r="K939" s="17" t="s">
        <v>39</v>
      </c>
      <c r="L939">
        <v>94</v>
      </c>
      <c r="M939">
        <v>2</v>
      </c>
      <c r="N939">
        <v>4</v>
      </c>
      <c r="O939" s="17" t="s">
        <v>56</v>
      </c>
      <c r="P939" s="14">
        <v>2</v>
      </c>
      <c r="Q939" t="s">
        <v>52</v>
      </c>
      <c r="R939" s="14">
        <v>17123</v>
      </c>
      <c r="S939" s="17" t="str">
        <f t="shared" si="28"/>
        <v>high</v>
      </c>
      <c r="T939">
        <v>17334</v>
      </c>
      <c r="U939">
        <v>6</v>
      </c>
      <c r="V939" s="17" t="s">
        <v>35</v>
      </c>
      <c r="W939">
        <v>13</v>
      </c>
      <c r="X939">
        <v>3</v>
      </c>
      <c r="Y939">
        <v>4</v>
      </c>
      <c r="Z939">
        <v>2</v>
      </c>
      <c r="AA939">
        <v>21</v>
      </c>
      <c r="AB939">
        <v>4</v>
      </c>
      <c r="AC939">
        <v>3</v>
      </c>
      <c r="AD939" s="14">
        <v>19</v>
      </c>
      <c r="AE939" t="str">
        <f t="shared" si="29"/>
        <v>10+ years</v>
      </c>
      <c r="AF939" s="14">
        <v>9</v>
      </c>
      <c r="AG939" s="14">
        <v>15</v>
      </c>
      <c r="AH939" s="14">
        <v>2</v>
      </c>
    </row>
    <row r="940" spans="1:34" x14ac:dyDescent="0.3">
      <c r="A940" s="14">
        <v>58</v>
      </c>
      <c r="B940" s="17" t="s">
        <v>43</v>
      </c>
      <c r="C940" t="s">
        <v>36</v>
      </c>
      <c r="D940">
        <v>848</v>
      </c>
      <c r="E940" s="17" t="s">
        <v>45</v>
      </c>
      <c r="F940">
        <v>23</v>
      </c>
      <c r="G940">
        <v>4</v>
      </c>
      <c r="H940" t="s">
        <v>38</v>
      </c>
      <c r="I940">
        <v>1308</v>
      </c>
      <c r="J940">
        <v>1</v>
      </c>
      <c r="K940" s="17" t="s">
        <v>46</v>
      </c>
      <c r="L940">
        <v>88</v>
      </c>
      <c r="M940">
        <v>3</v>
      </c>
      <c r="N940">
        <v>1</v>
      </c>
      <c r="O940" s="17" t="s">
        <v>47</v>
      </c>
      <c r="P940" s="14">
        <v>3</v>
      </c>
      <c r="Q940" t="s">
        <v>52</v>
      </c>
      <c r="R940" s="14">
        <v>2372</v>
      </c>
      <c r="S940" s="17" t="str">
        <f t="shared" si="28"/>
        <v>low</v>
      </c>
      <c r="T940">
        <v>26076</v>
      </c>
      <c r="U940">
        <v>1</v>
      </c>
      <c r="V940" s="17" t="s">
        <v>43</v>
      </c>
      <c r="W940">
        <v>12</v>
      </c>
      <c r="X940">
        <v>3</v>
      </c>
      <c r="Y940">
        <v>4</v>
      </c>
      <c r="Z940">
        <v>2</v>
      </c>
      <c r="AA940">
        <v>2</v>
      </c>
      <c r="AB940">
        <v>3</v>
      </c>
      <c r="AC940">
        <v>3</v>
      </c>
      <c r="AD940" s="14">
        <v>2</v>
      </c>
      <c r="AE940" t="str">
        <f t="shared" si="29"/>
        <v>0-2 years</v>
      </c>
      <c r="AF940" s="14">
        <v>2</v>
      </c>
      <c r="AG940" s="14">
        <v>2</v>
      </c>
      <c r="AH940" s="14">
        <v>2</v>
      </c>
    </row>
    <row r="941" spans="1:34" x14ac:dyDescent="0.3">
      <c r="A941" s="14">
        <v>32</v>
      </c>
      <c r="B941" s="17" t="s">
        <v>35</v>
      </c>
      <c r="C941" t="s">
        <v>36</v>
      </c>
      <c r="D941">
        <v>1089</v>
      </c>
      <c r="E941" s="17" t="s">
        <v>45</v>
      </c>
      <c r="F941">
        <v>7</v>
      </c>
      <c r="G941">
        <v>2</v>
      </c>
      <c r="H941" t="s">
        <v>38</v>
      </c>
      <c r="I941">
        <v>1309</v>
      </c>
      <c r="J941">
        <v>4</v>
      </c>
      <c r="K941" s="17" t="s">
        <v>46</v>
      </c>
      <c r="L941">
        <v>79</v>
      </c>
      <c r="M941">
        <v>3</v>
      </c>
      <c r="N941">
        <v>2</v>
      </c>
      <c r="O941" s="17" t="s">
        <v>50</v>
      </c>
      <c r="P941" s="14">
        <v>3</v>
      </c>
      <c r="Q941" t="s">
        <v>48</v>
      </c>
      <c r="R941" s="14">
        <v>4883</v>
      </c>
      <c r="S941" s="17" t="str">
        <f t="shared" si="28"/>
        <v>medium</v>
      </c>
      <c r="T941">
        <v>22845</v>
      </c>
      <c r="U941">
        <v>1</v>
      </c>
      <c r="V941" s="17" t="s">
        <v>43</v>
      </c>
      <c r="W941">
        <v>18</v>
      </c>
      <c r="X941">
        <v>3</v>
      </c>
      <c r="Y941">
        <v>1</v>
      </c>
      <c r="Z941">
        <v>1</v>
      </c>
      <c r="AA941">
        <v>10</v>
      </c>
      <c r="AB941">
        <v>3</v>
      </c>
      <c r="AC941">
        <v>3</v>
      </c>
      <c r="AD941" s="14">
        <v>10</v>
      </c>
      <c r="AE941" t="str">
        <f t="shared" si="29"/>
        <v>6-10 years</v>
      </c>
      <c r="AF941" s="14">
        <v>4</v>
      </c>
      <c r="AG941" s="14">
        <v>1</v>
      </c>
      <c r="AH941" s="14">
        <v>1</v>
      </c>
    </row>
    <row r="942" spans="1:34" x14ac:dyDescent="0.3">
      <c r="A942" s="14">
        <v>39</v>
      </c>
      <c r="B942" s="17" t="s">
        <v>35</v>
      </c>
      <c r="C942" t="s">
        <v>36</v>
      </c>
      <c r="D942">
        <v>360</v>
      </c>
      <c r="E942" s="17" t="s">
        <v>45</v>
      </c>
      <c r="F942">
        <v>23</v>
      </c>
      <c r="G942">
        <v>3</v>
      </c>
      <c r="H942" t="s">
        <v>51</v>
      </c>
      <c r="I942">
        <v>1310</v>
      </c>
      <c r="J942">
        <v>3</v>
      </c>
      <c r="K942" s="17" t="s">
        <v>46</v>
      </c>
      <c r="L942">
        <v>93</v>
      </c>
      <c r="M942">
        <v>3</v>
      </c>
      <c r="N942">
        <v>1</v>
      </c>
      <c r="O942" s="17" t="s">
        <v>47</v>
      </c>
      <c r="P942" s="14">
        <v>1</v>
      </c>
      <c r="Q942" t="s">
        <v>41</v>
      </c>
      <c r="R942" s="14">
        <v>3904</v>
      </c>
      <c r="S942" s="17" t="str">
        <f t="shared" si="28"/>
        <v>medium</v>
      </c>
      <c r="T942">
        <v>22154</v>
      </c>
      <c r="U942">
        <v>0</v>
      </c>
      <c r="V942" s="17" t="s">
        <v>43</v>
      </c>
      <c r="W942">
        <v>13</v>
      </c>
      <c r="X942">
        <v>3</v>
      </c>
      <c r="Y942">
        <v>1</v>
      </c>
      <c r="Z942">
        <v>0</v>
      </c>
      <c r="AA942">
        <v>6</v>
      </c>
      <c r="AB942">
        <v>2</v>
      </c>
      <c r="AC942">
        <v>3</v>
      </c>
      <c r="AD942" s="14">
        <v>5</v>
      </c>
      <c r="AE942" t="str">
        <f t="shared" si="29"/>
        <v>3-5 years</v>
      </c>
      <c r="AF942" s="14">
        <v>2</v>
      </c>
      <c r="AG942" s="14">
        <v>0</v>
      </c>
      <c r="AH942" s="14">
        <v>3</v>
      </c>
    </row>
    <row r="943" spans="1:34" x14ac:dyDescent="0.3">
      <c r="A943" s="14">
        <v>30</v>
      </c>
      <c r="B943" s="17" t="s">
        <v>43</v>
      </c>
      <c r="C943" t="s">
        <v>36</v>
      </c>
      <c r="D943">
        <v>1138</v>
      </c>
      <c r="E943" s="17" t="s">
        <v>45</v>
      </c>
      <c r="F943">
        <v>6</v>
      </c>
      <c r="G943">
        <v>3</v>
      </c>
      <c r="H943" t="s">
        <v>60</v>
      </c>
      <c r="I943">
        <v>1311</v>
      </c>
      <c r="J943">
        <v>1</v>
      </c>
      <c r="K943" s="17" t="s">
        <v>39</v>
      </c>
      <c r="L943">
        <v>48</v>
      </c>
      <c r="M943">
        <v>2</v>
      </c>
      <c r="N943">
        <v>2</v>
      </c>
      <c r="O943" s="17" t="s">
        <v>50</v>
      </c>
      <c r="P943" s="14">
        <v>4</v>
      </c>
      <c r="Q943" t="s">
        <v>48</v>
      </c>
      <c r="R943" s="14">
        <v>4627</v>
      </c>
      <c r="S943" s="17" t="str">
        <f t="shared" si="28"/>
        <v>medium</v>
      </c>
      <c r="T943">
        <v>23631</v>
      </c>
      <c r="U943">
        <v>0</v>
      </c>
      <c r="V943" s="17" t="s">
        <v>43</v>
      </c>
      <c r="W943">
        <v>12</v>
      </c>
      <c r="X943">
        <v>3</v>
      </c>
      <c r="Y943">
        <v>1</v>
      </c>
      <c r="Z943">
        <v>1</v>
      </c>
      <c r="AA943">
        <v>10</v>
      </c>
      <c r="AB943">
        <v>6</v>
      </c>
      <c r="AC943">
        <v>3</v>
      </c>
      <c r="AD943" s="14">
        <v>9</v>
      </c>
      <c r="AE943" t="str">
        <f t="shared" si="29"/>
        <v>6-10 years</v>
      </c>
      <c r="AF943" s="14">
        <v>2</v>
      </c>
      <c r="AG943" s="14">
        <v>6</v>
      </c>
      <c r="AH943" s="14">
        <v>7</v>
      </c>
    </row>
    <row r="944" spans="1:34" x14ac:dyDescent="0.3">
      <c r="A944" s="14">
        <v>36</v>
      </c>
      <c r="B944" s="17" t="s">
        <v>43</v>
      </c>
      <c r="C944" t="s">
        <v>36</v>
      </c>
      <c r="D944">
        <v>325</v>
      </c>
      <c r="E944" s="17" t="s">
        <v>45</v>
      </c>
      <c r="F944">
        <v>10</v>
      </c>
      <c r="G944">
        <v>4</v>
      </c>
      <c r="H944" t="s">
        <v>60</v>
      </c>
      <c r="I944">
        <v>1312</v>
      </c>
      <c r="J944">
        <v>4</v>
      </c>
      <c r="K944" s="17" t="s">
        <v>39</v>
      </c>
      <c r="L944">
        <v>63</v>
      </c>
      <c r="M944">
        <v>3</v>
      </c>
      <c r="N944">
        <v>3</v>
      </c>
      <c r="O944" s="17" t="s">
        <v>54</v>
      </c>
      <c r="P944" s="14">
        <v>3</v>
      </c>
      <c r="Q944" t="s">
        <v>48</v>
      </c>
      <c r="R944" s="14">
        <v>7094</v>
      </c>
      <c r="S944" s="17" t="str">
        <f t="shared" si="28"/>
        <v>high</v>
      </c>
      <c r="T944">
        <v>5747</v>
      </c>
      <c r="U944">
        <v>3</v>
      </c>
      <c r="V944" s="17" t="s">
        <v>43</v>
      </c>
      <c r="W944">
        <v>12</v>
      </c>
      <c r="X944">
        <v>3</v>
      </c>
      <c r="Y944">
        <v>1</v>
      </c>
      <c r="Z944">
        <v>0</v>
      </c>
      <c r="AA944">
        <v>10</v>
      </c>
      <c r="AB944">
        <v>0</v>
      </c>
      <c r="AC944">
        <v>3</v>
      </c>
      <c r="AD944" s="14">
        <v>7</v>
      </c>
      <c r="AE944" t="str">
        <f t="shared" si="29"/>
        <v>6-10 years</v>
      </c>
      <c r="AF944" s="14">
        <v>7</v>
      </c>
      <c r="AG944" s="14">
        <v>1</v>
      </c>
      <c r="AH944" s="14">
        <v>7</v>
      </c>
    </row>
    <row r="945" spans="1:34" x14ac:dyDescent="0.3">
      <c r="A945" s="14">
        <v>46</v>
      </c>
      <c r="B945" s="17" t="s">
        <v>43</v>
      </c>
      <c r="C945" t="s">
        <v>36</v>
      </c>
      <c r="D945">
        <v>991</v>
      </c>
      <c r="E945" s="17" t="s">
        <v>61</v>
      </c>
      <c r="F945">
        <v>1</v>
      </c>
      <c r="G945">
        <v>2</v>
      </c>
      <c r="H945" t="s">
        <v>38</v>
      </c>
      <c r="I945">
        <v>1314</v>
      </c>
      <c r="J945">
        <v>4</v>
      </c>
      <c r="K945" s="17" t="s">
        <v>39</v>
      </c>
      <c r="L945">
        <v>44</v>
      </c>
      <c r="M945">
        <v>3</v>
      </c>
      <c r="N945">
        <v>1</v>
      </c>
      <c r="O945" s="17" t="s">
        <v>61</v>
      </c>
      <c r="P945" s="14">
        <v>1</v>
      </c>
      <c r="Q945" t="s">
        <v>41</v>
      </c>
      <c r="R945" s="14">
        <v>3423</v>
      </c>
      <c r="S945" s="17" t="str">
        <f t="shared" si="28"/>
        <v>medium</v>
      </c>
      <c r="T945">
        <v>22957</v>
      </c>
      <c r="U945">
        <v>6</v>
      </c>
      <c r="V945" s="17" t="s">
        <v>43</v>
      </c>
      <c r="W945">
        <v>12</v>
      </c>
      <c r="X945">
        <v>3</v>
      </c>
      <c r="Y945">
        <v>3</v>
      </c>
      <c r="Z945">
        <v>0</v>
      </c>
      <c r="AA945">
        <v>10</v>
      </c>
      <c r="AB945">
        <v>3</v>
      </c>
      <c r="AC945">
        <v>4</v>
      </c>
      <c r="AD945" s="14">
        <v>7</v>
      </c>
      <c r="AE945" t="str">
        <f t="shared" si="29"/>
        <v>6-10 years</v>
      </c>
      <c r="AF945" s="14">
        <v>6</v>
      </c>
      <c r="AG945" s="14">
        <v>5</v>
      </c>
      <c r="AH945" s="14">
        <v>7</v>
      </c>
    </row>
    <row r="946" spans="1:34" x14ac:dyDescent="0.3">
      <c r="A946" s="14">
        <v>28</v>
      </c>
      <c r="B946" s="17" t="s">
        <v>43</v>
      </c>
      <c r="C946" t="s">
        <v>55</v>
      </c>
      <c r="D946">
        <v>1476</v>
      </c>
      <c r="E946" s="17" t="s">
        <v>45</v>
      </c>
      <c r="F946">
        <v>1</v>
      </c>
      <c r="G946">
        <v>3</v>
      </c>
      <c r="H946" t="s">
        <v>38</v>
      </c>
      <c r="I946">
        <v>1315</v>
      </c>
      <c r="J946">
        <v>3</v>
      </c>
      <c r="K946" s="17" t="s">
        <v>39</v>
      </c>
      <c r="L946">
        <v>55</v>
      </c>
      <c r="M946">
        <v>1</v>
      </c>
      <c r="N946">
        <v>2</v>
      </c>
      <c r="O946" s="17" t="s">
        <v>50</v>
      </c>
      <c r="P946" s="14">
        <v>4</v>
      </c>
      <c r="Q946" t="s">
        <v>48</v>
      </c>
      <c r="R946" s="14">
        <v>6674</v>
      </c>
      <c r="S946" s="17" t="str">
        <f t="shared" si="28"/>
        <v>medium</v>
      </c>
      <c r="T946">
        <v>16392</v>
      </c>
      <c r="U946">
        <v>0</v>
      </c>
      <c r="V946" s="17" t="s">
        <v>43</v>
      </c>
      <c r="W946">
        <v>11</v>
      </c>
      <c r="X946">
        <v>3</v>
      </c>
      <c r="Y946">
        <v>1</v>
      </c>
      <c r="Z946">
        <v>3</v>
      </c>
      <c r="AA946">
        <v>10</v>
      </c>
      <c r="AB946">
        <v>6</v>
      </c>
      <c r="AC946">
        <v>3</v>
      </c>
      <c r="AD946" s="14">
        <v>9</v>
      </c>
      <c r="AE946" t="str">
        <f t="shared" si="29"/>
        <v>6-10 years</v>
      </c>
      <c r="AF946" s="14">
        <v>8</v>
      </c>
      <c r="AG946" s="14">
        <v>7</v>
      </c>
      <c r="AH946" s="14">
        <v>5</v>
      </c>
    </row>
    <row r="947" spans="1:34" x14ac:dyDescent="0.3">
      <c r="A947" s="14">
        <v>50</v>
      </c>
      <c r="B947" s="17" t="s">
        <v>43</v>
      </c>
      <c r="C947" t="s">
        <v>36</v>
      </c>
      <c r="D947">
        <v>1322</v>
      </c>
      <c r="E947" s="17" t="s">
        <v>45</v>
      </c>
      <c r="F947">
        <v>28</v>
      </c>
      <c r="G947">
        <v>3</v>
      </c>
      <c r="H947" t="s">
        <v>38</v>
      </c>
      <c r="I947">
        <v>1317</v>
      </c>
      <c r="J947">
        <v>4</v>
      </c>
      <c r="K947" s="17" t="s">
        <v>39</v>
      </c>
      <c r="L947">
        <v>43</v>
      </c>
      <c r="M947">
        <v>3</v>
      </c>
      <c r="N947">
        <v>4</v>
      </c>
      <c r="O947" s="17" t="s">
        <v>58</v>
      </c>
      <c r="P947" s="14">
        <v>1</v>
      </c>
      <c r="Q947" t="s">
        <v>48</v>
      </c>
      <c r="R947" s="14">
        <v>16880</v>
      </c>
      <c r="S947" s="17" t="str">
        <f t="shared" si="28"/>
        <v>high</v>
      </c>
      <c r="T947">
        <v>22422</v>
      </c>
      <c r="U947">
        <v>4</v>
      </c>
      <c r="V947" s="17" t="s">
        <v>35</v>
      </c>
      <c r="W947">
        <v>11</v>
      </c>
      <c r="X947">
        <v>3</v>
      </c>
      <c r="Y947">
        <v>2</v>
      </c>
      <c r="Z947">
        <v>0</v>
      </c>
      <c r="AA947">
        <v>25</v>
      </c>
      <c r="AB947">
        <v>2</v>
      </c>
      <c r="AC947">
        <v>3</v>
      </c>
      <c r="AD947" s="14">
        <v>3</v>
      </c>
      <c r="AE947" t="str">
        <f t="shared" si="29"/>
        <v>3-5 years</v>
      </c>
      <c r="AF947" s="14">
        <v>2</v>
      </c>
      <c r="AG947" s="14">
        <v>1</v>
      </c>
      <c r="AH947" s="14">
        <v>2</v>
      </c>
    </row>
    <row r="948" spans="1:34" x14ac:dyDescent="0.3">
      <c r="A948" s="14">
        <v>40</v>
      </c>
      <c r="B948" s="17" t="s">
        <v>35</v>
      </c>
      <c r="C948" t="s">
        <v>36</v>
      </c>
      <c r="D948">
        <v>299</v>
      </c>
      <c r="E948" s="17" t="s">
        <v>37</v>
      </c>
      <c r="F948">
        <v>25</v>
      </c>
      <c r="G948">
        <v>4</v>
      </c>
      <c r="H948" t="s">
        <v>59</v>
      </c>
      <c r="I948">
        <v>1318</v>
      </c>
      <c r="J948">
        <v>4</v>
      </c>
      <c r="K948" s="17" t="s">
        <v>46</v>
      </c>
      <c r="L948">
        <v>57</v>
      </c>
      <c r="M948">
        <v>2</v>
      </c>
      <c r="N948">
        <v>3</v>
      </c>
      <c r="O948" s="17" t="s">
        <v>40</v>
      </c>
      <c r="P948" s="14">
        <v>2</v>
      </c>
      <c r="Q948" t="s">
        <v>41</v>
      </c>
      <c r="R948" s="14">
        <v>9094</v>
      </c>
      <c r="S948" s="17" t="str">
        <f t="shared" si="28"/>
        <v>high</v>
      </c>
      <c r="T948">
        <v>17235</v>
      </c>
      <c r="U948">
        <v>2</v>
      </c>
      <c r="V948" s="17" t="s">
        <v>35</v>
      </c>
      <c r="W948">
        <v>12</v>
      </c>
      <c r="X948">
        <v>3</v>
      </c>
      <c r="Y948">
        <v>3</v>
      </c>
      <c r="Z948">
        <v>0</v>
      </c>
      <c r="AA948">
        <v>9</v>
      </c>
      <c r="AB948">
        <v>2</v>
      </c>
      <c r="AC948">
        <v>3</v>
      </c>
      <c r="AD948" s="14">
        <v>5</v>
      </c>
      <c r="AE948" t="str">
        <f t="shared" si="29"/>
        <v>3-5 years</v>
      </c>
      <c r="AF948" s="14">
        <v>4</v>
      </c>
      <c r="AG948" s="14">
        <v>1</v>
      </c>
      <c r="AH948" s="14">
        <v>0</v>
      </c>
    </row>
    <row r="949" spans="1:34" x14ac:dyDescent="0.3">
      <c r="A949" s="14">
        <v>52</v>
      </c>
      <c r="B949" s="17" t="s">
        <v>35</v>
      </c>
      <c r="C949" t="s">
        <v>36</v>
      </c>
      <c r="D949">
        <v>1030</v>
      </c>
      <c r="E949" s="17" t="s">
        <v>37</v>
      </c>
      <c r="F949">
        <v>5</v>
      </c>
      <c r="G949">
        <v>3</v>
      </c>
      <c r="H949" t="s">
        <v>38</v>
      </c>
      <c r="I949">
        <v>1319</v>
      </c>
      <c r="J949">
        <v>2</v>
      </c>
      <c r="K949" s="17" t="s">
        <v>46</v>
      </c>
      <c r="L949">
        <v>64</v>
      </c>
      <c r="M949">
        <v>3</v>
      </c>
      <c r="N949">
        <v>3</v>
      </c>
      <c r="O949" s="17" t="s">
        <v>40</v>
      </c>
      <c r="P949" s="14">
        <v>2</v>
      </c>
      <c r="Q949" t="s">
        <v>41</v>
      </c>
      <c r="R949" s="14">
        <v>8446</v>
      </c>
      <c r="S949" s="17" t="str">
        <f t="shared" si="28"/>
        <v>high</v>
      </c>
      <c r="T949">
        <v>21534</v>
      </c>
      <c r="U949">
        <v>9</v>
      </c>
      <c r="V949" s="17" t="s">
        <v>35</v>
      </c>
      <c r="W949">
        <v>19</v>
      </c>
      <c r="X949">
        <v>3</v>
      </c>
      <c r="Y949">
        <v>3</v>
      </c>
      <c r="Z949">
        <v>0</v>
      </c>
      <c r="AA949">
        <v>10</v>
      </c>
      <c r="AB949">
        <v>2</v>
      </c>
      <c r="AC949">
        <v>2</v>
      </c>
      <c r="AD949" s="14">
        <v>8</v>
      </c>
      <c r="AE949" t="str">
        <f t="shared" si="29"/>
        <v>6-10 years</v>
      </c>
      <c r="AF949" s="14">
        <v>7</v>
      </c>
      <c r="AG949" s="14">
        <v>7</v>
      </c>
      <c r="AH949" s="14">
        <v>7</v>
      </c>
    </row>
    <row r="950" spans="1:34" x14ac:dyDescent="0.3">
      <c r="A950" s="14">
        <v>30</v>
      </c>
      <c r="B950" s="17" t="s">
        <v>43</v>
      </c>
      <c r="C950" t="s">
        <v>36</v>
      </c>
      <c r="D950">
        <v>634</v>
      </c>
      <c r="E950" s="17" t="s">
        <v>45</v>
      </c>
      <c r="F950">
        <v>17</v>
      </c>
      <c r="G950">
        <v>4</v>
      </c>
      <c r="H950" t="s">
        <v>51</v>
      </c>
      <c r="I950">
        <v>1321</v>
      </c>
      <c r="J950">
        <v>2</v>
      </c>
      <c r="K950" s="17" t="s">
        <v>39</v>
      </c>
      <c r="L950">
        <v>95</v>
      </c>
      <c r="M950">
        <v>3</v>
      </c>
      <c r="N950">
        <v>3</v>
      </c>
      <c r="O950" s="17" t="s">
        <v>56</v>
      </c>
      <c r="P950" s="14">
        <v>1</v>
      </c>
      <c r="Q950" t="s">
        <v>48</v>
      </c>
      <c r="R950" s="14">
        <v>11916</v>
      </c>
      <c r="S950" s="17" t="str">
        <f t="shared" si="28"/>
        <v>high</v>
      </c>
      <c r="T950">
        <v>25927</v>
      </c>
      <c r="U950">
        <v>1</v>
      </c>
      <c r="V950" s="17" t="s">
        <v>35</v>
      </c>
      <c r="W950">
        <v>23</v>
      </c>
      <c r="X950">
        <v>4</v>
      </c>
      <c r="Y950">
        <v>4</v>
      </c>
      <c r="Z950">
        <v>2</v>
      </c>
      <c r="AA950">
        <v>9</v>
      </c>
      <c r="AB950">
        <v>2</v>
      </c>
      <c r="AC950">
        <v>3</v>
      </c>
      <c r="AD950" s="14">
        <v>9</v>
      </c>
      <c r="AE950" t="str">
        <f t="shared" si="29"/>
        <v>6-10 years</v>
      </c>
      <c r="AF950" s="14">
        <v>1</v>
      </c>
      <c r="AG950" s="14">
        <v>0</v>
      </c>
      <c r="AH950" s="14">
        <v>8</v>
      </c>
    </row>
    <row r="951" spans="1:34" x14ac:dyDescent="0.3">
      <c r="A951" s="14">
        <v>39</v>
      </c>
      <c r="B951" s="17" t="s">
        <v>43</v>
      </c>
      <c r="C951" t="s">
        <v>36</v>
      </c>
      <c r="D951">
        <v>524</v>
      </c>
      <c r="E951" s="17" t="s">
        <v>45</v>
      </c>
      <c r="F951">
        <v>18</v>
      </c>
      <c r="G951">
        <v>2</v>
      </c>
      <c r="H951" t="s">
        <v>38</v>
      </c>
      <c r="I951">
        <v>1322</v>
      </c>
      <c r="J951">
        <v>1</v>
      </c>
      <c r="K951" s="17" t="s">
        <v>46</v>
      </c>
      <c r="L951">
        <v>32</v>
      </c>
      <c r="M951">
        <v>3</v>
      </c>
      <c r="N951">
        <v>2</v>
      </c>
      <c r="O951" s="17" t="s">
        <v>53</v>
      </c>
      <c r="P951" s="14">
        <v>3</v>
      </c>
      <c r="Q951" t="s">
        <v>41</v>
      </c>
      <c r="R951" s="14">
        <v>4534</v>
      </c>
      <c r="S951" s="17" t="str">
        <f t="shared" si="28"/>
        <v>medium</v>
      </c>
      <c r="T951">
        <v>13352</v>
      </c>
      <c r="U951">
        <v>0</v>
      </c>
      <c r="V951" s="17" t="s">
        <v>43</v>
      </c>
      <c r="W951">
        <v>11</v>
      </c>
      <c r="X951">
        <v>3</v>
      </c>
      <c r="Y951">
        <v>1</v>
      </c>
      <c r="Z951">
        <v>0</v>
      </c>
      <c r="AA951">
        <v>9</v>
      </c>
      <c r="AB951">
        <v>6</v>
      </c>
      <c r="AC951">
        <v>3</v>
      </c>
      <c r="AD951" s="14">
        <v>8</v>
      </c>
      <c r="AE951" t="str">
        <f t="shared" si="29"/>
        <v>6-10 years</v>
      </c>
      <c r="AF951" s="14">
        <v>7</v>
      </c>
      <c r="AG951" s="14">
        <v>1</v>
      </c>
      <c r="AH951" s="14">
        <v>7</v>
      </c>
    </row>
    <row r="952" spans="1:34" x14ac:dyDescent="0.3">
      <c r="A952" s="14">
        <v>31</v>
      </c>
      <c r="B952" s="17" t="s">
        <v>43</v>
      </c>
      <c r="C952" t="s">
        <v>55</v>
      </c>
      <c r="D952">
        <v>587</v>
      </c>
      <c r="E952" s="17" t="s">
        <v>37</v>
      </c>
      <c r="F952">
        <v>2</v>
      </c>
      <c r="G952">
        <v>4</v>
      </c>
      <c r="H952" t="s">
        <v>38</v>
      </c>
      <c r="I952">
        <v>1324</v>
      </c>
      <c r="J952">
        <v>4</v>
      </c>
      <c r="K952" s="17" t="s">
        <v>39</v>
      </c>
      <c r="L952">
        <v>57</v>
      </c>
      <c r="M952">
        <v>3</v>
      </c>
      <c r="N952">
        <v>3</v>
      </c>
      <c r="O952" s="17" t="s">
        <v>40</v>
      </c>
      <c r="P952" s="14">
        <v>3</v>
      </c>
      <c r="Q952" t="s">
        <v>52</v>
      </c>
      <c r="R952" s="14">
        <v>9852</v>
      </c>
      <c r="S952" s="17" t="str">
        <f t="shared" si="28"/>
        <v>high</v>
      </c>
      <c r="T952">
        <v>8935</v>
      </c>
      <c r="U952">
        <v>1</v>
      </c>
      <c r="V952" s="17" t="s">
        <v>35</v>
      </c>
      <c r="W952">
        <v>19</v>
      </c>
      <c r="X952">
        <v>3</v>
      </c>
      <c r="Y952">
        <v>1</v>
      </c>
      <c r="Z952">
        <v>1</v>
      </c>
      <c r="AA952">
        <v>10</v>
      </c>
      <c r="AB952">
        <v>5</v>
      </c>
      <c r="AC952">
        <v>2</v>
      </c>
      <c r="AD952" s="14">
        <v>10</v>
      </c>
      <c r="AE952" t="str">
        <f t="shared" si="29"/>
        <v>6-10 years</v>
      </c>
      <c r="AF952" s="14">
        <v>8</v>
      </c>
      <c r="AG952" s="14">
        <v>9</v>
      </c>
      <c r="AH952" s="14">
        <v>6</v>
      </c>
    </row>
    <row r="953" spans="1:34" x14ac:dyDescent="0.3">
      <c r="A953" s="14">
        <v>41</v>
      </c>
      <c r="B953" s="17" t="s">
        <v>43</v>
      </c>
      <c r="C953" t="s">
        <v>55</v>
      </c>
      <c r="D953">
        <v>256</v>
      </c>
      <c r="E953" s="17" t="s">
        <v>37</v>
      </c>
      <c r="F953">
        <v>10</v>
      </c>
      <c r="G953">
        <v>2</v>
      </c>
      <c r="H953" t="s">
        <v>51</v>
      </c>
      <c r="I953">
        <v>1329</v>
      </c>
      <c r="J953">
        <v>3</v>
      </c>
      <c r="K953" s="17" t="s">
        <v>46</v>
      </c>
      <c r="L953">
        <v>40</v>
      </c>
      <c r="M953">
        <v>1</v>
      </c>
      <c r="N953">
        <v>2</v>
      </c>
      <c r="O953" s="17" t="s">
        <v>40</v>
      </c>
      <c r="P953" s="14">
        <v>2</v>
      </c>
      <c r="Q953" t="s">
        <v>41</v>
      </c>
      <c r="R953" s="14">
        <v>6151</v>
      </c>
      <c r="S953" s="17" t="str">
        <f t="shared" si="28"/>
        <v>medium</v>
      </c>
      <c r="T953">
        <v>22074</v>
      </c>
      <c r="U953">
        <v>1</v>
      </c>
      <c r="V953" s="17" t="s">
        <v>43</v>
      </c>
      <c r="W953">
        <v>13</v>
      </c>
      <c r="X953">
        <v>3</v>
      </c>
      <c r="Y953">
        <v>1</v>
      </c>
      <c r="Z953">
        <v>0</v>
      </c>
      <c r="AA953">
        <v>19</v>
      </c>
      <c r="AB953">
        <v>4</v>
      </c>
      <c r="AC953">
        <v>3</v>
      </c>
      <c r="AD953" s="14">
        <v>19</v>
      </c>
      <c r="AE953" t="str">
        <f t="shared" si="29"/>
        <v>10+ years</v>
      </c>
      <c r="AF953" s="14">
        <v>2</v>
      </c>
      <c r="AG953" s="14">
        <v>11</v>
      </c>
      <c r="AH953" s="14">
        <v>9</v>
      </c>
    </row>
    <row r="954" spans="1:34" x14ac:dyDescent="0.3">
      <c r="A954" s="14">
        <v>31</v>
      </c>
      <c r="B954" s="17" t="s">
        <v>35</v>
      </c>
      <c r="C954" t="s">
        <v>44</v>
      </c>
      <c r="D954">
        <v>1060</v>
      </c>
      <c r="E954" s="17" t="s">
        <v>37</v>
      </c>
      <c r="F954">
        <v>1</v>
      </c>
      <c r="G954">
        <v>3</v>
      </c>
      <c r="H954" t="s">
        <v>38</v>
      </c>
      <c r="I954">
        <v>1331</v>
      </c>
      <c r="J954">
        <v>4</v>
      </c>
      <c r="K954" s="17" t="s">
        <v>39</v>
      </c>
      <c r="L954">
        <v>54</v>
      </c>
      <c r="M954">
        <v>3</v>
      </c>
      <c r="N954">
        <v>1</v>
      </c>
      <c r="O954" s="17" t="s">
        <v>57</v>
      </c>
      <c r="P954" s="14">
        <v>2</v>
      </c>
      <c r="Q954" t="s">
        <v>41</v>
      </c>
      <c r="R954" s="14">
        <v>2302</v>
      </c>
      <c r="S954" s="17" t="str">
        <f t="shared" si="28"/>
        <v>low</v>
      </c>
      <c r="T954">
        <v>8319</v>
      </c>
      <c r="U954">
        <v>1</v>
      </c>
      <c r="V954" s="17" t="s">
        <v>35</v>
      </c>
      <c r="W954">
        <v>11</v>
      </c>
      <c r="X954">
        <v>3</v>
      </c>
      <c r="Y954">
        <v>1</v>
      </c>
      <c r="Z954">
        <v>0</v>
      </c>
      <c r="AA954">
        <v>3</v>
      </c>
      <c r="AB954">
        <v>2</v>
      </c>
      <c r="AC954">
        <v>4</v>
      </c>
      <c r="AD954" s="14">
        <v>3</v>
      </c>
      <c r="AE954" t="str">
        <f t="shared" si="29"/>
        <v>3-5 years</v>
      </c>
      <c r="AF954" s="14">
        <v>2</v>
      </c>
      <c r="AG954" s="14">
        <v>2</v>
      </c>
      <c r="AH954" s="14">
        <v>2</v>
      </c>
    </row>
    <row r="955" spans="1:34" x14ac:dyDescent="0.3">
      <c r="A955" s="14">
        <v>44</v>
      </c>
      <c r="B955" s="17" t="s">
        <v>35</v>
      </c>
      <c r="C955" t="s">
        <v>36</v>
      </c>
      <c r="D955">
        <v>935</v>
      </c>
      <c r="E955" s="17" t="s">
        <v>45</v>
      </c>
      <c r="F955">
        <v>3</v>
      </c>
      <c r="G955">
        <v>3</v>
      </c>
      <c r="H955" t="s">
        <v>38</v>
      </c>
      <c r="I955">
        <v>1333</v>
      </c>
      <c r="J955">
        <v>1</v>
      </c>
      <c r="K955" s="17" t="s">
        <v>46</v>
      </c>
      <c r="L955">
        <v>89</v>
      </c>
      <c r="M955">
        <v>3</v>
      </c>
      <c r="N955">
        <v>1</v>
      </c>
      <c r="O955" s="17" t="s">
        <v>50</v>
      </c>
      <c r="P955" s="14">
        <v>1</v>
      </c>
      <c r="Q955" t="s">
        <v>48</v>
      </c>
      <c r="R955" s="14">
        <v>2362</v>
      </c>
      <c r="S955" s="17" t="str">
        <f t="shared" si="28"/>
        <v>low</v>
      </c>
      <c r="T955">
        <v>14669</v>
      </c>
      <c r="U955">
        <v>4</v>
      </c>
      <c r="V955" s="17" t="s">
        <v>43</v>
      </c>
      <c r="W955">
        <v>12</v>
      </c>
      <c r="X955">
        <v>3</v>
      </c>
      <c r="Y955">
        <v>3</v>
      </c>
      <c r="Z955">
        <v>0</v>
      </c>
      <c r="AA955">
        <v>10</v>
      </c>
      <c r="AB955">
        <v>4</v>
      </c>
      <c r="AC955">
        <v>4</v>
      </c>
      <c r="AD955" s="14">
        <v>3</v>
      </c>
      <c r="AE955" t="str">
        <f t="shared" si="29"/>
        <v>3-5 years</v>
      </c>
      <c r="AF955" s="14">
        <v>2</v>
      </c>
      <c r="AG955" s="14">
        <v>1</v>
      </c>
      <c r="AH955" s="14">
        <v>2</v>
      </c>
    </row>
    <row r="956" spans="1:34" x14ac:dyDescent="0.3">
      <c r="A956" s="14">
        <v>42</v>
      </c>
      <c r="B956" s="17" t="s">
        <v>43</v>
      </c>
      <c r="C956" t="s">
        <v>55</v>
      </c>
      <c r="D956">
        <v>495</v>
      </c>
      <c r="E956" s="17" t="s">
        <v>45</v>
      </c>
      <c r="F956">
        <v>2</v>
      </c>
      <c r="G956">
        <v>1</v>
      </c>
      <c r="H956" t="s">
        <v>38</v>
      </c>
      <c r="I956">
        <v>1334</v>
      </c>
      <c r="J956">
        <v>3</v>
      </c>
      <c r="K956" s="17" t="s">
        <v>46</v>
      </c>
      <c r="L956">
        <v>37</v>
      </c>
      <c r="M956">
        <v>3</v>
      </c>
      <c r="N956">
        <v>4</v>
      </c>
      <c r="O956" s="17" t="s">
        <v>56</v>
      </c>
      <c r="P956" s="14">
        <v>3</v>
      </c>
      <c r="Q956" t="s">
        <v>48</v>
      </c>
      <c r="R956" s="14">
        <v>17861</v>
      </c>
      <c r="S956" s="17" t="str">
        <f t="shared" si="28"/>
        <v>high</v>
      </c>
      <c r="T956">
        <v>26582</v>
      </c>
      <c r="U956">
        <v>0</v>
      </c>
      <c r="V956" s="17" t="s">
        <v>35</v>
      </c>
      <c r="W956">
        <v>13</v>
      </c>
      <c r="X956">
        <v>3</v>
      </c>
      <c r="Y956">
        <v>4</v>
      </c>
      <c r="Z956">
        <v>0</v>
      </c>
      <c r="AA956">
        <v>21</v>
      </c>
      <c r="AB956">
        <v>3</v>
      </c>
      <c r="AC956">
        <v>2</v>
      </c>
      <c r="AD956" s="14">
        <v>20</v>
      </c>
      <c r="AE956" t="str">
        <f t="shared" si="29"/>
        <v>10+ years</v>
      </c>
      <c r="AF956" s="14">
        <v>8</v>
      </c>
      <c r="AG956" s="14">
        <v>2</v>
      </c>
      <c r="AH956" s="14">
        <v>10</v>
      </c>
    </row>
    <row r="957" spans="1:34" x14ac:dyDescent="0.3">
      <c r="A957" s="14">
        <v>55</v>
      </c>
      <c r="B957" s="17" t="s">
        <v>43</v>
      </c>
      <c r="C957" t="s">
        <v>36</v>
      </c>
      <c r="D957">
        <v>282</v>
      </c>
      <c r="E957" s="17" t="s">
        <v>45</v>
      </c>
      <c r="F957">
        <v>2</v>
      </c>
      <c r="G957">
        <v>2</v>
      </c>
      <c r="H957" t="s">
        <v>51</v>
      </c>
      <c r="I957">
        <v>1336</v>
      </c>
      <c r="J957">
        <v>4</v>
      </c>
      <c r="K957" s="17" t="s">
        <v>39</v>
      </c>
      <c r="L957">
        <v>58</v>
      </c>
      <c r="M957">
        <v>1</v>
      </c>
      <c r="N957">
        <v>5</v>
      </c>
      <c r="O957" s="17" t="s">
        <v>56</v>
      </c>
      <c r="P957" s="14">
        <v>3</v>
      </c>
      <c r="Q957" t="s">
        <v>48</v>
      </c>
      <c r="R957" s="14">
        <v>19187</v>
      </c>
      <c r="S957" s="17" t="str">
        <f t="shared" si="28"/>
        <v>high</v>
      </c>
      <c r="T957">
        <v>6992</v>
      </c>
      <c r="U957">
        <v>4</v>
      </c>
      <c r="V957" s="17" t="s">
        <v>43</v>
      </c>
      <c r="W957">
        <v>14</v>
      </c>
      <c r="X957">
        <v>3</v>
      </c>
      <c r="Y957">
        <v>4</v>
      </c>
      <c r="Z957">
        <v>1</v>
      </c>
      <c r="AA957">
        <v>23</v>
      </c>
      <c r="AB957">
        <v>5</v>
      </c>
      <c r="AC957">
        <v>3</v>
      </c>
      <c r="AD957" s="14">
        <v>19</v>
      </c>
      <c r="AE957" t="str">
        <f t="shared" si="29"/>
        <v>10+ years</v>
      </c>
      <c r="AF957" s="14">
        <v>9</v>
      </c>
      <c r="AG957" s="14">
        <v>9</v>
      </c>
      <c r="AH957" s="14">
        <v>11</v>
      </c>
    </row>
    <row r="958" spans="1:34" x14ac:dyDescent="0.3">
      <c r="A958" s="14">
        <v>56</v>
      </c>
      <c r="B958" s="17" t="s">
        <v>43</v>
      </c>
      <c r="C958" t="s">
        <v>36</v>
      </c>
      <c r="D958">
        <v>206</v>
      </c>
      <c r="E958" s="17" t="s">
        <v>61</v>
      </c>
      <c r="F958">
        <v>8</v>
      </c>
      <c r="G958">
        <v>4</v>
      </c>
      <c r="H958" t="s">
        <v>38</v>
      </c>
      <c r="I958">
        <v>1338</v>
      </c>
      <c r="J958">
        <v>4</v>
      </c>
      <c r="K958" s="17" t="s">
        <v>46</v>
      </c>
      <c r="L958">
        <v>99</v>
      </c>
      <c r="M958">
        <v>3</v>
      </c>
      <c r="N958">
        <v>5</v>
      </c>
      <c r="O958" s="17" t="s">
        <v>56</v>
      </c>
      <c r="P958" s="14">
        <v>2</v>
      </c>
      <c r="Q958" t="s">
        <v>41</v>
      </c>
      <c r="R958" s="14">
        <v>19717</v>
      </c>
      <c r="S958" s="17" t="str">
        <f t="shared" si="28"/>
        <v>high</v>
      </c>
      <c r="T958">
        <v>4022</v>
      </c>
      <c r="U958">
        <v>6</v>
      </c>
      <c r="V958" s="17" t="s">
        <v>43</v>
      </c>
      <c r="W958">
        <v>14</v>
      </c>
      <c r="X958">
        <v>3</v>
      </c>
      <c r="Y958">
        <v>1</v>
      </c>
      <c r="Z958">
        <v>0</v>
      </c>
      <c r="AA958">
        <v>36</v>
      </c>
      <c r="AB958">
        <v>4</v>
      </c>
      <c r="AC958">
        <v>3</v>
      </c>
      <c r="AD958" s="14">
        <v>7</v>
      </c>
      <c r="AE958" t="str">
        <f t="shared" si="29"/>
        <v>6-10 years</v>
      </c>
      <c r="AF958" s="14">
        <v>3</v>
      </c>
      <c r="AG958" s="14">
        <v>7</v>
      </c>
      <c r="AH958" s="14">
        <v>7</v>
      </c>
    </row>
    <row r="959" spans="1:34" x14ac:dyDescent="0.3">
      <c r="A959" s="14">
        <v>40</v>
      </c>
      <c r="B959" s="17" t="s">
        <v>43</v>
      </c>
      <c r="C959" t="s">
        <v>55</v>
      </c>
      <c r="D959">
        <v>458</v>
      </c>
      <c r="E959" s="17" t="s">
        <v>45</v>
      </c>
      <c r="F959">
        <v>16</v>
      </c>
      <c r="G959">
        <v>2</v>
      </c>
      <c r="H959" t="s">
        <v>38</v>
      </c>
      <c r="I959">
        <v>1340</v>
      </c>
      <c r="J959">
        <v>3</v>
      </c>
      <c r="K959" s="17" t="s">
        <v>46</v>
      </c>
      <c r="L959">
        <v>74</v>
      </c>
      <c r="M959">
        <v>3</v>
      </c>
      <c r="N959">
        <v>1</v>
      </c>
      <c r="O959" s="17" t="s">
        <v>47</v>
      </c>
      <c r="P959" s="14">
        <v>3</v>
      </c>
      <c r="Q959" t="s">
        <v>52</v>
      </c>
      <c r="R959" s="14">
        <v>3544</v>
      </c>
      <c r="S959" s="17" t="str">
        <f t="shared" si="28"/>
        <v>medium</v>
      </c>
      <c r="T959">
        <v>8532</v>
      </c>
      <c r="U959">
        <v>9</v>
      </c>
      <c r="V959" s="17" t="s">
        <v>43</v>
      </c>
      <c r="W959">
        <v>16</v>
      </c>
      <c r="X959">
        <v>3</v>
      </c>
      <c r="Y959">
        <v>2</v>
      </c>
      <c r="Z959">
        <v>1</v>
      </c>
      <c r="AA959">
        <v>6</v>
      </c>
      <c r="AB959">
        <v>0</v>
      </c>
      <c r="AC959">
        <v>3</v>
      </c>
      <c r="AD959" s="14">
        <v>4</v>
      </c>
      <c r="AE959" t="str">
        <f t="shared" si="29"/>
        <v>3-5 years</v>
      </c>
      <c r="AF959" s="14">
        <v>2</v>
      </c>
      <c r="AG959" s="14">
        <v>0</v>
      </c>
      <c r="AH959" s="14">
        <v>0</v>
      </c>
    </row>
    <row r="960" spans="1:34" x14ac:dyDescent="0.3">
      <c r="A960" s="14">
        <v>34</v>
      </c>
      <c r="B960" s="17" t="s">
        <v>43</v>
      </c>
      <c r="C960" t="s">
        <v>36</v>
      </c>
      <c r="D960">
        <v>943</v>
      </c>
      <c r="E960" s="17" t="s">
        <v>45</v>
      </c>
      <c r="F960">
        <v>9</v>
      </c>
      <c r="G960">
        <v>3</v>
      </c>
      <c r="H960" t="s">
        <v>38</v>
      </c>
      <c r="I960">
        <v>1344</v>
      </c>
      <c r="J960">
        <v>4</v>
      </c>
      <c r="K960" s="17" t="s">
        <v>46</v>
      </c>
      <c r="L960">
        <v>86</v>
      </c>
      <c r="M960">
        <v>3</v>
      </c>
      <c r="N960">
        <v>3</v>
      </c>
      <c r="O960" s="17" t="s">
        <v>54</v>
      </c>
      <c r="P960" s="14">
        <v>4</v>
      </c>
      <c r="Q960" t="s">
        <v>52</v>
      </c>
      <c r="R960" s="14">
        <v>8500</v>
      </c>
      <c r="S960" s="17" t="str">
        <f t="shared" si="28"/>
        <v>high</v>
      </c>
      <c r="T960">
        <v>5494</v>
      </c>
      <c r="U960">
        <v>0</v>
      </c>
      <c r="V960" s="17" t="s">
        <v>43</v>
      </c>
      <c r="W960">
        <v>11</v>
      </c>
      <c r="X960">
        <v>3</v>
      </c>
      <c r="Y960">
        <v>4</v>
      </c>
      <c r="Z960">
        <v>1</v>
      </c>
      <c r="AA960">
        <v>10</v>
      </c>
      <c r="AB960">
        <v>0</v>
      </c>
      <c r="AC960">
        <v>2</v>
      </c>
      <c r="AD960" s="14">
        <v>9</v>
      </c>
      <c r="AE960" t="str">
        <f t="shared" si="29"/>
        <v>6-10 years</v>
      </c>
      <c r="AF960" s="14">
        <v>7</v>
      </c>
      <c r="AG960" s="14">
        <v>1</v>
      </c>
      <c r="AH960" s="14">
        <v>6</v>
      </c>
    </row>
    <row r="961" spans="1:34" x14ac:dyDescent="0.3">
      <c r="A961" s="14">
        <v>40</v>
      </c>
      <c r="B961" s="17" t="s">
        <v>43</v>
      </c>
      <c r="C961" t="s">
        <v>36</v>
      </c>
      <c r="D961">
        <v>523</v>
      </c>
      <c r="E961" s="17" t="s">
        <v>45</v>
      </c>
      <c r="F961">
        <v>2</v>
      </c>
      <c r="G961">
        <v>3</v>
      </c>
      <c r="H961" t="s">
        <v>38</v>
      </c>
      <c r="I961">
        <v>1346</v>
      </c>
      <c r="J961">
        <v>3</v>
      </c>
      <c r="K961" s="17" t="s">
        <v>46</v>
      </c>
      <c r="L961">
        <v>98</v>
      </c>
      <c r="M961">
        <v>3</v>
      </c>
      <c r="N961">
        <v>2</v>
      </c>
      <c r="O961" s="17" t="s">
        <v>47</v>
      </c>
      <c r="P961" s="14">
        <v>4</v>
      </c>
      <c r="Q961" t="s">
        <v>41</v>
      </c>
      <c r="R961" s="14">
        <v>4661</v>
      </c>
      <c r="S961" s="17" t="str">
        <f t="shared" si="28"/>
        <v>medium</v>
      </c>
      <c r="T961">
        <v>22455</v>
      </c>
      <c r="U961">
        <v>1</v>
      </c>
      <c r="V961" s="17" t="s">
        <v>43</v>
      </c>
      <c r="W961">
        <v>13</v>
      </c>
      <c r="X961">
        <v>3</v>
      </c>
      <c r="Y961">
        <v>3</v>
      </c>
      <c r="Z961">
        <v>0</v>
      </c>
      <c r="AA961">
        <v>9</v>
      </c>
      <c r="AB961">
        <v>4</v>
      </c>
      <c r="AC961">
        <v>3</v>
      </c>
      <c r="AD961" s="14">
        <v>9</v>
      </c>
      <c r="AE961" t="str">
        <f t="shared" si="29"/>
        <v>6-10 years</v>
      </c>
      <c r="AF961" s="14">
        <v>8</v>
      </c>
      <c r="AG961" s="14">
        <v>8</v>
      </c>
      <c r="AH961" s="14">
        <v>8</v>
      </c>
    </row>
    <row r="962" spans="1:34" x14ac:dyDescent="0.3">
      <c r="A962" s="14">
        <v>41</v>
      </c>
      <c r="B962" s="17" t="s">
        <v>43</v>
      </c>
      <c r="C962" t="s">
        <v>44</v>
      </c>
      <c r="D962">
        <v>1018</v>
      </c>
      <c r="E962" s="17" t="s">
        <v>37</v>
      </c>
      <c r="F962">
        <v>1</v>
      </c>
      <c r="G962">
        <v>3</v>
      </c>
      <c r="H962" t="s">
        <v>59</v>
      </c>
      <c r="I962">
        <v>1349</v>
      </c>
      <c r="J962">
        <v>3</v>
      </c>
      <c r="K962" s="17" t="s">
        <v>39</v>
      </c>
      <c r="L962">
        <v>66</v>
      </c>
      <c r="M962">
        <v>3</v>
      </c>
      <c r="N962">
        <v>2</v>
      </c>
      <c r="O962" s="17" t="s">
        <v>40</v>
      </c>
      <c r="P962" s="14">
        <v>1</v>
      </c>
      <c r="Q962" t="s">
        <v>52</v>
      </c>
      <c r="R962" s="14">
        <v>4103</v>
      </c>
      <c r="S962" s="17" t="str">
        <f t="shared" ref="S962:S1025" si="30">IF(R962&lt;=3000, "low",IF(R962&lt;=7000,"medium","high"))</f>
        <v>medium</v>
      </c>
      <c r="T962">
        <v>4297</v>
      </c>
      <c r="U962">
        <v>0</v>
      </c>
      <c r="V962" s="17" t="s">
        <v>43</v>
      </c>
      <c r="W962">
        <v>17</v>
      </c>
      <c r="X962">
        <v>3</v>
      </c>
      <c r="Y962">
        <v>4</v>
      </c>
      <c r="Z962">
        <v>1</v>
      </c>
      <c r="AA962">
        <v>10</v>
      </c>
      <c r="AB962">
        <v>2</v>
      </c>
      <c r="AC962">
        <v>3</v>
      </c>
      <c r="AD962" s="14">
        <v>9</v>
      </c>
      <c r="AE962" t="str">
        <f t="shared" ref="AE962:AE1025" si="31">IF(AD962&lt;=2,"0-2 years", IF(AD962&lt;=5,"3-5 years", IF(AD962&lt;=10,"6-10 years","10+ years")))</f>
        <v>6-10 years</v>
      </c>
      <c r="AF962" s="14">
        <v>3</v>
      </c>
      <c r="AG962" s="14">
        <v>1</v>
      </c>
      <c r="AH962" s="14">
        <v>7</v>
      </c>
    </row>
    <row r="963" spans="1:34" x14ac:dyDescent="0.3">
      <c r="A963" s="14">
        <v>35</v>
      </c>
      <c r="B963" s="17" t="s">
        <v>43</v>
      </c>
      <c r="C963" t="s">
        <v>44</v>
      </c>
      <c r="D963">
        <v>482</v>
      </c>
      <c r="E963" s="17" t="s">
        <v>45</v>
      </c>
      <c r="F963">
        <v>4</v>
      </c>
      <c r="G963">
        <v>4</v>
      </c>
      <c r="H963" t="s">
        <v>38</v>
      </c>
      <c r="I963">
        <v>1350</v>
      </c>
      <c r="J963">
        <v>3</v>
      </c>
      <c r="K963" s="17" t="s">
        <v>46</v>
      </c>
      <c r="L963">
        <v>87</v>
      </c>
      <c r="M963">
        <v>3</v>
      </c>
      <c r="N963">
        <v>2</v>
      </c>
      <c r="O963" s="17" t="s">
        <v>47</v>
      </c>
      <c r="P963" s="14">
        <v>3</v>
      </c>
      <c r="Q963" t="s">
        <v>41</v>
      </c>
      <c r="R963" s="14">
        <v>4249</v>
      </c>
      <c r="S963" s="17" t="str">
        <f t="shared" si="30"/>
        <v>medium</v>
      </c>
      <c r="T963">
        <v>2690</v>
      </c>
      <c r="U963">
        <v>1</v>
      </c>
      <c r="V963" s="17" t="s">
        <v>35</v>
      </c>
      <c r="W963">
        <v>11</v>
      </c>
      <c r="X963">
        <v>3</v>
      </c>
      <c r="Y963">
        <v>2</v>
      </c>
      <c r="Z963">
        <v>0</v>
      </c>
      <c r="AA963">
        <v>9</v>
      </c>
      <c r="AB963">
        <v>3</v>
      </c>
      <c r="AC963">
        <v>3</v>
      </c>
      <c r="AD963" s="14">
        <v>9</v>
      </c>
      <c r="AE963" t="str">
        <f t="shared" si="31"/>
        <v>6-10 years</v>
      </c>
      <c r="AF963" s="14">
        <v>6</v>
      </c>
      <c r="AG963" s="14">
        <v>1</v>
      </c>
      <c r="AH963" s="14">
        <v>1</v>
      </c>
    </row>
    <row r="964" spans="1:34" x14ac:dyDescent="0.3">
      <c r="A964" s="14">
        <v>51</v>
      </c>
      <c r="B964" s="17" t="s">
        <v>43</v>
      </c>
      <c r="C964" t="s">
        <v>36</v>
      </c>
      <c r="D964">
        <v>770</v>
      </c>
      <c r="E964" s="17" t="s">
        <v>61</v>
      </c>
      <c r="F964">
        <v>5</v>
      </c>
      <c r="G964">
        <v>3</v>
      </c>
      <c r="H964" t="s">
        <v>38</v>
      </c>
      <c r="I964">
        <v>1352</v>
      </c>
      <c r="J964">
        <v>3</v>
      </c>
      <c r="K964" s="17" t="s">
        <v>46</v>
      </c>
      <c r="L964">
        <v>84</v>
      </c>
      <c r="M964">
        <v>3</v>
      </c>
      <c r="N964">
        <v>4</v>
      </c>
      <c r="O964" s="17" t="s">
        <v>56</v>
      </c>
      <c r="P964" s="14">
        <v>2</v>
      </c>
      <c r="Q964" t="s">
        <v>52</v>
      </c>
      <c r="R964" s="14">
        <v>14026</v>
      </c>
      <c r="S964" s="17" t="str">
        <f t="shared" si="30"/>
        <v>high</v>
      </c>
      <c r="T964">
        <v>17588</v>
      </c>
      <c r="U964">
        <v>1</v>
      </c>
      <c r="V964" s="17" t="s">
        <v>35</v>
      </c>
      <c r="W964">
        <v>11</v>
      </c>
      <c r="X964">
        <v>3</v>
      </c>
      <c r="Y964">
        <v>2</v>
      </c>
      <c r="Z964">
        <v>1</v>
      </c>
      <c r="AA964">
        <v>33</v>
      </c>
      <c r="AB964">
        <v>2</v>
      </c>
      <c r="AC964">
        <v>3</v>
      </c>
      <c r="AD964" s="14">
        <v>33</v>
      </c>
      <c r="AE964" t="str">
        <f t="shared" si="31"/>
        <v>10+ years</v>
      </c>
      <c r="AF964" s="14">
        <v>9</v>
      </c>
      <c r="AG964" s="14">
        <v>0</v>
      </c>
      <c r="AH964" s="14">
        <v>10</v>
      </c>
    </row>
    <row r="965" spans="1:34" x14ac:dyDescent="0.3">
      <c r="A965" s="14">
        <v>38</v>
      </c>
      <c r="B965" s="17" t="s">
        <v>43</v>
      </c>
      <c r="C965" t="s">
        <v>36</v>
      </c>
      <c r="D965">
        <v>1009</v>
      </c>
      <c r="E965" s="17" t="s">
        <v>37</v>
      </c>
      <c r="F965">
        <v>2</v>
      </c>
      <c r="G965">
        <v>2</v>
      </c>
      <c r="H965" t="s">
        <v>38</v>
      </c>
      <c r="I965">
        <v>1355</v>
      </c>
      <c r="J965">
        <v>2</v>
      </c>
      <c r="K965" s="17" t="s">
        <v>39</v>
      </c>
      <c r="L965">
        <v>31</v>
      </c>
      <c r="M965">
        <v>3</v>
      </c>
      <c r="N965">
        <v>2</v>
      </c>
      <c r="O965" s="17" t="s">
        <v>40</v>
      </c>
      <c r="P965" s="14">
        <v>1</v>
      </c>
      <c r="Q965" t="s">
        <v>52</v>
      </c>
      <c r="R965" s="14">
        <v>6893</v>
      </c>
      <c r="S965" s="17" t="str">
        <f t="shared" si="30"/>
        <v>medium</v>
      </c>
      <c r="T965">
        <v>19461</v>
      </c>
      <c r="U965">
        <v>3</v>
      </c>
      <c r="V965" s="17" t="s">
        <v>43</v>
      </c>
      <c r="W965">
        <v>15</v>
      </c>
      <c r="X965">
        <v>3</v>
      </c>
      <c r="Y965">
        <v>4</v>
      </c>
      <c r="Z965">
        <v>1</v>
      </c>
      <c r="AA965">
        <v>11</v>
      </c>
      <c r="AB965">
        <v>3</v>
      </c>
      <c r="AC965">
        <v>3</v>
      </c>
      <c r="AD965" s="14">
        <v>7</v>
      </c>
      <c r="AE965" t="str">
        <f t="shared" si="31"/>
        <v>6-10 years</v>
      </c>
      <c r="AF965" s="14">
        <v>7</v>
      </c>
      <c r="AG965" s="14">
        <v>1</v>
      </c>
      <c r="AH965" s="14">
        <v>7</v>
      </c>
    </row>
    <row r="966" spans="1:34" x14ac:dyDescent="0.3">
      <c r="A966" s="14">
        <v>34</v>
      </c>
      <c r="B966" s="17" t="s">
        <v>43</v>
      </c>
      <c r="C966" t="s">
        <v>36</v>
      </c>
      <c r="D966">
        <v>507</v>
      </c>
      <c r="E966" s="17" t="s">
        <v>37</v>
      </c>
      <c r="F966">
        <v>15</v>
      </c>
      <c r="G966">
        <v>2</v>
      </c>
      <c r="H966" t="s">
        <v>51</v>
      </c>
      <c r="I966">
        <v>1356</v>
      </c>
      <c r="J966">
        <v>3</v>
      </c>
      <c r="K966" s="17" t="s">
        <v>39</v>
      </c>
      <c r="L966">
        <v>66</v>
      </c>
      <c r="M966">
        <v>3</v>
      </c>
      <c r="N966">
        <v>2</v>
      </c>
      <c r="O966" s="17" t="s">
        <v>40</v>
      </c>
      <c r="P966" s="14">
        <v>1</v>
      </c>
      <c r="Q966" t="s">
        <v>41</v>
      </c>
      <c r="R966" s="14">
        <v>6125</v>
      </c>
      <c r="S966" s="17" t="str">
        <f t="shared" si="30"/>
        <v>medium</v>
      </c>
      <c r="T966">
        <v>23553</v>
      </c>
      <c r="U966">
        <v>1</v>
      </c>
      <c r="V966" s="17" t="s">
        <v>43</v>
      </c>
      <c r="W966">
        <v>12</v>
      </c>
      <c r="X966">
        <v>3</v>
      </c>
      <c r="Y966">
        <v>4</v>
      </c>
      <c r="Z966">
        <v>0</v>
      </c>
      <c r="AA966">
        <v>10</v>
      </c>
      <c r="AB966">
        <v>6</v>
      </c>
      <c r="AC966">
        <v>4</v>
      </c>
      <c r="AD966" s="14">
        <v>10</v>
      </c>
      <c r="AE966" t="str">
        <f t="shared" si="31"/>
        <v>6-10 years</v>
      </c>
      <c r="AF966" s="14">
        <v>8</v>
      </c>
      <c r="AG966" s="14">
        <v>9</v>
      </c>
      <c r="AH966" s="14">
        <v>6</v>
      </c>
    </row>
    <row r="967" spans="1:34" x14ac:dyDescent="0.3">
      <c r="A967" s="14">
        <v>25</v>
      </c>
      <c r="B967" s="17" t="s">
        <v>43</v>
      </c>
      <c r="C967" t="s">
        <v>36</v>
      </c>
      <c r="D967">
        <v>882</v>
      </c>
      <c r="E967" s="17" t="s">
        <v>45</v>
      </c>
      <c r="F967">
        <v>19</v>
      </c>
      <c r="G967">
        <v>1</v>
      </c>
      <c r="H967" t="s">
        <v>51</v>
      </c>
      <c r="I967">
        <v>1358</v>
      </c>
      <c r="J967">
        <v>4</v>
      </c>
      <c r="K967" s="17" t="s">
        <v>46</v>
      </c>
      <c r="L967">
        <v>67</v>
      </c>
      <c r="M967">
        <v>3</v>
      </c>
      <c r="N967">
        <v>1</v>
      </c>
      <c r="O967" s="17" t="s">
        <v>50</v>
      </c>
      <c r="P967" s="14">
        <v>4</v>
      </c>
      <c r="Q967" t="s">
        <v>48</v>
      </c>
      <c r="R967" s="14">
        <v>3669</v>
      </c>
      <c r="S967" s="17" t="str">
        <f t="shared" si="30"/>
        <v>medium</v>
      </c>
      <c r="T967">
        <v>9075</v>
      </c>
      <c r="U967">
        <v>3</v>
      </c>
      <c r="V967" s="17" t="s">
        <v>43</v>
      </c>
      <c r="W967">
        <v>11</v>
      </c>
      <c r="X967">
        <v>3</v>
      </c>
      <c r="Y967">
        <v>3</v>
      </c>
      <c r="Z967">
        <v>3</v>
      </c>
      <c r="AA967">
        <v>7</v>
      </c>
      <c r="AB967">
        <v>6</v>
      </c>
      <c r="AC967">
        <v>2</v>
      </c>
      <c r="AD967" s="14">
        <v>3</v>
      </c>
      <c r="AE967" t="str">
        <f t="shared" si="31"/>
        <v>3-5 years</v>
      </c>
      <c r="AF967" s="14">
        <v>2</v>
      </c>
      <c r="AG967" s="14">
        <v>1</v>
      </c>
      <c r="AH967" s="14">
        <v>2</v>
      </c>
    </row>
    <row r="968" spans="1:34" x14ac:dyDescent="0.3">
      <c r="A968" s="14">
        <v>58</v>
      </c>
      <c r="B968" s="17" t="s">
        <v>35</v>
      </c>
      <c r="C968" t="s">
        <v>36</v>
      </c>
      <c r="D968">
        <v>601</v>
      </c>
      <c r="E968" s="17" t="s">
        <v>45</v>
      </c>
      <c r="F968">
        <v>7</v>
      </c>
      <c r="G968">
        <v>4</v>
      </c>
      <c r="H968" t="s">
        <v>51</v>
      </c>
      <c r="I968">
        <v>1360</v>
      </c>
      <c r="J968">
        <v>3</v>
      </c>
      <c r="K968" s="17" t="s">
        <v>39</v>
      </c>
      <c r="L968">
        <v>53</v>
      </c>
      <c r="M968">
        <v>2</v>
      </c>
      <c r="N968">
        <v>3</v>
      </c>
      <c r="O968" s="17" t="s">
        <v>53</v>
      </c>
      <c r="P968" s="14">
        <v>1</v>
      </c>
      <c r="Q968" t="s">
        <v>48</v>
      </c>
      <c r="R968" s="14">
        <v>10008</v>
      </c>
      <c r="S968" s="17" t="str">
        <f t="shared" si="30"/>
        <v>high</v>
      </c>
      <c r="T968">
        <v>12023</v>
      </c>
      <c r="U968">
        <v>7</v>
      </c>
      <c r="V968" s="17" t="s">
        <v>35</v>
      </c>
      <c r="W968">
        <v>14</v>
      </c>
      <c r="X968">
        <v>3</v>
      </c>
      <c r="Y968">
        <v>4</v>
      </c>
      <c r="Z968">
        <v>0</v>
      </c>
      <c r="AA968">
        <v>31</v>
      </c>
      <c r="AB968">
        <v>0</v>
      </c>
      <c r="AC968">
        <v>2</v>
      </c>
      <c r="AD968" s="14">
        <v>10</v>
      </c>
      <c r="AE968" t="str">
        <f t="shared" si="31"/>
        <v>6-10 years</v>
      </c>
      <c r="AF968" s="14">
        <v>9</v>
      </c>
      <c r="AG968" s="14">
        <v>5</v>
      </c>
      <c r="AH968" s="14">
        <v>9</v>
      </c>
    </row>
    <row r="969" spans="1:34" x14ac:dyDescent="0.3">
      <c r="A969" s="14">
        <v>40</v>
      </c>
      <c r="B969" s="17" t="s">
        <v>43</v>
      </c>
      <c r="C969" t="s">
        <v>36</v>
      </c>
      <c r="D969">
        <v>329</v>
      </c>
      <c r="E969" s="17" t="s">
        <v>45</v>
      </c>
      <c r="F969">
        <v>1</v>
      </c>
      <c r="G969">
        <v>4</v>
      </c>
      <c r="H969" t="s">
        <v>38</v>
      </c>
      <c r="I969">
        <v>1361</v>
      </c>
      <c r="J969">
        <v>2</v>
      </c>
      <c r="K969" s="17" t="s">
        <v>46</v>
      </c>
      <c r="L969">
        <v>88</v>
      </c>
      <c r="M969">
        <v>3</v>
      </c>
      <c r="N969">
        <v>1</v>
      </c>
      <c r="O969" s="17" t="s">
        <v>50</v>
      </c>
      <c r="P969" s="14">
        <v>2</v>
      </c>
      <c r="Q969" t="s">
        <v>48</v>
      </c>
      <c r="R969" s="14">
        <v>2387</v>
      </c>
      <c r="S969" s="17" t="str">
        <f t="shared" si="30"/>
        <v>low</v>
      </c>
      <c r="T969">
        <v>6762</v>
      </c>
      <c r="U969">
        <v>3</v>
      </c>
      <c r="V969" s="17" t="s">
        <v>43</v>
      </c>
      <c r="W969">
        <v>22</v>
      </c>
      <c r="X969">
        <v>4</v>
      </c>
      <c r="Y969">
        <v>3</v>
      </c>
      <c r="Z969">
        <v>1</v>
      </c>
      <c r="AA969">
        <v>7</v>
      </c>
      <c r="AB969">
        <v>3</v>
      </c>
      <c r="AC969">
        <v>3</v>
      </c>
      <c r="AD969" s="14">
        <v>4</v>
      </c>
      <c r="AE969" t="str">
        <f t="shared" si="31"/>
        <v>3-5 years</v>
      </c>
      <c r="AF969" s="14">
        <v>2</v>
      </c>
      <c r="AG969" s="14">
        <v>0</v>
      </c>
      <c r="AH969" s="14">
        <v>3</v>
      </c>
    </row>
    <row r="970" spans="1:34" x14ac:dyDescent="0.3">
      <c r="A970" s="14">
        <v>36</v>
      </c>
      <c r="B970" s="17" t="s">
        <v>43</v>
      </c>
      <c r="C970" t="s">
        <v>44</v>
      </c>
      <c r="D970">
        <v>607</v>
      </c>
      <c r="E970" s="17" t="s">
        <v>37</v>
      </c>
      <c r="F970">
        <v>7</v>
      </c>
      <c r="G970">
        <v>3</v>
      </c>
      <c r="H970" t="s">
        <v>59</v>
      </c>
      <c r="I970">
        <v>1362</v>
      </c>
      <c r="J970">
        <v>1</v>
      </c>
      <c r="K970" s="17" t="s">
        <v>39</v>
      </c>
      <c r="L970">
        <v>83</v>
      </c>
      <c r="M970">
        <v>4</v>
      </c>
      <c r="N970">
        <v>2</v>
      </c>
      <c r="O970" s="17" t="s">
        <v>40</v>
      </c>
      <c r="P970" s="14">
        <v>1</v>
      </c>
      <c r="Q970" t="s">
        <v>48</v>
      </c>
      <c r="R970" s="14">
        <v>4639</v>
      </c>
      <c r="S970" s="17" t="str">
        <f t="shared" si="30"/>
        <v>medium</v>
      </c>
      <c r="T970">
        <v>2261</v>
      </c>
      <c r="U970">
        <v>2</v>
      </c>
      <c r="V970" s="17" t="s">
        <v>43</v>
      </c>
      <c r="W970">
        <v>16</v>
      </c>
      <c r="X970">
        <v>3</v>
      </c>
      <c r="Y970">
        <v>4</v>
      </c>
      <c r="Z970">
        <v>1</v>
      </c>
      <c r="AA970">
        <v>17</v>
      </c>
      <c r="AB970">
        <v>2</v>
      </c>
      <c r="AC970">
        <v>2</v>
      </c>
      <c r="AD970" s="14">
        <v>15</v>
      </c>
      <c r="AE970" t="str">
        <f t="shared" si="31"/>
        <v>10+ years</v>
      </c>
      <c r="AF970" s="14">
        <v>7</v>
      </c>
      <c r="AG970" s="14">
        <v>6</v>
      </c>
      <c r="AH970" s="14">
        <v>13</v>
      </c>
    </row>
    <row r="971" spans="1:34" x14ac:dyDescent="0.3">
      <c r="A971" s="14">
        <v>48</v>
      </c>
      <c r="B971" s="17" t="s">
        <v>43</v>
      </c>
      <c r="C971" t="s">
        <v>36</v>
      </c>
      <c r="D971">
        <v>855</v>
      </c>
      <c r="E971" s="17" t="s">
        <v>45</v>
      </c>
      <c r="F971">
        <v>4</v>
      </c>
      <c r="G971">
        <v>3</v>
      </c>
      <c r="H971" t="s">
        <v>38</v>
      </c>
      <c r="I971">
        <v>1363</v>
      </c>
      <c r="J971">
        <v>4</v>
      </c>
      <c r="K971" s="17" t="s">
        <v>46</v>
      </c>
      <c r="L971">
        <v>54</v>
      </c>
      <c r="M971">
        <v>3</v>
      </c>
      <c r="N971">
        <v>3</v>
      </c>
      <c r="O971" s="17" t="s">
        <v>53</v>
      </c>
      <c r="P971" s="14">
        <v>4</v>
      </c>
      <c r="Q971" t="s">
        <v>41</v>
      </c>
      <c r="R971" s="14">
        <v>7898</v>
      </c>
      <c r="S971" s="17" t="str">
        <f t="shared" si="30"/>
        <v>high</v>
      </c>
      <c r="T971">
        <v>18706</v>
      </c>
      <c r="U971">
        <v>1</v>
      </c>
      <c r="V971" s="17" t="s">
        <v>43</v>
      </c>
      <c r="W971">
        <v>11</v>
      </c>
      <c r="X971">
        <v>3</v>
      </c>
      <c r="Y971">
        <v>3</v>
      </c>
      <c r="Z971">
        <v>0</v>
      </c>
      <c r="AA971">
        <v>11</v>
      </c>
      <c r="AB971">
        <v>2</v>
      </c>
      <c r="AC971">
        <v>3</v>
      </c>
      <c r="AD971" s="14">
        <v>10</v>
      </c>
      <c r="AE971" t="str">
        <f t="shared" si="31"/>
        <v>6-10 years</v>
      </c>
      <c r="AF971" s="14">
        <v>9</v>
      </c>
      <c r="AG971" s="14">
        <v>0</v>
      </c>
      <c r="AH971" s="14">
        <v>8</v>
      </c>
    </row>
    <row r="972" spans="1:34" x14ac:dyDescent="0.3">
      <c r="A972" s="14">
        <v>27</v>
      </c>
      <c r="B972" s="17" t="s">
        <v>43</v>
      </c>
      <c r="C972" t="s">
        <v>36</v>
      </c>
      <c r="D972">
        <v>1291</v>
      </c>
      <c r="E972" s="17" t="s">
        <v>37</v>
      </c>
      <c r="F972">
        <v>11</v>
      </c>
      <c r="G972">
        <v>3</v>
      </c>
      <c r="H972" t="s">
        <v>51</v>
      </c>
      <c r="I972">
        <v>1364</v>
      </c>
      <c r="J972">
        <v>3</v>
      </c>
      <c r="K972" s="17" t="s">
        <v>39</v>
      </c>
      <c r="L972">
        <v>98</v>
      </c>
      <c r="M972">
        <v>4</v>
      </c>
      <c r="N972">
        <v>1</v>
      </c>
      <c r="O972" s="17" t="s">
        <v>57</v>
      </c>
      <c r="P972" s="14">
        <v>4</v>
      </c>
      <c r="Q972" t="s">
        <v>48</v>
      </c>
      <c r="R972" s="14">
        <v>2534</v>
      </c>
      <c r="S972" s="17" t="str">
        <f t="shared" si="30"/>
        <v>low</v>
      </c>
      <c r="T972">
        <v>6527</v>
      </c>
      <c r="U972">
        <v>8</v>
      </c>
      <c r="V972" s="17" t="s">
        <v>43</v>
      </c>
      <c r="W972">
        <v>14</v>
      </c>
      <c r="X972">
        <v>3</v>
      </c>
      <c r="Y972">
        <v>2</v>
      </c>
      <c r="Z972">
        <v>1</v>
      </c>
      <c r="AA972">
        <v>5</v>
      </c>
      <c r="AB972">
        <v>4</v>
      </c>
      <c r="AC972">
        <v>3</v>
      </c>
      <c r="AD972" s="14">
        <v>1</v>
      </c>
      <c r="AE972" t="str">
        <f t="shared" si="31"/>
        <v>0-2 years</v>
      </c>
      <c r="AF972" s="14">
        <v>0</v>
      </c>
      <c r="AG972" s="14">
        <v>0</v>
      </c>
      <c r="AH972" s="14">
        <v>0</v>
      </c>
    </row>
    <row r="973" spans="1:34" x14ac:dyDescent="0.3">
      <c r="A973" s="14">
        <v>51</v>
      </c>
      <c r="B973" s="17" t="s">
        <v>43</v>
      </c>
      <c r="C973" t="s">
        <v>36</v>
      </c>
      <c r="D973">
        <v>1405</v>
      </c>
      <c r="E973" s="17" t="s">
        <v>45</v>
      </c>
      <c r="F973">
        <v>11</v>
      </c>
      <c r="G973">
        <v>2</v>
      </c>
      <c r="H973" t="s">
        <v>60</v>
      </c>
      <c r="I973">
        <v>1367</v>
      </c>
      <c r="J973">
        <v>4</v>
      </c>
      <c r="K973" s="17" t="s">
        <v>39</v>
      </c>
      <c r="L973">
        <v>82</v>
      </c>
      <c r="M973">
        <v>2</v>
      </c>
      <c r="N973">
        <v>4</v>
      </c>
      <c r="O973" s="17" t="s">
        <v>53</v>
      </c>
      <c r="P973" s="14">
        <v>2</v>
      </c>
      <c r="Q973" t="s">
        <v>41</v>
      </c>
      <c r="R973" s="14">
        <v>13142</v>
      </c>
      <c r="S973" s="17" t="str">
        <f t="shared" si="30"/>
        <v>high</v>
      </c>
      <c r="T973">
        <v>24439</v>
      </c>
      <c r="U973">
        <v>3</v>
      </c>
      <c r="V973" s="17" t="s">
        <v>43</v>
      </c>
      <c r="W973">
        <v>16</v>
      </c>
      <c r="X973">
        <v>3</v>
      </c>
      <c r="Y973">
        <v>2</v>
      </c>
      <c r="Z973">
        <v>0</v>
      </c>
      <c r="AA973">
        <v>29</v>
      </c>
      <c r="AB973">
        <v>1</v>
      </c>
      <c r="AC973">
        <v>2</v>
      </c>
      <c r="AD973" s="14">
        <v>5</v>
      </c>
      <c r="AE973" t="str">
        <f t="shared" si="31"/>
        <v>3-5 years</v>
      </c>
      <c r="AF973" s="14">
        <v>2</v>
      </c>
      <c r="AG973" s="14">
        <v>0</v>
      </c>
      <c r="AH973" s="14">
        <v>3</v>
      </c>
    </row>
    <row r="974" spans="1:34" x14ac:dyDescent="0.3">
      <c r="A974" s="14">
        <v>18</v>
      </c>
      <c r="B974" s="17" t="s">
        <v>43</v>
      </c>
      <c r="C974" t="s">
        <v>55</v>
      </c>
      <c r="D974">
        <v>1124</v>
      </c>
      <c r="E974" s="17" t="s">
        <v>45</v>
      </c>
      <c r="F974">
        <v>1</v>
      </c>
      <c r="G974">
        <v>3</v>
      </c>
      <c r="H974" t="s">
        <v>38</v>
      </c>
      <c r="I974">
        <v>1368</v>
      </c>
      <c r="J974">
        <v>4</v>
      </c>
      <c r="K974" s="17" t="s">
        <v>39</v>
      </c>
      <c r="L974">
        <v>97</v>
      </c>
      <c r="M974">
        <v>3</v>
      </c>
      <c r="N974">
        <v>1</v>
      </c>
      <c r="O974" s="17" t="s">
        <v>50</v>
      </c>
      <c r="P974" s="14">
        <v>4</v>
      </c>
      <c r="Q974" t="s">
        <v>41</v>
      </c>
      <c r="R974" s="14">
        <v>1611</v>
      </c>
      <c r="S974" s="17" t="str">
        <f t="shared" si="30"/>
        <v>low</v>
      </c>
      <c r="T974">
        <v>19305</v>
      </c>
      <c r="U974">
        <v>1</v>
      </c>
      <c r="V974" s="17" t="s">
        <v>43</v>
      </c>
      <c r="W974">
        <v>15</v>
      </c>
      <c r="X974">
        <v>3</v>
      </c>
      <c r="Y974">
        <v>3</v>
      </c>
      <c r="Z974">
        <v>0</v>
      </c>
      <c r="AA974">
        <v>0</v>
      </c>
      <c r="AB974">
        <v>5</v>
      </c>
      <c r="AC974">
        <v>4</v>
      </c>
      <c r="AD974" s="14">
        <v>0</v>
      </c>
      <c r="AE974" t="str">
        <f t="shared" si="31"/>
        <v>0-2 years</v>
      </c>
      <c r="AF974" s="14">
        <v>0</v>
      </c>
      <c r="AG974" s="14">
        <v>0</v>
      </c>
      <c r="AH974" s="14">
        <v>0</v>
      </c>
    </row>
    <row r="975" spans="1:34" x14ac:dyDescent="0.3">
      <c r="A975" s="14">
        <v>35</v>
      </c>
      <c r="B975" s="17" t="s">
        <v>43</v>
      </c>
      <c r="C975" t="s">
        <v>36</v>
      </c>
      <c r="D975">
        <v>817</v>
      </c>
      <c r="E975" s="17" t="s">
        <v>45</v>
      </c>
      <c r="F975">
        <v>1</v>
      </c>
      <c r="G975">
        <v>3</v>
      </c>
      <c r="H975" t="s">
        <v>51</v>
      </c>
      <c r="I975">
        <v>1369</v>
      </c>
      <c r="J975">
        <v>4</v>
      </c>
      <c r="K975" s="17" t="s">
        <v>39</v>
      </c>
      <c r="L975">
        <v>60</v>
      </c>
      <c r="M975">
        <v>2</v>
      </c>
      <c r="N975">
        <v>2</v>
      </c>
      <c r="O975" s="17" t="s">
        <v>50</v>
      </c>
      <c r="P975" s="14">
        <v>4</v>
      </c>
      <c r="Q975" t="s">
        <v>48</v>
      </c>
      <c r="R975" s="14">
        <v>5363</v>
      </c>
      <c r="S975" s="17" t="str">
        <f t="shared" si="30"/>
        <v>medium</v>
      </c>
      <c r="T975">
        <v>10846</v>
      </c>
      <c r="U975">
        <v>0</v>
      </c>
      <c r="V975" s="17" t="s">
        <v>43</v>
      </c>
      <c r="W975">
        <v>12</v>
      </c>
      <c r="X975">
        <v>3</v>
      </c>
      <c r="Y975">
        <v>2</v>
      </c>
      <c r="Z975">
        <v>1</v>
      </c>
      <c r="AA975">
        <v>10</v>
      </c>
      <c r="AB975">
        <v>0</v>
      </c>
      <c r="AC975">
        <v>3</v>
      </c>
      <c r="AD975" s="14">
        <v>9</v>
      </c>
      <c r="AE975" t="str">
        <f t="shared" si="31"/>
        <v>6-10 years</v>
      </c>
      <c r="AF975" s="14">
        <v>7</v>
      </c>
      <c r="AG975" s="14">
        <v>0</v>
      </c>
      <c r="AH975" s="14">
        <v>0</v>
      </c>
    </row>
    <row r="976" spans="1:34" x14ac:dyDescent="0.3">
      <c r="A976" s="14">
        <v>27</v>
      </c>
      <c r="B976" s="17" t="s">
        <v>43</v>
      </c>
      <c r="C976" t="s">
        <v>44</v>
      </c>
      <c r="D976">
        <v>793</v>
      </c>
      <c r="E976" s="17" t="s">
        <v>37</v>
      </c>
      <c r="F976">
        <v>2</v>
      </c>
      <c r="G976">
        <v>1</v>
      </c>
      <c r="H976" t="s">
        <v>38</v>
      </c>
      <c r="I976">
        <v>1371</v>
      </c>
      <c r="J976">
        <v>4</v>
      </c>
      <c r="K976" s="17" t="s">
        <v>46</v>
      </c>
      <c r="L976">
        <v>43</v>
      </c>
      <c r="M976">
        <v>1</v>
      </c>
      <c r="N976">
        <v>2</v>
      </c>
      <c r="O976" s="17" t="s">
        <v>40</v>
      </c>
      <c r="P976" s="14">
        <v>4</v>
      </c>
      <c r="Q976" t="s">
        <v>41</v>
      </c>
      <c r="R976" s="14">
        <v>5071</v>
      </c>
      <c r="S976" s="17" t="str">
        <f t="shared" si="30"/>
        <v>medium</v>
      </c>
      <c r="T976">
        <v>20392</v>
      </c>
      <c r="U976">
        <v>3</v>
      </c>
      <c r="V976" s="17" t="s">
        <v>43</v>
      </c>
      <c r="W976">
        <v>20</v>
      </c>
      <c r="X976">
        <v>4</v>
      </c>
      <c r="Y976">
        <v>2</v>
      </c>
      <c r="Z976">
        <v>0</v>
      </c>
      <c r="AA976">
        <v>8</v>
      </c>
      <c r="AB976">
        <v>3</v>
      </c>
      <c r="AC976">
        <v>3</v>
      </c>
      <c r="AD976" s="14">
        <v>6</v>
      </c>
      <c r="AE976" t="str">
        <f t="shared" si="31"/>
        <v>6-10 years</v>
      </c>
      <c r="AF976" s="14">
        <v>2</v>
      </c>
      <c r="AG976" s="14">
        <v>0</v>
      </c>
      <c r="AH976" s="14">
        <v>0</v>
      </c>
    </row>
    <row r="977" spans="1:34" x14ac:dyDescent="0.3">
      <c r="A977" s="14">
        <v>55</v>
      </c>
      <c r="B977" s="17" t="s">
        <v>35</v>
      </c>
      <c r="C977" t="s">
        <v>36</v>
      </c>
      <c r="D977">
        <v>267</v>
      </c>
      <c r="E977" s="17" t="s">
        <v>37</v>
      </c>
      <c r="F977">
        <v>13</v>
      </c>
      <c r="G977">
        <v>4</v>
      </c>
      <c r="H977" t="s">
        <v>59</v>
      </c>
      <c r="I977">
        <v>1372</v>
      </c>
      <c r="J977">
        <v>1</v>
      </c>
      <c r="K977" s="17" t="s">
        <v>46</v>
      </c>
      <c r="L977">
        <v>85</v>
      </c>
      <c r="M977">
        <v>4</v>
      </c>
      <c r="N977">
        <v>4</v>
      </c>
      <c r="O977" s="17" t="s">
        <v>40</v>
      </c>
      <c r="P977" s="14">
        <v>3</v>
      </c>
      <c r="Q977" t="s">
        <v>41</v>
      </c>
      <c r="R977" s="14">
        <v>13695</v>
      </c>
      <c r="S977" s="17" t="str">
        <f t="shared" si="30"/>
        <v>high</v>
      </c>
      <c r="T977">
        <v>9277</v>
      </c>
      <c r="U977">
        <v>6</v>
      </c>
      <c r="V977" s="17" t="s">
        <v>35</v>
      </c>
      <c r="W977">
        <v>17</v>
      </c>
      <c r="X977">
        <v>3</v>
      </c>
      <c r="Y977">
        <v>3</v>
      </c>
      <c r="Z977">
        <v>0</v>
      </c>
      <c r="AA977">
        <v>24</v>
      </c>
      <c r="AB977">
        <v>2</v>
      </c>
      <c r="AC977">
        <v>2</v>
      </c>
      <c r="AD977" s="14">
        <v>19</v>
      </c>
      <c r="AE977" t="str">
        <f t="shared" si="31"/>
        <v>10+ years</v>
      </c>
      <c r="AF977" s="14">
        <v>7</v>
      </c>
      <c r="AG977" s="14">
        <v>3</v>
      </c>
      <c r="AH977" s="14">
        <v>8</v>
      </c>
    </row>
    <row r="978" spans="1:34" x14ac:dyDescent="0.3">
      <c r="A978" s="14">
        <v>56</v>
      </c>
      <c r="B978" s="17" t="s">
        <v>43</v>
      </c>
      <c r="C978" t="s">
        <v>36</v>
      </c>
      <c r="D978">
        <v>1369</v>
      </c>
      <c r="E978" s="17" t="s">
        <v>45</v>
      </c>
      <c r="F978">
        <v>23</v>
      </c>
      <c r="G978">
        <v>3</v>
      </c>
      <c r="H978" t="s">
        <v>38</v>
      </c>
      <c r="I978">
        <v>1373</v>
      </c>
      <c r="J978">
        <v>4</v>
      </c>
      <c r="K978" s="17" t="s">
        <v>46</v>
      </c>
      <c r="L978">
        <v>68</v>
      </c>
      <c r="M978">
        <v>3</v>
      </c>
      <c r="N978">
        <v>4</v>
      </c>
      <c r="O978" s="17" t="s">
        <v>53</v>
      </c>
      <c r="P978" s="14">
        <v>2</v>
      </c>
      <c r="Q978" t="s">
        <v>48</v>
      </c>
      <c r="R978" s="14">
        <v>13402</v>
      </c>
      <c r="S978" s="17" t="str">
        <f t="shared" si="30"/>
        <v>high</v>
      </c>
      <c r="T978">
        <v>18235</v>
      </c>
      <c r="U978">
        <v>4</v>
      </c>
      <c r="V978" s="17" t="s">
        <v>35</v>
      </c>
      <c r="W978">
        <v>12</v>
      </c>
      <c r="X978">
        <v>3</v>
      </c>
      <c r="Y978">
        <v>1</v>
      </c>
      <c r="Z978">
        <v>1</v>
      </c>
      <c r="AA978">
        <v>33</v>
      </c>
      <c r="AB978">
        <v>0</v>
      </c>
      <c r="AC978">
        <v>3</v>
      </c>
      <c r="AD978" s="14">
        <v>19</v>
      </c>
      <c r="AE978" t="str">
        <f t="shared" si="31"/>
        <v>10+ years</v>
      </c>
      <c r="AF978" s="14">
        <v>16</v>
      </c>
      <c r="AG978" s="14">
        <v>15</v>
      </c>
      <c r="AH978" s="14">
        <v>9</v>
      </c>
    </row>
    <row r="979" spans="1:34" x14ac:dyDescent="0.3">
      <c r="A979" s="14">
        <v>34</v>
      </c>
      <c r="B979" s="17" t="s">
        <v>43</v>
      </c>
      <c r="C979" t="s">
        <v>55</v>
      </c>
      <c r="D979">
        <v>999</v>
      </c>
      <c r="E979" s="17" t="s">
        <v>45</v>
      </c>
      <c r="F979">
        <v>26</v>
      </c>
      <c r="G979">
        <v>1</v>
      </c>
      <c r="H979" t="s">
        <v>60</v>
      </c>
      <c r="I979">
        <v>1374</v>
      </c>
      <c r="J979">
        <v>1</v>
      </c>
      <c r="K979" s="17" t="s">
        <v>39</v>
      </c>
      <c r="L979">
        <v>92</v>
      </c>
      <c r="M979">
        <v>2</v>
      </c>
      <c r="N979">
        <v>1</v>
      </c>
      <c r="O979" s="17" t="s">
        <v>47</v>
      </c>
      <c r="P979" s="14">
        <v>3</v>
      </c>
      <c r="Q979" t="s">
        <v>52</v>
      </c>
      <c r="R979" s="14">
        <v>2029</v>
      </c>
      <c r="S979" s="17" t="str">
        <f t="shared" si="30"/>
        <v>low</v>
      </c>
      <c r="T979">
        <v>15891</v>
      </c>
      <c r="U979">
        <v>1</v>
      </c>
      <c r="V979" s="17" t="s">
        <v>43</v>
      </c>
      <c r="W979">
        <v>20</v>
      </c>
      <c r="X979">
        <v>4</v>
      </c>
      <c r="Y979">
        <v>3</v>
      </c>
      <c r="Z979">
        <v>3</v>
      </c>
      <c r="AA979">
        <v>5</v>
      </c>
      <c r="AB979">
        <v>2</v>
      </c>
      <c r="AC979">
        <v>3</v>
      </c>
      <c r="AD979" s="14">
        <v>5</v>
      </c>
      <c r="AE979" t="str">
        <f t="shared" si="31"/>
        <v>3-5 years</v>
      </c>
      <c r="AF979" s="14">
        <v>4</v>
      </c>
      <c r="AG979" s="14">
        <v>0</v>
      </c>
      <c r="AH979" s="14">
        <v>0</v>
      </c>
    </row>
    <row r="980" spans="1:34" x14ac:dyDescent="0.3">
      <c r="A980" s="14">
        <v>40</v>
      </c>
      <c r="B980" s="17" t="s">
        <v>43</v>
      </c>
      <c r="C980" t="s">
        <v>36</v>
      </c>
      <c r="D980">
        <v>1202</v>
      </c>
      <c r="E980" s="17" t="s">
        <v>45</v>
      </c>
      <c r="F980">
        <v>2</v>
      </c>
      <c r="G980">
        <v>1</v>
      </c>
      <c r="H980" t="s">
        <v>51</v>
      </c>
      <c r="I980">
        <v>1375</v>
      </c>
      <c r="J980">
        <v>2</v>
      </c>
      <c r="K980" s="17" t="s">
        <v>39</v>
      </c>
      <c r="L980">
        <v>89</v>
      </c>
      <c r="M980">
        <v>4</v>
      </c>
      <c r="N980">
        <v>2</v>
      </c>
      <c r="O980" s="17" t="s">
        <v>54</v>
      </c>
      <c r="P980" s="14">
        <v>3</v>
      </c>
      <c r="Q980" t="s">
        <v>52</v>
      </c>
      <c r="R980" s="14">
        <v>6377</v>
      </c>
      <c r="S980" s="17" t="str">
        <f t="shared" si="30"/>
        <v>medium</v>
      </c>
      <c r="T980">
        <v>13888</v>
      </c>
      <c r="U980">
        <v>5</v>
      </c>
      <c r="V980" s="17" t="s">
        <v>43</v>
      </c>
      <c r="W980">
        <v>20</v>
      </c>
      <c r="X980">
        <v>4</v>
      </c>
      <c r="Y980">
        <v>2</v>
      </c>
      <c r="Z980">
        <v>3</v>
      </c>
      <c r="AA980">
        <v>15</v>
      </c>
      <c r="AB980">
        <v>0</v>
      </c>
      <c r="AC980">
        <v>3</v>
      </c>
      <c r="AD980" s="14">
        <v>12</v>
      </c>
      <c r="AE980" t="str">
        <f t="shared" si="31"/>
        <v>10+ years</v>
      </c>
      <c r="AF980" s="14">
        <v>11</v>
      </c>
      <c r="AG980" s="14">
        <v>11</v>
      </c>
      <c r="AH980" s="14">
        <v>8</v>
      </c>
    </row>
    <row r="981" spans="1:34" x14ac:dyDescent="0.3">
      <c r="A981" s="14">
        <v>34</v>
      </c>
      <c r="B981" s="17" t="s">
        <v>43</v>
      </c>
      <c r="C981" t="s">
        <v>36</v>
      </c>
      <c r="D981">
        <v>285</v>
      </c>
      <c r="E981" s="17" t="s">
        <v>45</v>
      </c>
      <c r="F981">
        <v>29</v>
      </c>
      <c r="G981">
        <v>3</v>
      </c>
      <c r="H981" t="s">
        <v>51</v>
      </c>
      <c r="I981">
        <v>1377</v>
      </c>
      <c r="J981">
        <v>2</v>
      </c>
      <c r="K981" s="17" t="s">
        <v>46</v>
      </c>
      <c r="L981">
        <v>86</v>
      </c>
      <c r="M981">
        <v>3</v>
      </c>
      <c r="N981">
        <v>2</v>
      </c>
      <c r="O981" s="17" t="s">
        <v>50</v>
      </c>
      <c r="P981" s="14">
        <v>3</v>
      </c>
      <c r="Q981" t="s">
        <v>48</v>
      </c>
      <c r="R981" s="14">
        <v>5429</v>
      </c>
      <c r="S981" s="17" t="str">
        <f t="shared" si="30"/>
        <v>medium</v>
      </c>
      <c r="T981">
        <v>17491</v>
      </c>
      <c r="U981">
        <v>4</v>
      </c>
      <c r="V981" s="17" t="s">
        <v>43</v>
      </c>
      <c r="W981">
        <v>13</v>
      </c>
      <c r="X981">
        <v>3</v>
      </c>
      <c r="Y981">
        <v>1</v>
      </c>
      <c r="Z981">
        <v>2</v>
      </c>
      <c r="AA981">
        <v>10</v>
      </c>
      <c r="AB981">
        <v>1</v>
      </c>
      <c r="AC981">
        <v>3</v>
      </c>
      <c r="AD981" s="14">
        <v>8</v>
      </c>
      <c r="AE981" t="str">
        <f t="shared" si="31"/>
        <v>6-10 years</v>
      </c>
      <c r="AF981" s="14">
        <v>7</v>
      </c>
      <c r="AG981" s="14">
        <v>7</v>
      </c>
      <c r="AH981" s="14">
        <v>7</v>
      </c>
    </row>
    <row r="982" spans="1:34" x14ac:dyDescent="0.3">
      <c r="A982" s="14">
        <v>31</v>
      </c>
      <c r="B982" s="17" t="s">
        <v>35</v>
      </c>
      <c r="C982" t="s">
        <v>44</v>
      </c>
      <c r="D982">
        <v>703</v>
      </c>
      <c r="E982" s="17" t="s">
        <v>37</v>
      </c>
      <c r="F982">
        <v>2</v>
      </c>
      <c r="G982">
        <v>3</v>
      </c>
      <c r="H982" t="s">
        <v>38</v>
      </c>
      <c r="I982">
        <v>1379</v>
      </c>
      <c r="J982">
        <v>3</v>
      </c>
      <c r="K982" s="17" t="s">
        <v>39</v>
      </c>
      <c r="L982">
        <v>90</v>
      </c>
      <c r="M982">
        <v>2</v>
      </c>
      <c r="N982">
        <v>1</v>
      </c>
      <c r="O982" s="17" t="s">
        <v>57</v>
      </c>
      <c r="P982" s="14">
        <v>4</v>
      </c>
      <c r="Q982" t="s">
        <v>41</v>
      </c>
      <c r="R982" s="14">
        <v>2785</v>
      </c>
      <c r="S982" s="17" t="str">
        <f t="shared" si="30"/>
        <v>low</v>
      </c>
      <c r="T982">
        <v>11882</v>
      </c>
      <c r="U982">
        <v>7</v>
      </c>
      <c r="V982" s="17" t="s">
        <v>43</v>
      </c>
      <c r="W982">
        <v>14</v>
      </c>
      <c r="X982">
        <v>3</v>
      </c>
      <c r="Y982">
        <v>3</v>
      </c>
      <c r="Z982">
        <v>0</v>
      </c>
      <c r="AA982">
        <v>3</v>
      </c>
      <c r="AB982">
        <v>3</v>
      </c>
      <c r="AC982">
        <v>4</v>
      </c>
      <c r="AD982" s="14">
        <v>1</v>
      </c>
      <c r="AE982" t="str">
        <f t="shared" si="31"/>
        <v>0-2 years</v>
      </c>
      <c r="AF982" s="14">
        <v>0</v>
      </c>
      <c r="AG982" s="14">
        <v>0</v>
      </c>
      <c r="AH982" s="14">
        <v>0</v>
      </c>
    </row>
    <row r="983" spans="1:34" x14ac:dyDescent="0.3">
      <c r="A983" s="14">
        <v>35</v>
      </c>
      <c r="B983" s="17" t="s">
        <v>35</v>
      </c>
      <c r="C983" t="s">
        <v>44</v>
      </c>
      <c r="D983">
        <v>662</v>
      </c>
      <c r="E983" s="17" t="s">
        <v>37</v>
      </c>
      <c r="F983">
        <v>18</v>
      </c>
      <c r="G983">
        <v>4</v>
      </c>
      <c r="H983" t="s">
        <v>59</v>
      </c>
      <c r="I983">
        <v>1380</v>
      </c>
      <c r="J983">
        <v>4</v>
      </c>
      <c r="K983" s="17" t="s">
        <v>39</v>
      </c>
      <c r="L983">
        <v>67</v>
      </c>
      <c r="M983">
        <v>3</v>
      </c>
      <c r="N983">
        <v>2</v>
      </c>
      <c r="O983" s="17" t="s">
        <v>40</v>
      </c>
      <c r="P983" s="14">
        <v>3</v>
      </c>
      <c r="Q983" t="s">
        <v>48</v>
      </c>
      <c r="R983" s="14">
        <v>4614</v>
      </c>
      <c r="S983" s="17" t="str">
        <f t="shared" si="30"/>
        <v>medium</v>
      </c>
      <c r="T983">
        <v>23288</v>
      </c>
      <c r="U983">
        <v>0</v>
      </c>
      <c r="V983" s="17" t="s">
        <v>35</v>
      </c>
      <c r="W983">
        <v>18</v>
      </c>
      <c r="X983">
        <v>3</v>
      </c>
      <c r="Y983">
        <v>3</v>
      </c>
      <c r="Z983">
        <v>1</v>
      </c>
      <c r="AA983">
        <v>5</v>
      </c>
      <c r="AB983">
        <v>0</v>
      </c>
      <c r="AC983">
        <v>2</v>
      </c>
      <c r="AD983" s="14">
        <v>4</v>
      </c>
      <c r="AE983" t="str">
        <f t="shared" si="31"/>
        <v>3-5 years</v>
      </c>
      <c r="AF983" s="14">
        <v>2</v>
      </c>
      <c r="AG983" s="14">
        <v>3</v>
      </c>
      <c r="AH983" s="14">
        <v>2</v>
      </c>
    </row>
    <row r="984" spans="1:34" x14ac:dyDescent="0.3">
      <c r="A984" s="14">
        <v>38</v>
      </c>
      <c r="B984" s="17" t="s">
        <v>43</v>
      </c>
      <c r="C984" t="s">
        <v>44</v>
      </c>
      <c r="D984">
        <v>693</v>
      </c>
      <c r="E984" s="17" t="s">
        <v>45</v>
      </c>
      <c r="F984">
        <v>7</v>
      </c>
      <c r="G984">
        <v>3</v>
      </c>
      <c r="H984" t="s">
        <v>38</v>
      </c>
      <c r="I984">
        <v>1382</v>
      </c>
      <c r="J984">
        <v>4</v>
      </c>
      <c r="K984" s="17" t="s">
        <v>46</v>
      </c>
      <c r="L984">
        <v>57</v>
      </c>
      <c r="M984">
        <v>4</v>
      </c>
      <c r="N984">
        <v>1</v>
      </c>
      <c r="O984" s="17" t="s">
        <v>47</v>
      </c>
      <c r="P984" s="14">
        <v>3</v>
      </c>
      <c r="Q984" t="s">
        <v>52</v>
      </c>
      <c r="R984" s="14">
        <v>2610</v>
      </c>
      <c r="S984" s="17" t="str">
        <f t="shared" si="30"/>
        <v>low</v>
      </c>
      <c r="T984">
        <v>15748</v>
      </c>
      <c r="U984">
        <v>1</v>
      </c>
      <c r="V984" s="17" t="s">
        <v>43</v>
      </c>
      <c r="W984">
        <v>11</v>
      </c>
      <c r="X984">
        <v>3</v>
      </c>
      <c r="Y984">
        <v>4</v>
      </c>
      <c r="Z984">
        <v>3</v>
      </c>
      <c r="AA984">
        <v>4</v>
      </c>
      <c r="AB984">
        <v>2</v>
      </c>
      <c r="AC984">
        <v>3</v>
      </c>
      <c r="AD984" s="14">
        <v>4</v>
      </c>
      <c r="AE984" t="str">
        <f t="shared" si="31"/>
        <v>3-5 years</v>
      </c>
      <c r="AF984" s="14">
        <v>2</v>
      </c>
      <c r="AG984" s="14">
        <v>0</v>
      </c>
      <c r="AH984" s="14">
        <v>3</v>
      </c>
    </row>
    <row r="985" spans="1:34" x14ac:dyDescent="0.3">
      <c r="A985" s="14">
        <v>34</v>
      </c>
      <c r="B985" s="17" t="s">
        <v>43</v>
      </c>
      <c r="C985" t="s">
        <v>36</v>
      </c>
      <c r="D985">
        <v>404</v>
      </c>
      <c r="E985" s="17" t="s">
        <v>45</v>
      </c>
      <c r="F985">
        <v>2</v>
      </c>
      <c r="G985">
        <v>4</v>
      </c>
      <c r="H985" t="s">
        <v>60</v>
      </c>
      <c r="I985">
        <v>1383</v>
      </c>
      <c r="J985">
        <v>3</v>
      </c>
      <c r="K985" s="17" t="s">
        <v>39</v>
      </c>
      <c r="L985">
        <v>98</v>
      </c>
      <c r="M985">
        <v>3</v>
      </c>
      <c r="N985">
        <v>2</v>
      </c>
      <c r="O985" s="17" t="s">
        <v>54</v>
      </c>
      <c r="P985" s="14">
        <v>4</v>
      </c>
      <c r="Q985" t="s">
        <v>41</v>
      </c>
      <c r="R985" s="14">
        <v>6687</v>
      </c>
      <c r="S985" s="17" t="str">
        <f t="shared" si="30"/>
        <v>medium</v>
      </c>
      <c r="T985">
        <v>6163</v>
      </c>
      <c r="U985">
        <v>1</v>
      </c>
      <c r="V985" s="17" t="s">
        <v>43</v>
      </c>
      <c r="W985">
        <v>11</v>
      </c>
      <c r="X985">
        <v>3</v>
      </c>
      <c r="Y985">
        <v>4</v>
      </c>
      <c r="Z985">
        <v>0</v>
      </c>
      <c r="AA985">
        <v>14</v>
      </c>
      <c r="AB985">
        <v>2</v>
      </c>
      <c r="AC985">
        <v>4</v>
      </c>
      <c r="AD985" s="14">
        <v>14</v>
      </c>
      <c r="AE985" t="str">
        <f t="shared" si="31"/>
        <v>10+ years</v>
      </c>
      <c r="AF985" s="14">
        <v>11</v>
      </c>
      <c r="AG985" s="14">
        <v>4</v>
      </c>
      <c r="AH985" s="14">
        <v>11</v>
      </c>
    </row>
    <row r="986" spans="1:34" x14ac:dyDescent="0.3">
      <c r="A986" s="14">
        <v>28</v>
      </c>
      <c r="B986" s="17" t="s">
        <v>43</v>
      </c>
      <c r="C986" t="s">
        <v>36</v>
      </c>
      <c r="D986">
        <v>736</v>
      </c>
      <c r="E986" s="17" t="s">
        <v>37</v>
      </c>
      <c r="F986">
        <v>26</v>
      </c>
      <c r="G986">
        <v>3</v>
      </c>
      <c r="H986" t="s">
        <v>38</v>
      </c>
      <c r="I986">
        <v>1387</v>
      </c>
      <c r="J986">
        <v>3</v>
      </c>
      <c r="K986" s="17" t="s">
        <v>46</v>
      </c>
      <c r="L986">
        <v>48</v>
      </c>
      <c r="M986">
        <v>2</v>
      </c>
      <c r="N986">
        <v>2</v>
      </c>
      <c r="O986" s="17" t="s">
        <v>40</v>
      </c>
      <c r="P986" s="14">
        <v>1</v>
      </c>
      <c r="Q986" t="s">
        <v>48</v>
      </c>
      <c r="R986" s="14">
        <v>4724</v>
      </c>
      <c r="S986" s="17" t="str">
        <f t="shared" si="30"/>
        <v>medium</v>
      </c>
      <c r="T986">
        <v>24232</v>
      </c>
      <c r="U986">
        <v>1</v>
      </c>
      <c r="V986" s="17" t="s">
        <v>43</v>
      </c>
      <c r="W986">
        <v>11</v>
      </c>
      <c r="X986">
        <v>3</v>
      </c>
      <c r="Y986">
        <v>3</v>
      </c>
      <c r="Z986">
        <v>1</v>
      </c>
      <c r="AA986">
        <v>5</v>
      </c>
      <c r="AB986">
        <v>0</v>
      </c>
      <c r="AC986">
        <v>3</v>
      </c>
      <c r="AD986" s="14">
        <v>5</v>
      </c>
      <c r="AE986" t="str">
        <f t="shared" si="31"/>
        <v>3-5 years</v>
      </c>
      <c r="AF986" s="14">
        <v>3</v>
      </c>
      <c r="AG986" s="14">
        <v>0</v>
      </c>
      <c r="AH986" s="14">
        <v>4</v>
      </c>
    </row>
    <row r="987" spans="1:34" x14ac:dyDescent="0.3">
      <c r="A987" s="14">
        <v>31</v>
      </c>
      <c r="B987" s="17" t="s">
        <v>35</v>
      </c>
      <c r="C987" t="s">
        <v>36</v>
      </c>
      <c r="D987">
        <v>330</v>
      </c>
      <c r="E987" s="17" t="s">
        <v>45</v>
      </c>
      <c r="F987">
        <v>22</v>
      </c>
      <c r="G987">
        <v>4</v>
      </c>
      <c r="H987" t="s">
        <v>51</v>
      </c>
      <c r="I987">
        <v>1389</v>
      </c>
      <c r="J987">
        <v>4</v>
      </c>
      <c r="K987" s="17" t="s">
        <v>46</v>
      </c>
      <c r="L987">
        <v>98</v>
      </c>
      <c r="M987">
        <v>3</v>
      </c>
      <c r="N987">
        <v>2</v>
      </c>
      <c r="O987" s="17" t="s">
        <v>53</v>
      </c>
      <c r="P987" s="14">
        <v>3</v>
      </c>
      <c r="Q987" t="s">
        <v>48</v>
      </c>
      <c r="R987" s="14">
        <v>6179</v>
      </c>
      <c r="S987" s="17" t="str">
        <f t="shared" si="30"/>
        <v>medium</v>
      </c>
      <c r="T987">
        <v>21057</v>
      </c>
      <c r="U987">
        <v>1</v>
      </c>
      <c r="V987" s="17" t="s">
        <v>35</v>
      </c>
      <c r="W987">
        <v>15</v>
      </c>
      <c r="X987">
        <v>3</v>
      </c>
      <c r="Y987">
        <v>4</v>
      </c>
      <c r="Z987">
        <v>2</v>
      </c>
      <c r="AA987">
        <v>10</v>
      </c>
      <c r="AB987">
        <v>3</v>
      </c>
      <c r="AC987">
        <v>2</v>
      </c>
      <c r="AD987" s="14">
        <v>10</v>
      </c>
      <c r="AE987" t="str">
        <f t="shared" si="31"/>
        <v>6-10 years</v>
      </c>
      <c r="AF987" s="14">
        <v>2</v>
      </c>
      <c r="AG987" s="14">
        <v>6</v>
      </c>
      <c r="AH987" s="14">
        <v>7</v>
      </c>
    </row>
    <row r="988" spans="1:34" x14ac:dyDescent="0.3">
      <c r="A988" s="14">
        <v>39</v>
      </c>
      <c r="B988" s="17" t="s">
        <v>43</v>
      </c>
      <c r="C988" t="s">
        <v>36</v>
      </c>
      <c r="D988">
        <v>1498</v>
      </c>
      <c r="E988" s="17" t="s">
        <v>37</v>
      </c>
      <c r="F988">
        <v>21</v>
      </c>
      <c r="G988">
        <v>4</v>
      </c>
      <c r="H988" t="s">
        <v>38</v>
      </c>
      <c r="I988">
        <v>1390</v>
      </c>
      <c r="J988">
        <v>1</v>
      </c>
      <c r="K988" s="17" t="s">
        <v>46</v>
      </c>
      <c r="L988">
        <v>44</v>
      </c>
      <c r="M988">
        <v>2</v>
      </c>
      <c r="N988">
        <v>2</v>
      </c>
      <c r="O988" s="17" t="s">
        <v>40</v>
      </c>
      <c r="P988" s="14">
        <v>4</v>
      </c>
      <c r="Q988" t="s">
        <v>48</v>
      </c>
      <c r="R988" s="14">
        <v>6120</v>
      </c>
      <c r="S988" s="17" t="str">
        <f t="shared" si="30"/>
        <v>medium</v>
      </c>
      <c r="T988">
        <v>3567</v>
      </c>
      <c r="U988">
        <v>3</v>
      </c>
      <c r="V988" s="17" t="s">
        <v>35</v>
      </c>
      <c r="W988">
        <v>12</v>
      </c>
      <c r="X988">
        <v>3</v>
      </c>
      <c r="Y988">
        <v>4</v>
      </c>
      <c r="Z988">
        <v>2</v>
      </c>
      <c r="AA988">
        <v>8</v>
      </c>
      <c r="AB988">
        <v>2</v>
      </c>
      <c r="AC988">
        <v>4</v>
      </c>
      <c r="AD988" s="14">
        <v>5</v>
      </c>
      <c r="AE988" t="str">
        <f t="shared" si="31"/>
        <v>3-5 years</v>
      </c>
      <c r="AF988" s="14">
        <v>4</v>
      </c>
      <c r="AG988" s="14">
        <v>1</v>
      </c>
      <c r="AH988" s="14">
        <v>4</v>
      </c>
    </row>
    <row r="989" spans="1:34" x14ac:dyDescent="0.3">
      <c r="A989" s="14">
        <v>51</v>
      </c>
      <c r="B989" s="17" t="s">
        <v>43</v>
      </c>
      <c r="C989" t="s">
        <v>44</v>
      </c>
      <c r="D989">
        <v>541</v>
      </c>
      <c r="E989" s="17" t="s">
        <v>37</v>
      </c>
      <c r="F989">
        <v>2</v>
      </c>
      <c r="G989">
        <v>3</v>
      </c>
      <c r="H989" t="s">
        <v>59</v>
      </c>
      <c r="I989">
        <v>1391</v>
      </c>
      <c r="J989">
        <v>2</v>
      </c>
      <c r="K989" s="17" t="s">
        <v>46</v>
      </c>
      <c r="L989">
        <v>52</v>
      </c>
      <c r="M989">
        <v>3</v>
      </c>
      <c r="N989">
        <v>3</v>
      </c>
      <c r="O989" s="17" t="s">
        <v>40</v>
      </c>
      <c r="P989" s="14">
        <v>2</v>
      </c>
      <c r="Q989" t="s">
        <v>48</v>
      </c>
      <c r="R989" s="14">
        <v>10596</v>
      </c>
      <c r="S989" s="17" t="str">
        <f t="shared" si="30"/>
        <v>high</v>
      </c>
      <c r="T989">
        <v>15395</v>
      </c>
      <c r="U989">
        <v>2</v>
      </c>
      <c r="V989" s="17" t="s">
        <v>43</v>
      </c>
      <c r="W989">
        <v>11</v>
      </c>
      <c r="X989">
        <v>3</v>
      </c>
      <c r="Y989">
        <v>2</v>
      </c>
      <c r="Z989">
        <v>0</v>
      </c>
      <c r="AA989">
        <v>14</v>
      </c>
      <c r="AB989">
        <v>5</v>
      </c>
      <c r="AC989">
        <v>3</v>
      </c>
      <c r="AD989" s="14">
        <v>4</v>
      </c>
      <c r="AE989" t="str">
        <f t="shared" si="31"/>
        <v>3-5 years</v>
      </c>
      <c r="AF989" s="14">
        <v>2</v>
      </c>
      <c r="AG989" s="14">
        <v>3</v>
      </c>
      <c r="AH989" s="14">
        <v>2</v>
      </c>
    </row>
    <row r="990" spans="1:34" x14ac:dyDescent="0.3">
      <c r="A990" s="14">
        <v>41</v>
      </c>
      <c r="B990" s="17" t="s">
        <v>43</v>
      </c>
      <c r="C990" t="s">
        <v>44</v>
      </c>
      <c r="D990">
        <v>1200</v>
      </c>
      <c r="E990" s="17" t="s">
        <v>45</v>
      </c>
      <c r="F990">
        <v>22</v>
      </c>
      <c r="G990">
        <v>3</v>
      </c>
      <c r="H990" t="s">
        <v>38</v>
      </c>
      <c r="I990">
        <v>1392</v>
      </c>
      <c r="J990">
        <v>4</v>
      </c>
      <c r="K990" s="17" t="s">
        <v>39</v>
      </c>
      <c r="L990">
        <v>75</v>
      </c>
      <c r="M990">
        <v>3</v>
      </c>
      <c r="N990">
        <v>2</v>
      </c>
      <c r="O990" s="17" t="s">
        <v>47</v>
      </c>
      <c r="P990" s="14">
        <v>4</v>
      </c>
      <c r="Q990" t="s">
        <v>52</v>
      </c>
      <c r="R990" s="14">
        <v>5467</v>
      </c>
      <c r="S990" s="17" t="str">
        <f t="shared" si="30"/>
        <v>medium</v>
      </c>
      <c r="T990">
        <v>13953</v>
      </c>
      <c r="U990">
        <v>3</v>
      </c>
      <c r="V990" s="17" t="s">
        <v>35</v>
      </c>
      <c r="W990">
        <v>14</v>
      </c>
      <c r="X990">
        <v>3</v>
      </c>
      <c r="Y990">
        <v>1</v>
      </c>
      <c r="Z990">
        <v>2</v>
      </c>
      <c r="AA990">
        <v>12</v>
      </c>
      <c r="AB990">
        <v>4</v>
      </c>
      <c r="AC990">
        <v>2</v>
      </c>
      <c r="AD990" s="14">
        <v>6</v>
      </c>
      <c r="AE990" t="str">
        <f t="shared" si="31"/>
        <v>6-10 years</v>
      </c>
      <c r="AF990" s="14">
        <v>2</v>
      </c>
      <c r="AG990" s="14">
        <v>3</v>
      </c>
      <c r="AH990" s="14">
        <v>3</v>
      </c>
    </row>
    <row r="991" spans="1:34" x14ac:dyDescent="0.3">
      <c r="A991" s="14">
        <v>37</v>
      </c>
      <c r="B991" s="17" t="s">
        <v>43</v>
      </c>
      <c r="C991" t="s">
        <v>36</v>
      </c>
      <c r="D991">
        <v>1439</v>
      </c>
      <c r="E991" s="17" t="s">
        <v>45</v>
      </c>
      <c r="F991">
        <v>4</v>
      </c>
      <c r="G991">
        <v>1</v>
      </c>
      <c r="H991" t="s">
        <v>38</v>
      </c>
      <c r="I991">
        <v>1394</v>
      </c>
      <c r="J991">
        <v>3</v>
      </c>
      <c r="K991" s="17" t="s">
        <v>46</v>
      </c>
      <c r="L991">
        <v>54</v>
      </c>
      <c r="M991">
        <v>3</v>
      </c>
      <c r="N991">
        <v>1</v>
      </c>
      <c r="O991" s="17" t="s">
        <v>47</v>
      </c>
      <c r="P991" s="14">
        <v>3</v>
      </c>
      <c r="Q991" t="s">
        <v>48</v>
      </c>
      <c r="R991" s="14">
        <v>2996</v>
      </c>
      <c r="S991" s="17" t="str">
        <f t="shared" si="30"/>
        <v>low</v>
      </c>
      <c r="T991">
        <v>5182</v>
      </c>
      <c r="U991">
        <v>7</v>
      </c>
      <c r="V991" s="17" t="s">
        <v>35</v>
      </c>
      <c r="W991">
        <v>15</v>
      </c>
      <c r="X991">
        <v>3</v>
      </c>
      <c r="Y991">
        <v>4</v>
      </c>
      <c r="Z991">
        <v>0</v>
      </c>
      <c r="AA991">
        <v>8</v>
      </c>
      <c r="AB991">
        <v>2</v>
      </c>
      <c r="AC991">
        <v>3</v>
      </c>
      <c r="AD991" s="14">
        <v>6</v>
      </c>
      <c r="AE991" t="str">
        <f t="shared" si="31"/>
        <v>6-10 years</v>
      </c>
      <c r="AF991" s="14">
        <v>4</v>
      </c>
      <c r="AG991" s="14">
        <v>1</v>
      </c>
      <c r="AH991" s="14">
        <v>3</v>
      </c>
    </row>
    <row r="992" spans="1:34" x14ac:dyDescent="0.3">
      <c r="A992" s="14">
        <v>33</v>
      </c>
      <c r="B992" s="17" t="s">
        <v>43</v>
      </c>
      <c r="C992" t="s">
        <v>44</v>
      </c>
      <c r="D992">
        <v>1111</v>
      </c>
      <c r="E992" s="17" t="s">
        <v>37</v>
      </c>
      <c r="F992">
        <v>5</v>
      </c>
      <c r="G992">
        <v>1</v>
      </c>
      <c r="H992" t="s">
        <v>38</v>
      </c>
      <c r="I992">
        <v>1395</v>
      </c>
      <c r="J992">
        <v>2</v>
      </c>
      <c r="K992" s="17" t="s">
        <v>46</v>
      </c>
      <c r="L992">
        <v>61</v>
      </c>
      <c r="M992">
        <v>3</v>
      </c>
      <c r="N992">
        <v>2</v>
      </c>
      <c r="O992" s="17" t="s">
        <v>40</v>
      </c>
      <c r="P992" s="14">
        <v>4</v>
      </c>
      <c r="Q992" t="s">
        <v>48</v>
      </c>
      <c r="R992" s="14">
        <v>9998</v>
      </c>
      <c r="S992" s="17" t="str">
        <f t="shared" si="30"/>
        <v>high</v>
      </c>
      <c r="T992">
        <v>19293</v>
      </c>
      <c r="U992">
        <v>6</v>
      </c>
      <c r="V992" s="17" t="s">
        <v>43</v>
      </c>
      <c r="W992">
        <v>13</v>
      </c>
      <c r="X992">
        <v>3</v>
      </c>
      <c r="Y992">
        <v>1</v>
      </c>
      <c r="Z992">
        <v>0</v>
      </c>
      <c r="AA992">
        <v>8</v>
      </c>
      <c r="AB992">
        <v>2</v>
      </c>
      <c r="AC992">
        <v>4</v>
      </c>
      <c r="AD992" s="14">
        <v>5</v>
      </c>
      <c r="AE992" t="str">
        <f t="shared" si="31"/>
        <v>3-5 years</v>
      </c>
      <c r="AF992" s="14">
        <v>4</v>
      </c>
      <c r="AG992" s="14">
        <v>1</v>
      </c>
      <c r="AH992" s="14">
        <v>2</v>
      </c>
    </row>
    <row r="993" spans="1:34" x14ac:dyDescent="0.3">
      <c r="A993" s="14">
        <v>32</v>
      </c>
      <c r="B993" s="17" t="s">
        <v>43</v>
      </c>
      <c r="C993" t="s">
        <v>36</v>
      </c>
      <c r="D993">
        <v>499</v>
      </c>
      <c r="E993" s="17" t="s">
        <v>37</v>
      </c>
      <c r="F993">
        <v>2</v>
      </c>
      <c r="G993">
        <v>1</v>
      </c>
      <c r="H993" t="s">
        <v>59</v>
      </c>
      <c r="I993">
        <v>1396</v>
      </c>
      <c r="J993">
        <v>3</v>
      </c>
      <c r="K993" s="17" t="s">
        <v>46</v>
      </c>
      <c r="L993">
        <v>36</v>
      </c>
      <c r="M993">
        <v>3</v>
      </c>
      <c r="N993">
        <v>2</v>
      </c>
      <c r="O993" s="17" t="s">
        <v>40</v>
      </c>
      <c r="P993" s="14">
        <v>2</v>
      </c>
      <c r="Q993" t="s">
        <v>48</v>
      </c>
      <c r="R993" s="14">
        <v>4078</v>
      </c>
      <c r="S993" s="17" t="str">
        <f t="shared" si="30"/>
        <v>medium</v>
      </c>
      <c r="T993">
        <v>20497</v>
      </c>
      <c r="U993">
        <v>0</v>
      </c>
      <c r="V993" s="17" t="s">
        <v>35</v>
      </c>
      <c r="W993">
        <v>13</v>
      </c>
      <c r="X993">
        <v>3</v>
      </c>
      <c r="Y993">
        <v>1</v>
      </c>
      <c r="Z993">
        <v>3</v>
      </c>
      <c r="AA993">
        <v>4</v>
      </c>
      <c r="AB993">
        <v>3</v>
      </c>
      <c r="AC993">
        <v>2</v>
      </c>
      <c r="AD993" s="14">
        <v>3</v>
      </c>
      <c r="AE993" t="str">
        <f t="shared" si="31"/>
        <v>3-5 years</v>
      </c>
      <c r="AF993" s="14">
        <v>2</v>
      </c>
      <c r="AG993" s="14">
        <v>1</v>
      </c>
      <c r="AH993" s="14">
        <v>2</v>
      </c>
    </row>
    <row r="994" spans="1:34" x14ac:dyDescent="0.3">
      <c r="A994" s="14">
        <v>39</v>
      </c>
      <c r="B994" s="17" t="s">
        <v>43</v>
      </c>
      <c r="C994" t="s">
        <v>55</v>
      </c>
      <c r="D994">
        <v>1485</v>
      </c>
      <c r="E994" s="17" t="s">
        <v>45</v>
      </c>
      <c r="F994">
        <v>25</v>
      </c>
      <c r="G994">
        <v>2</v>
      </c>
      <c r="H994" t="s">
        <v>38</v>
      </c>
      <c r="I994">
        <v>1397</v>
      </c>
      <c r="J994">
        <v>3</v>
      </c>
      <c r="K994" s="17" t="s">
        <v>46</v>
      </c>
      <c r="L994">
        <v>71</v>
      </c>
      <c r="M994">
        <v>3</v>
      </c>
      <c r="N994">
        <v>3</v>
      </c>
      <c r="O994" s="17" t="s">
        <v>54</v>
      </c>
      <c r="P994" s="14">
        <v>3</v>
      </c>
      <c r="Q994" t="s">
        <v>48</v>
      </c>
      <c r="R994" s="14">
        <v>10920</v>
      </c>
      <c r="S994" s="17" t="str">
        <f t="shared" si="30"/>
        <v>high</v>
      </c>
      <c r="T994">
        <v>3449</v>
      </c>
      <c r="U994">
        <v>3</v>
      </c>
      <c r="V994" s="17" t="s">
        <v>43</v>
      </c>
      <c r="W994">
        <v>21</v>
      </c>
      <c r="X994">
        <v>4</v>
      </c>
      <c r="Y994">
        <v>2</v>
      </c>
      <c r="Z994">
        <v>1</v>
      </c>
      <c r="AA994">
        <v>13</v>
      </c>
      <c r="AB994">
        <v>2</v>
      </c>
      <c r="AC994">
        <v>3</v>
      </c>
      <c r="AD994" s="14">
        <v>6</v>
      </c>
      <c r="AE994" t="str">
        <f t="shared" si="31"/>
        <v>6-10 years</v>
      </c>
      <c r="AF994" s="14">
        <v>4</v>
      </c>
      <c r="AG994" s="14">
        <v>0</v>
      </c>
      <c r="AH994" s="14">
        <v>5</v>
      </c>
    </row>
    <row r="995" spans="1:34" x14ac:dyDescent="0.3">
      <c r="A995" s="14">
        <v>25</v>
      </c>
      <c r="B995" s="17" t="s">
        <v>43</v>
      </c>
      <c r="C995" t="s">
        <v>36</v>
      </c>
      <c r="D995">
        <v>1372</v>
      </c>
      <c r="E995" s="17" t="s">
        <v>37</v>
      </c>
      <c r="F995">
        <v>18</v>
      </c>
      <c r="G995">
        <v>1</v>
      </c>
      <c r="H995" t="s">
        <v>38</v>
      </c>
      <c r="I995">
        <v>1399</v>
      </c>
      <c r="J995">
        <v>1</v>
      </c>
      <c r="K995" s="17" t="s">
        <v>46</v>
      </c>
      <c r="L995">
        <v>93</v>
      </c>
      <c r="M995">
        <v>4</v>
      </c>
      <c r="N995">
        <v>2</v>
      </c>
      <c r="O995" s="17" t="s">
        <v>40</v>
      </c>
      <c r="P995" s="14">
        <v>3</v>
      </c>
      <c r="Q995" t="s">
        <v>48</v>
      </c>
      <c r="R995" s="14">
        <v>6232</v>
      </c>
      <c r="S995" s="17" t="str">
        <f t="shared" si="30"/>
        <v>medium</v>
      </c>
      <c r="T995">
        <v>12477</v>
      </c>
      <c r="U995">
        <v>2</v>
      </c>
      <c r="V995" s="17" t="s">
        <v>43</v>
      </c>
      <c r="W995">
        <v>11</v>
      </c>
      <c r="X995">
        <v>3</v>
      </c>
      <c r="Y995">
        <v>2</v>
      </c>
      <c r="Z995">
        <v>0</v>
      </c>
      <c r="AA995">
        <v>6</v>
      </c>
      <c r="AB995">
        <v>3</v>
      </c>
      <c r="AC995">
        <v>2</v>
      </c>
      <c r="AD995" s="14">
        <v>3</v>
      </c>
      <c r="AE995" t="str">
        <f t="shared" si="31"/>
        <v>3-5 years</v>
      </c>
      <c r="AF995" s="14">
        <v>2</v>
      </c>
      <c r="AG995" s="14">
        <v>1</v>
      </c>
      <c r="AH995" s="14">
        <v>2</v>
      </c>
    </row>
    <row r="996" spans="1:34" x14ac:dyDescent="0.3">
      <c r="A996" s="14">
        <v>52</v>
      </c>
      <c r="B996" s="17" t="s">
        <v>43</v>
      </c>
      <c r="C996" t="s">
        <v>44</v>
      </c>
      <c r="D996">
        <v>322</v>
      </c>
      <c r="E996" s="17" t="s">
        <v>45</v>
      </c>
      <c r="F996">
        <v>28</v>
      </c>
      <c r="G996">
        <v>2</v>
      </c>
      <c r="H996" t="s">
        <v>51</v>
      </c>
      <c r="I996">
        <v>1401</v>
      </c>
      <c r="J996">
        <v>4</v>
      </c>
      <c r="K996" s="17" t="s">
        <v>39</v>
      </c>
      <c r="L996">
        <v>59</v>
      </c>
      <c r="M996">
        <v>4</v>
      </c>
      <c r="N996">
        <v>4</v>
      </c>
      <c r="O996" s="17" t="s">
        <v>53</v>
      </c>
      <c r="P996" s="14">
        <v>3</v>
      </c>
      <c r="Q996" t="s">
        <v>48</v>
      </c>
      <c r="R996" s="14">
        <v>13247</v>
      </c>
      <c r="S996" s="17" t="str">
        <f t="shared" si="30"/>
        <v>high</v>
      </c>
      <c r="T996">
        <v>9731</v>
      </c>
      <c r="U996">
        <v>2</v>
      </c>
      <c r="V996" s="17" t="s">
        <v>35</v>
      </c>
      <c r="W996">
        <v>11</v>
      </c>
      <c r="X996">
        <v>3</v>
      </c>
      <c r="Y996">
        <v>2</v>
      </c>
      <c r="Z996">
        <v>1</v>
      </c>
      <c r="AA996">
        <v>24</v>
      </c>
      <c r="AB996">
        <v>3</v>
      </c>
      <c r="AC996">
        <v>2</v>
      </c>
      <c r="AD996" s="14">
        <v>5</v>
      </c>
      <c r="AE996" t="str">
        <f t="shared" si="31"/>
        <v>3-5 years</v>
      </c>
      <c r="AF996" s="14">
        <v>3</v>
      </c>
      <c r="AG996" s="14">
        <v>0</v>
      </c>
      <c r="AH996" s="14">
        <v>2</v>
      </c>
    </row>
    <row r="997" spans="1:34" x14ac:dyDescent="0.3">
      <c r="A997" s="14">
        <v>43</v>
      </c>
      <c r="B997" s="17" t="s">
        <v>43</v>
      </c>
      <c r="C997" t="s">
        <v>36</v>
      </c>
      <c r="D997">
        <v>930</v>
      </c>
      <c r="E997" s="17" t="s">
        <v>45</v>
      </c>
      <c r="F997">
        <v>6</v>
      </c>
      <c r="G997">
        <v>3</v>
      </c>
      <c r="H997" t="s">
        <v>51</v>
      </c>
      <c r="I997">
        <v>1402</v>
      </c>
      <c r="J997">
        <v>1</v>
      </c>
      <c r="K997" s="17" t="s">
        <v>39</v>
      </c>
      <c r="L997">
        <v>73</v>
      </c>
      <c r="M997">
        <v>2</v>
      </c>
      <c r="N997">
        <v>2</v>
      </c>
      <c r="O997" s="17" t="s">
        <v>47</v>
      </c>
      <c r="P997" s="14">
        <v>3</v>
      </c>
      <c r="Q997" t="s">
        <v>41</v>
      </c>
      <c r="R997" s="14">
        <v>4081</v>
      </c>
      <c r="S997" s="17" t="str">
        <f t="shared" si="30"/>
        <v>medium</v>
      </c>
      <c r="T997">
        <v>20003</v>
      </c>
      <c r="U997">
        <v>1</v>
      </c>
      <c r="V997" s="17" t="s">
        <v>35</v>
      </c>
      <c r="W997">
        <v>14</v>
      </c>
      <c r="X997">
        <v>3</v>
      </c>
      <c r="Y997">
        <v>1</v>
      </c>
      <c r="Z997">
        <v>0</v>
      </c>
      <c r="AA997">
        <v>20</v>
      </c>
      <c r="AB997">
        <v>3</v>
      </c>
      <c r="AC997">
        <v>1</v>
      </c>
      <c r="AD997" s="14">
        <v>20</v>
      </c>
      <c r="AE997" t="str">
        <f t="shared" si="31"/>
        <v>10+ years</v>
      </c>
      <c r="AF997" s="14">
        <v>7</v>
      </c>
      <c r="AG997" s="14">
        <v>1</v>
      </c>
      <c r="AH997" s="14">
        <v>8</v>
      </c>
    </row>
    <row r="998" spans="1:34" x14ac:dyDescent="0.3">
      <c r="A998" s="14">
        <v>27</v>
      </c>
      <c r="B998" s="17" t="s">
        <v>43</v>
      </c>
      <c r="C998" t="s">
        <v>36</v>
      </c>
      <c r="D998">
        <v>205</v>
      </c>
      <c r="E998" s="17" t="s">
        <v>37</v>
      </c>
      <c r="F998">
        <v>10</v>
      </c>
      <c r="G998">
        <v>3</v>
      </c>
      <c r="H998" t="s">
        <v>59</v>
      </c>
      <c r="I998">
        <v>1403</v>
      </c>
      <c r="J998">
        <v>4</v>
      </c>
      <c r="K998" s="17" t="s">
        <v>39</v>
      </c>
      <c r="L998">
        <v>98</v>
      </c>
      <c r="M998">
        <v>2</v>
      </c>
      <c r="N998">
        <v>2</v>
      </c>
      <c r="O998" s="17" t="s">
        <v>40</v>
      </c>
      <c r="P998" s="14">
        <v>4</v>
      </c>
      <c r="Q998" t="s">
        <v>48</v>
      </c>
      <c r="R998" s="14">
        <v>5769</v>
      </c>
      <c r="S998" s="17" t="str">
        <f t="shared" si="30"/>
        <v>medium</v>
      </c>
      <c r="T998">
        <v>7100</v>
      </c>
      <c r="U998">
        <v>1</v>
      </c>
      <c r="V998" s="17" t="s">
        <v>35</v>
      </c>
      <c r="W998">
        <v>11</v>
      </c>
      <c r="X998">
        <v>3</v>
      </c>
      <c r="Y998">
        <v>4</v>
      </c>
      <c r="Z998">
        <v>0</v>
      </c>
      <c r="AA998">
        <v>6</v>
      </c>
      <c r="AB998">
        <v>3</v>
      </c>
      <c r="AC998">
        <v>3</v>
      </c>
      <c r="AD998" s="14">
        <v>6</v>
      </c>
      <c r="AE998" t="str">
        <f t="shared" si="31"/>
        <v>6-10 years</v>
      </c>
      <c r="AF998" s="14">
        <v>2</v>
      </c>
      <c r="AG998" s="14">
        <v>4</v>
      </c>
      <c r="AH998" s="14">
        <v>4</v>
      </c>
    </row>
    <row r="999" spans="1:34" x14ac:dyDescent="0.3">
      <c r="A999" s="14">
        <v>27</v>
      </c>
      <c r="B999" s="17" t="s">
        <v>35</v>
      </c>
      <c r="C999" t="s">
        <v>36</v>
      </c>
      <c r="D999">
        <v>135</v>
      </c>
      <c r="E999" s="17" t="s">
        <v>45</v>
      </c>
      <c r="F999">
        <v>17</v>
      </c>
      <c r="G999">
        <v>4</v>
      </c>
      <c r="H999" t="s">
        <v>38</v>
      </c>
      <c r="I999">
        <v>1405</v>
      </c>
      <c r="J999">
        <v>4</v>
      </c>
      <c r="K999" s="17" t="s">
        <v>39</v>
      </c>
      <c r="L999">
        <v>51</v>
      </c>
      <c r="M999">
        <v>3</v>
      </c>
      <c r="N999">
        <v>1</v>
      </c>
      <c r="O999" s="17" t="s">
        <v>47</v>
      </c>
      <c r="P999" s="14">
        <v>3</v>
      </c>
      <c r="Q999" t="s">
        <v>41</v>
      </c>
      <c r="R999" s="14">
        <v>2394</v>
      </c>
      <c r="S999" s="17" t="str">
        <f t="shared" si="30"/>
        <v>low</v>
      </c>
      <c r="T999">
        <v>25681</v>
      </c>
      <c r="U999">
        <v>1</v>
      </c>
      <c r="V999" s="17" t="s">
        <v>35</v>
      </c>
      <c r="W999">
        <v>13</v>
      </c>
      <c r="X999">
        <v>3</v>
      </c>
      <c r="Y999">
        <v>4</v>
      </c>
      <c r="Z999">
        <v>0</v>
      </c>
      <c r="AA999">
        <v>8</v>
      </c>
      <c r="AB999">
        <v>2</v>
      </c>
      <c r="AC999">
        <v>3</v>
      </c>
      <c r="AD999" s="14">
        <v>8</v>
      </c>
      <c r="AE999" t="str">
        <f t="shared" si="31"/>
        <v>6-10 years</v>
      </c>
      <c r="AF999" s="14">
        <v>2</v>
      </c>
      <c r="AG999" s="14">
        <v>7</v>
      </c>
      <c r="AH999" s="14">
        <v>7</v>
      </c>
    </row>
    <row r="1000" spans="1:34" x14ac:dyDescent="0.3">
      <c r="A1000" s="14">
        <v>26</v>
      </c>
      <c r="B1000" s="17" t="s">
        <v>43</v>
      </c>
      <c r="C1000" t="s">
        <v>36</v>
      </c>
      <c r="D1000">
        <v>683</v>
      </c>
      <c r="E1000" s="17" t="s">
        <v>45</v>
      </c>
      <c r="F1000">
        <v>2</v>
      </c>
      <c r="G1000">
        <v>1</v>
      </c>
      <c r="H1000" t="s">
        <v>51</v>
      </c>
      <c r="I1000">
        <v>1407</v>
      </c>
      <c r="J1000">
        <v>1</v>
      </c>
      <c r="K1000" s="17" t="s">
        <v>46</v>
      </c>
      <c r="L1000">
        <v>36</v>
      </c>
      <c r="M1000">
        <v>2</v>
      </c>
      <c r="N1000">
        <v>1</v>
      </c>
      <c r="O1000" s="17" t="s">
        <v>47</v>
      </c>
      <c r="P1000" s="14">
        <v>4</v>
      </c>
      <c r="Q1000" t="s">
        <v>41</v>
      </c>
      <c r="R1000" s="14">
        <v>3904</v>
      </c>
      <c r="S1000" s="17" t="str">
        <f t="shared" si="30"/>
        <v>medium</v>
      </c>
      <c r="T1000">
        <v>4050</v>
      </c>
      <c r="U1000">
        <v>0</v>
      </c>
      <c r="V1000" s="17" t="s">
        <v>43</v>
      </c>
      <c r="W1000">
        <v>12</v>
      </c>
      <c r="X1000">
        <v>3</v>
      </c>
      <c r="Y1000">
        <v>4</v>
      </c>
      <c r="Z1000">
        <v>0</v>
      </c>
      <c r="AA1000">
        <v>5</v>
      </c>
      <c r="AB1000">
        <v>2</v>
      </c>
      <c r="AC1000">
        <v>3</v>
      </c>
      <c r="AD1000" s="14">
        <v>4</v>
      </c>
      <c r="AE1000" t="str">
        <f t="shared" si="31"/>
        <v>3-5 years</v>
      </c>
      <c r="AF1000" s="14">
        <v>3</v>
      </c>
      <c r="AG1000" s="14">
        <v>1</v>
      </c>
      <c r="AH1000" s="14">
        <v>1</v>
      </c>
    </row>
    <row r="1001" spans="1:34" x14ac:dyDescent="0.3">
      <c r="A1001" s="14">
        <v>42</v>
      </c>
      <c r="B1001" s="17" t="s">
        <v>43</v>
      </c>
      <c r="C1001" t="s">
        <v>36</v>
      </c>
      <c r="D1001">
        <v>1147</v>
      </c>
      <c r="E1001" s="17" t="s">
        <v>61</v>
      </c>
      <c r="F1001">
        <v>10</v>
      </c>
      <c r="G1001">
        <v>3</v>
      </c>
      <c r="H1001" t="s">
        <v>61</v>
      </c>
      <c r="I1001">
        <v>1408</v>
      </c>
      <c r="J1001">
        <v>3</v>
      </c>
      <c r="K1001" s="17" t="s">
        <v>39</v>
      </c>
      <c r="L1001">
        <v>31</v>
      </c>
      <c r="M1001">
        <v>3</v>
      </c>
      <c r="N1001">
        <v>4</v>
      </c>
      <c r="O1001" s="17" t="s">
        <v>56</v>
      </c>
      <c r="P1001" s="14">
        <v>1</v>
      </c>
      <c r="Q1001" t="s">
        <v>48</v>
      </c>
      <c r="R1001" s="14">
        <v>16799</v>
      </c>
      <c r="S1001" s="17" t="str">
        <f t="shared" si="30"/>
        <v>high</v>
      </c>
      <c r="T1001">
        <v>16616</v>
      </c>
      <c r="U1001">
        <v>0</v>
      </c>
      <c r="V1001" s="17" t="s">
        <v>43</v>
      </c>
      <c r="W1001">
        <v>14</v>
      </c>
      <c r="X1001">
        <v>3</v>
      </c>
      <c r="Y1001">
        <v>3</v>
      </c>
      <c r="Z1001">
        <v>1</v>
      </c>
      <c r="AA1001">
        <v>21</v>
      </c>
      <c r="AB1001">
        <v>5</v>
      </c>
      <c r="AC1001">
        <v>3</v>
      </c>
      <c r="AD1001" s="14">
        <v>20</v>
      </c>
      <c r="AE1001" t="str">
        <f t="shared" si="31"/>
        <v>10+ years</v>
      </c>
      <c r="AF1001" s="14">
        <v>7</v>
      </c>
      <c r="AG1001" s="14">
        <v>0</v>
      </c>
      <c r="AH1001" s="14">
        <v>9</v>
      </c>
    </row>
    <row r="1002" spans="1:34" x14ac:dyDescent="0.3">
      <c r="A1002" s="14">
        <v>52</v>
      </c>
      <c r="B1002" s="17" t="s">
        <v>43</v>
      </c>
      <c r="C1002" t="s">
        <v>36</v>
      </c>
      <c r="D1002">
        <v>258</v>
      </c>
      <c r="E1002" s="17" t="s">
        <v>45</v>
      </c>
      <c r="F1002">
        <v>8</v>
      </c>
      <c r="G1002">
        <v>4</v>
      </c>
      <c r="H1002" t="s">
        <v>49</v>
      </c>
      <c r="I1002">
        <v>1409</v>
      </c>
      <c r="J1002">
        <v>3</v>
      </c>
      <c r="K1002" s="17" t="s">
        <v>39</v>
      </c>
      <c r="L1002">
        <v>54</v>
      </c>
      <c r="M1002">
        <v>3</v>
      </c>
      <c r="N1002">
        <v>1</v>
      </c>
      <c r="O1002" s="17" t="s">
        <v>50</v>
      </c>
      <c r="P1002" s="14">
        <v>1</v>
      </c>
      <c r="Q1002" t="s">
        <v>48</v>
      </c>
      <c r="R1002" s="14">
        <v>2950</v>
      </c>
      <c r="S1002" s="17" t="str">
        <f t="shared" si="30"/>
        <v>low</v>
      </c>
      <c r="T1002">
        <v>17363</v>
      </c>
      <c r="U1002">
        <v>9</v>
      </c>
      <c r="V1002" s="17" t="s">
        <v>43</v>
      </c>
      <c r="W1002">
        <v>13</v>
      </c>
      <c r="X1002">
        <v>3</v>
      </c>
      <c r="Y1002">
        <v>3</v>
      </c>
      <c r="Z1002">
        <v>0</v>
      </c>
      <c r="AA1002">
        <v>12</v>
      </c>
      <c r="AB1002">
        <v>2</v>
      </c>
      <c r="AC1002">
        <v>1</v>
      </c>
      <c r="AD1002" s="14">
        <v>5</v>
      </c>
      <c r="AE1002" t="str">
        <f t="shared" si="31"/>
        <v>3-5 years</v>
      </c>
      <c r="AF1002" s="14">
        <v>4</v>
      </c>
      <c r="AG1002" s="14">
        <v>0</v>
      </c>
      <c r="AH1002" s="14">
        <v>4</v>
      </c>
    </row>
    <row r="1003" spans="1:34" x14ac:dyDescent="0.3">
      <c r="A1003" s="14">
        <v>37</v>
      </c>
      <c r="B1003" s="17" t="s">
        <v>43</v>
      </c>
      <c r="C1003" t="s">
        <v>36</v>
      </c>
      <c r="D1003">
        <v>1462</v>
      </c>
      <c r="E1003" s="17" t="s">
        <v>45</v>
      </c>
      <c r="F1003">
        <v>11</v>
      </c>
      <c r="G1003">
        <v>3</v>
      </c>
      <c r="H1003" t="s">
        <v>51</v>
      </c>
      <c r="I1003">
        <v>1411</v>
      </c>
      <c r="J1003">
        <v>1</v>
      </c>
      <c r="K1003" s="17" t="s">
        <v>39</v>
      </c>
      <c r="L1003">
        <v>94</v>
      </c>
      <c r="M1003">
        <v>3</v>
      </c>
      <c r="N1003">
        <v>1</v>
      </c>
      <c r="O1003" s="17" t="s">
        <v>50</v>
      </c>
      <c r="P1003" s="14">
        <v>3</v>
      </c>
      <c r="Q1003" t="s">
        <v>41</v>
      </c>
      <c r="R1003" s="14">
        <v>3629</v>
      </c>
      <c r="S1003" s="17" t="str">
        <f t="shared" si="30"/>
        <v>medium</v>
      </c>
      <c r="T1003">
        <v>19106</v>
      </c>
      <c r="U1003">
        <v>4</v>
      </c>
      <c r="V1003" s="17" t="s">
        <v>43</v>
      </c>
      <c r="W1003">
        <v>18</v>
      </c>
      <c r="X1003">
        <v>3</v>
      </c>
      <c r="Y1003">
        <v>1</v>
      </c>
      <c r="Z1003">
        <v>0</v>
      </c>
      <c r="AA1003">
        <v>8</v>
      </c>
      <c r="AB1003">
        <v>6</v>
      </c>
      <c r="AC1003">
        <v>3</v>
      </c>
      <c r="AD1003" s="14">
        <v>3</v>
      </c>
      <c r="AE1003" t="str">
        <f t="shared" si="31"/>
        <v>3-5 years</v>
      </c>
      <c r="AF1003" s="14">
        <v>2</v>
      </c>
      <c r="AG1003" s="14">
        <v>0</v>
      </c>
      <c r="AH1003" s="14">
        <v>2</v>
      </c>
    </row>
    <row r="1004" spans="1:34" x14ac:dyDescent="0.3">
      <c r="A1004" s="14">
        <v>35</v>
      </c>
      <c r="B1004" s="17" t="s">
        <v>43</v>
      </c>
      <c r="C1004" t="s">
        <v>44</v>
      </c>
      <c r="D1004">
        <v>200</v>
      </c>
      <c r="E1004" s="17" t="s">
        <v>45</v>
      </c>
      <c r="F1004">
        <v>18</v>
      </c>
      <c r="G1004">
        <v>2</v>
      </c>
      <c r="H1004" t="s">
        <v>38</v>
      </c>
      <c r="I1004">
        <v>1412</v>
      </c>
      <c r="J1004">
        <v>3</v>
      </c>
      <c r="K1004" s="17" t="s">
        <v>46</v>
      </c>
      <c r="L1004">
        <v>60</v>
      </c>
      <c r="M1004">
        <v>3</v>
      </c>
      <c r="N1004">
        <v>3</v>
      </c>
      <c r="O1004" s="17" t="s">
        <v>53</v>
      </c>
      <c r="P1004" s="14">
        <v>4</v>
      </c>
      <c r="Q1004" t="s">
        <v>41</v>
      </c>
      <c r="R1004" s="14">
        <v>9362</v>
      </c>
      <c r="S1004" s="17" t="str">
        <f t="shared" si="30"/>
        <v>high</v>
      </c>
      <c r="T1004">
        <v>19944</v>
      </c>
      <c r="U1004">
        <v>2</v>
      </c>
      <c r="V1004" s="17" t="s">
        <v>43</v>
      </c>
      <c r="W1004">
        <v>11</v>
      </c>
      <c r="X1004">
        <v>3</v>
      </c>
      <c r="Y1004">
        <v>3</v>
      </c>
      <c r="Z1004">
        <v>0</v>
      </c>
      <c r="AA1004">
        <v>10</v>
      </c>
      <c r="AB1004">
        <v>2</v>
      </c>
      <c r="AC1004">
        <v>3</v>
      </c>
      <c r="AD1004" s="14">
        <v>2</v>
      </c>
      <c r="AE1004" t="str">
        <f t="shared" si="31"/>
        <v>0-2 years</v>
      </c>
      <c r="AF1004" s="14">
        <v>2</v>
      </c>
      <c r="AG1004" s="14">
        <v>2</v>
      </c>
      <c r="AH1004" s="14">
        <v>2</v>
      </c>
    </row>
    <row r="1005" spans="1:34" x14ac:dyDescent="0.3">
      <c r="A1005" s="14">
        <v>25</v>
      </c>
      <c r="B1005" s="17" t="s">
        <v>43</v>
      </c>
      <c r="C1005" t="s">
        <v>36</v>
      </c>
      <c r="D1005">
        <v>949</v>
      </c>
      <c r="E1005" s="17" t="s">
        <v>45</v>
      </c>
      <c r="F1005">
        <v>1</v>
      </c>
      <c r="G1005">
        <v>3</v>
      </c>
      <c r="H1005" t="s">
        <v>60</v>
      </c>
      <c r="I1005">
        <v>1415</v>
      </c>
      <c r="J1005">
        <v>1</v>
      </c>
      <c r="K1005" s="17" t="s">
        <v>46</v>
      </c>
      <c r="L1005">
        <v>81</v>
      </c>
      <c r="M1005">
        <v>3</v>
      </c>
      <c r="N1005">
        <v>1</v>
      </c>
      <c r="O1005" s="17" t="s">
        <v>50</v>
      </c>
      <c r="P1005" s="14">
        <v>4</v>
      </c>
      <c r="Q1005" t="s">
        <v>48</v>
      </c>
      <c r="R1005" s="14">
        <v>3229</v>
      </c>
      <c r="S1005" s="17" t="str">
        <f t="shared" si="30"/>
        <v>medium</v>
      </c>
      <c r="T1005">
        <v>4910</v>
      </c>
      <c r="U1005">
        <v>4</v>
      </c>
      <c r="V1005" s="17" t="s">
        <v>43</v>
      </c>
      <c r="W1005">
        <v>11</v>
      </c>
      <c r="X1005">
        <v>3</v>
      </c>
      <c r="Y1005">
        <v>2</v>
      </c>
      <c r="Z1005">
        <v>1</v>
      </c>
      <c r="AA1005">
        <v>7</v>
      </c>
      <c r="AB1005">
        <v>2</v>
      </c>
      <c r="AC1005">
        <v>2</v>
      </c>
      <c r="AD1005" s="14">
        <v>3</v>
      </c>
      <c r="AE1005" t="str">
        <f t="shared" si="31"/>
        <v>3-5 years</v>
      </c>
      <c r="AF1005" s="14">
        <v>2</v>
      </c>
      <c r="AG1005" s="14">
        <v>0</v>
      </c>
      <c r="AH1005" s="14">
        <v>2</v>
      </c>
    </row>
    <row r="1006" spans="1:34" x14ac:dyDescent="0.3">
      <c r="A1006" s="14">
        <v>26</v>
      </c>
      <c r="B1006" s="17" t="s">
        <v>43</v>
      </c>
      <c r="C1006" t="s">
        <v>36</v>
      </c>
      <c r="D1006">
        <v>652</v>
      </c>
      <c r="E1006" s="17" t="s">
        <v>45</v>
      </c>
      <c r="F1006">
        <v>7</v>
      </c>
      <c r="G1006">
        <v>3</v>
      </c>
      <c r="H1006" t="s">
        <v>49</v>
      </c>
      <c r="I1006">
        <v>1417</v>
      </c>
      <c r="J1006">
        <v>3</v>
      </c>
      <c r="K1006" s="17" t="s">
        <v>46</v>
      </c>
      <c r="L1006">
        <v>100</v>
      </c>
      <c r="M1006">
        <v>4</v>
      </c>
      <c r="N1006">
        <v>1</v>
      </c>
      <c r="O1006" s="17" t="s">
        <v>50</v>
      </c>
      <c r="P1006" s="14">
        <v>1</v>
      </c>
      <c r="Q1006" t="s">
        <v>41</v>
      </c>
      <c r="R1006" s="14">
        <v>3578</v>
      </c>
      <c r="S1006" s="17" t="str">
        <f t="shared" si="30"/>
        <v>medium</v>
      </c>
      <c r="T1006">
        <v>23577</v>
      </c>
      <c r="U1006">
        <v>0</v>
      </c>
      <c r="V1006" s="17" t="s">
        <v>43</v>
      </c>
      <c r="W1006">
        <v>12</v>
      </c>
      <c r="X1006">
        <v>3</v>
      </c>
      <c r="Y1006">
        <v>4</v>
      </c>
      <c r="Z1006">
        <v>0</v>
      </c>
      <c r="AA1006">
        <v>8</v>
      </c>
      <c r="AB1006">
        <v>2</v>
      </c>
      <c r="AC1006">
        <v>3</v>
      </c>
      <c r="AD1006" s="14">
        <v>7</v>
      </c>
      <c r="AE1006" t="str">
        <f t="shared" si="31"/>
        <v>6-10 years</v>
      </c>
      <c r="AF1006" s="14">
        <v>7</v>
      </c>
      <c r="AG1006" s="14">
        <v>0</v>
      </c>
      <c r="AH1006" s="14">
        <v>7</v>
      </c>
    </row>
    <row r="1007" spans="1:34" x14ac:dyDescent="0.3">
      <c r="A1007" s="14">
        <v>29</v>
      </c>
      <c r="B1007" s="17" t="s">
        <v>43</v>
      </c>
      <c r="C1007" t="s">
        <v>36</v>
      </c>
      <c r="D1007">
        <v>332</v>
      </c>
      <c r="E1007" s="17" t="s">
        <v>61</v>
      </c>
      <c r="F1007">
        <v>17</v>
      </c>
      <c r="G1007">
        <v>3</v>
      </c>
      <c r="H1007" t="s">
        <v>49</v>
      </c>
      <c r="I1007">
        <v>1419</v>
      </c>
      <c r="J1007">
        <v>2</v>
      </c>
      <c r="K1007" s="17" t="s">
        <v>46</v>
      </c>
      <c r="L1007">
        <v>51</v>
      </c>
      <c r="M1007">
        <v>2</v>
      </c>
      <c r="N1007">
        <v>3</v>
      </c>
      <c r="O1007" s="17" t="s">
        <v>61</v>
      </c>
      <c r="P1007" s="14">
        <v>1</v>
      </c>
      <c r="Q1007" t="s">
        <v>41</v>
      </c>
      <c r="R1007" s="14">
        <v>7988</v>
      </c>
      <c r="S1007" s="17" t="str">
        <f t="shared" si="30"/>
        <v>high</v>
      </c>
      <c r="T1007">
        <v>9769</v>
      </c>
      <c r="U1007">
        <v>1</v>
      </c>
      <c r="V1007" s="17" t="s">
        <v>43</v>
      </c>
      <c r="W1007">
        <v>13</v>
      </c>
      <c r="X1007">
        <v>3</v>
      </c>
      <c r="Y1007">
        <v>1</v>
      </c>
      <c r="Z1007">
        <v>0</v>
      </c>
      <c r="AA1007">
        <v>10</v>
      </c>
      <c r="AB1007">
        <v>3</v>
      </c>
      <c r="AC1007">
        <v>2</v>
      </c>
      <c r="AD1007" s="14">
        <v>10</v>
      </c>
      <c r="AE1007" t="str">
        <f t="shared" si="31"/>
        <v>6-10 years</v>
      </c>
      <c r="AF1007" s="14">
        <v>9</v>
      </c>
      <c r="AG1007" s="14">
        <v>0</v>
      </c>
      <c r="AH1007" s="14">
        <v>9</v>
      </c>
    </row>
    <row r="1008" spans="1:34" x14ac:dyDescent="0.3">
      <c r="A1008" s="14">
        <v>49</v>
      </c>
      <c r="B1008" s="17" t="s">
        <v>35</v>
      </c>
      <c r="C1008" t="s">
        <v>44</v>
      </c>
      <c r="D1008">
        <v>1475</v>
      </c>
      <c r="E1008" s="17" t="s">
        <v>45</v>
      </c>
      <c r="F1008">
        <v>28</v>
      </c>
      <c r="G1008">
        <v>2</v>
      </c>
      <c r="H1008" t="s">
        <v>38</v>
      </c>
      <c r="I1008">
        <v>1420</v>
      </c>
      <c r="J1008">
        <v>1</v>
      </c>
      <c r="K1008" s="17" t="s">
        <v>46</v>
      </c>
      <c r="L1008">
        <v>97</v>
      </c>
      <c r="M1008">
        <v>2</v>
      </c>
      <c r="N1008">
        <v>2</v>
      </c>
      <c r="O1008" s="17" t="s">
        <v>50</v>
      </c>
      <c r="P1008" s="14">
        <v>1</v>
      </c>
      <c r="Q1008" t="s">
        <v>41</v>
      </c>
      <c r="R1008" s="14">
        <v>4284</v>
      </c>
      <c r="S1008" s="17" t="str">
        <f t="shared" si="30"/>
        <v>medium</v>
      </c>
      <c r="T1008">
        <v>22710</v>
      </c>
      <c r="U1008">
        <v>3</v>
      </c>
      <c r="V1008" s="17" t="s">
        <v>43</v>
      </c>
      <c r="W1008">
        <v>20</v>
      </c>
      <c r="X1008">
        <v>4</v>
      </c>
      <c r="Y1008">
        <v>1</v>
      </c>
      <c r="Z1008">
        <v>0</v>
      </c>
      <c r="AA1008">
        <v>20</v>
      </c>
      <c r="AB1008">
        <v>2</v>
      </c>
      <c r="AC1008">
        <v>3</v>
      </c>
      <c r="AD1008" s="14">
        <v>4</v>
      </c>
      <c r="AE1008" t="str">
        <f t="shared" si="31"/>
        <v>3-5 years</v>
      </c>
      <c r="AF1008" s="14">
        <v>3</v>
      </c>
      <c r="AG1008" s="14">
        <v>1</v>
      </c>
      <c r="AH1008" s="14">
        <v>3</v>
      </c>
    </row>
    <row r="1009" spans="1:34" x14ac:dyDescent="0.3">
      <c r="A1009" s="14">
        <v>29</v>
      </c>
      <c r="B1009" s="17" t="s">
        <v>35</v>
      </c>
      <c r="C1009" t="s">
        <v>44</v>
      </c>
      <c r="D1009">
        <v>337</v>
      </c>
      <c r="E1009" s="17" t="s">
        <v>45</v>
      </c>
      <c r="F1009">
        <v>14</v>
      </c>
      <c r="G1009">
        <v>1</v>
      </c>
      <c r="H1009" t="s">
        <v>49</v>
      </c>
      <c r="I1009">
        <v>1421</v>
      </c>
      <c r="J1009">
        <v>3</v>
      </c>
      <c r="K1009" s="17" t="s">
        <v>39</v>
      </c>
      <c r="L1009">
        <v>84</v>
      </c>
      <c r="M1009">
        <v>3</v>
      </c>
      <c r="N1009">
        <v>3</v>
      </c>
      <c r="O1009" s="17" t="s">
        <v>54</v>
      </c>
      <c r="P1009" s="14">
        <v>4</v>
      </c>
      <c r="Q1009" t="s">
        <v>41</v>
      </c>
      <c r="R1009" s="14">
        <v>7553</v>
      </c>
      <c r="S1009" s="17" t="str">
        <f t="shared" si="30"/>
        <v>high</v>
      </c>
      <c r="T1009">
        <v>22930</v>
      </c>
      <c r="U1009">
        <v>0</v>
      </c>
      <c r="V1009" s="17" t="s">
        <v>35</v>
      </c>
      <c r="W1009">
        <v>12</v>
      </c>
      <c r="X1009">
        <v>3</v>
      </c>
      <c r="Y1009">
        <v>1</v>
      </c>
      <c r="Z1009">
        <v>0</v>
      </c>
      <c r="AA1009">
        <v>9</v>
      </c>
      <c r="AB1009">
        <v>1</v>
      </c>
      <c r="AC1009">
        <v>3</v>
      </c>
      <c r="AD1009" s="14">
        <v>8</v>
      </c>
      <c r="AE1009" t="str">
        <f t="shared" si="31"/>
        <v>6-10 years</v>
      </c>
      <c r="AF1009" s="14">
        <v>7</v>
      </c>
      <c r="AG1009" s="14">
        <v>7</v>
      </c>
      <c r="AH1009" s="14">
        <v>7</v>
      </c>
    </row>
    <row r="1010" spans="1:34" x14ac:dyDescent="0.3">
      <c r="A1010" s="14">
        <v>54</v>
      </c>
      <c r="B1010" s="17" t="s">
        <v>43</v>
      </c>
      <c r="C1010" t="s">
        <v>36</v>
      </c>
      <c r="D1010">
        <v>971</v>
      </c>
      <c r="E1010" s="17" t="s">
        <v>45</v>
      </c>
      <c r="F1010">
        <v>1</v>
      </c>
      <c r="G1010">
        <v>3</v>
      </c>
      <c r="H1010" t="s">
        <v>51</v>
      </c>
      <c r="I1010">
        <v>1422</v>
      </c>
      <c r="J1010">
        <v>4</v>
      </c>
      <c r="K1010" s="17" t="s">
        <v>39</v>
      </c>
      <c r="L1010">
        <v>54</v>
      </c>
      <c r="M1010">
        <v>3</v>
      </c>
      <c r="N1010">
        <v>4</v>
      </c>
      <c r="O1010" s="17" t="s">
        <v>58</v>
      </c>
      <c r="P1010" s="14">
        <v>4</v>
      </c>
      <c r="Q1010" t="s">
        <v>41</v>
      </c>
      <c r="R1010" s="14">
        <v>17328</v>
      </c>
      <c r="S1010" s="17" t="str">
        <f t="shared" si="30"/>
        <v>high</v>
      </c>
      <c r="T1010">
        <v>5652</v>
      </c>
      <c r="U1010">
        <v>6</v>
      </c>
      <c r="V1010" s="17" t="s">
        <v>43</v>
      </c>
      <c r="W1010">
        <v>19</v>
      </c>
      <c r="X1010">
        <v>3</v>
      </c>
      <c r="Y1010">
        <v>4</v>
      </c>
      <c r="Z1010">
        <v>0</v>
      </c>
      <c r="AA1010">
        <v>29</v>
      </c>
      <c r="AB1010">
        <v>3</v>
      </c>
      <c r="AC1010">
        <v>2</v>
      </c>
      <c r="AD1010" s="14">
        <v>20</v>
      </c>
      <c r="AE1010" t="str">
        <f t="shared" si="31"/>
        <v>10+ years</v>
      </c>
      <c r="AF1010" s="14">
        <v>7</v>
      </c>
      <c r="AG1010" s="14">
        <v>12</v>
      </c>
      <c r="AH1010" s="14">
        <v>7</v>
      </c>
    </row>
    <row r="1011" spans="1:34" x14ac:dyDescent="0.3">
      <c r="A1011" s="14">
        <v>58</v>
      </c>
      <c r="B1011" s="17" t="s">
        <v>43</v>
      </c>
      <c r="C1011" t="s">
        <v>36</v>
      </c>
      <c r="D1011">
        <v>1055</v>
      </c>
      <c r="E1011" s="17" t="s">
        <v>45</v>
      </c>
      <c r="F1011">
        <v>1</v>
      </c>
      <c r="G1011">
        <v>3</v>
      </c>
      <c r="H1011" t="s">
        <v>51</v>
      </c>
      <c r="I1011">
        <v>1423</v>
      </c>
      <c r="J1011">
        <v>4</v>
      </c>
      <c r="K1011" s="17" t="s">
        <v>39</v>
      </c>
      <c r="L1011">
        <v>76</v>
      </c>
      <c r="M1011">
        <v>3</v>
      </c>
      <c r="N1011">
        <v>5</v>
      </c>
      <c r="O1011" s="17" t="s">
        <v>58</v>
      </c>
      <c r="P1011" s="14">
        <v>1</v>
      </c>
      <c r="Q1011" t="s">
        <v>48</v>
      </c>
      <c r="R1011" s="14">
        <v>19701</v>
      </c>
      <c r="S1011" s="17" t="str">
        <f t="shared" si="30"/>
        <v>high</v>
      </c>
      <c r="T1011">
        <v>22456</v>
      </c>
      <c r="U1011">
        <v>3</v>
      </c>
      <c r="V1011" s="17" t="s">
        <v>35</v>
      </c>
      <c r="W1011">
        <v>21</v>
      </c>
      <c r="X1011">
        <v>4</v>
      </c>
      <c r="Y1011">
        <v>3</v>
      </c>
      <c r="Z1011">
        <v>1</v>
      </c>
      <c r="AA1011">
        <v>32</v>
      </c>
      <c r="AB1011">
        <v>3</v>
      </c>
      <c r="AC1011">
        <v>3</v>
      </c>
      <c r="AD1011" s="14">
        <v>9</v>
      </c>
      <c r="AE1011" t="str">
        <f t="shared" si="31"/>
        <v>6-10 years</v>
      </c>
      <c r="AF1011" s="14">
        <v>8</v>
      </c>
      <c r="AG1011" s="14">
        <v>1</v>
      </c>
      <c r="AH1011" s="14">
        <v>5</v>
      </c>
    </row>
    <row r="1012" spans="1:34" x14ac:dyDescent="0.3">
      <c r="A1012" s="14">
        <v>55</v>
      </c>
      <c r="B1012" s="17" t="s">
        <v>43</v>
      </c>
      <c r="C1012" t="s">
        <v>36</v>
      </c>
      <c r="D1012">
        <v>1136</v>
      </c>
      <c r="E1012" s="17" t="s">
        <v>45</v>
      </c>
      <c r="F1012">
        <v>1</v>
      </c>
      <c r="G1012">
        <v>4</v>
      </c>
      <c r="H1012" t="s">
        <v>51</v>
      </c>
      <c r="I1012">
        <v>1424</v>
      </c>
      <c r="J1012">
        <v>2</v>
      </c>
      <c r="K1012" s="17" t="s">
        <v>46</v>
      </c>
      <c r="L1012">
        <v>81</v>
      </c>
      <c r="M1012">
        <v>4</v>
      </c>
      <c r="N1012">
        <v>4</v>
      </c>
      <c r="O1012" s="17" t="s">
        <v>58</v>
      </c>
      <c r="P1012" s="14">
        <v>4</v>
      </c>
      <c r="Q1012" t="s">
        <v>52</v>
      </c>
      <c r="R1012" s="14">
        <v>14732</v>
      </c>
      <c r="S1012" s="17" t="str">
        <f t="shared" si="30"/>
        <v>high</v>
      </c>
      <c r="T1012">
        <v>12414</v>
      </c>
      <c r="U1012">
        <v>2</v>
      </c>
      <c r="V1012" s="17" t="s">
        <v>43</v>
      </c>
      <c r="W1012">
        <v>13</v>
      </c>
      <c r="X1012">
        <v>3</v>
      </c>
      <c r="Y1012">
        <v>4</v>
      </c>
      <c r="Z1012">
        <v>2</v>
      </c>
      <c r="AA1012">
        <v>31</v>
      </c>
      <c r="AB1012">
        <v>4</v>
      </c>
      <c r="AC1012">
        <v>4</v>
      </c>
      <c r="AD1012" s="14">
        <v>7</v>
      </c>
      <c r="AE1012" t="str">
        <f t="shared" si="31"/>
        <v>6-10 years</v>
      </c>
      <c r="AF1012" s="14">
        <v>7</v>
      </c>
      <c r="AG1012" s="14">
        <v>0</v>
      </c>
      <c r="AH1012" s="14">
        <v>0</v>
      </c>
    </row>
    <row r="1013" spans="1:34" x14ac:dyDescent="0.3">
      <c r="A1013" s="14">
        <v>36</v>
      </c>
      <c r="B1013" s="17" t="s">
        <v>43</v>
      </c>
      <c r="C1013" t="s">
        <v>36</v>
      </c>
      <c r="D1013">
        <v>1174</v>
      </c>
      <c r="E1013" s="17" t="s">
        <v>37</v>
      </c>
      <c r="F1013">
        <v>3</v>
      </c>
      <c r="G1013">
        <v>4</v>
      </c>
      <c r="H1013" t="s">
        <v>59</v>
      </c>
      <c r="I1013">
        <v>1425</v>
      </c>
      <c r="J1013">
        <v>1</v>
      </c>
      <c r="K1013" s="17" t="s">
        <v>39</v>
      </c>
      <c r="L1013">
        <v>99</v>
      </c>
      <c r="M1013">
        <v>3</v>
      </c>
      <c r="N1013">
        <v>2</v>
      </c>
      <c r="O1013" s="17" t="s">
        <v>40</v>
      </c>
      <c r="P1013" s="14">
        <v>2</v>
      </c>
      <c r="Q1013" t="s">
        <v>41</v>
      </c>
      <c r="R1013" s="14">
        <v>9278</v>
      </c>
      <c r="S1013" s="17" t="str">
        <f t="shared" si="30"/>
        <v>high</v>
      </c>
      <c r="T1013">
        <v>20763</v>
      </c>
      <c r="U1013">
        <v>3</v>
      </c>
      <c r="V1013" s="17" t="s">
        <v>35</v>
      </c>
      <c r="W1013">
        <v>16</v>
      </c>
      <c r="X1013">
        <v>3</v>
      </c>
      <c r="Y1013">
        <v>4</v>
      </c>
      <c r="Z1013">
        <v>0</v>
      </c>
      <c r="AA1013">
        <v>15</v>
      </c>
      <c r="AB1013">
        <v>3</v>
      </c>
      <c r="AC1013">
        <v>3</v>
      </c>
      <c r="AD1013" s="14">
        <v>5</v>
      </c>
      <c r="AE1013" t="str">
        <f t="shared" si="31"/>
        <v>3-5 years</v>
      </c>
      <c r="AF1013" s="14">
        <v>4</v>
      </c>
      <c r="AG1013" s="14">
        <v>0</v>
      </c>
      <c r="AH1013" s="14">
        <v>1</v>
      </c>
    </row>
    <row r="1014" spans="1:34" x14ac:dyDescent="0.3">
      <c r="A1014" s="14">
        <v>31</v>
      </c>
      <c r="B1014" s="17" t="s">
        <v>35</v>
      </c>
      <c r="C1014" t="s">
        <v>44</v>
      </c>
      <c r="D1014">
        <v>667</v>
      </c>
      <c r="E1014" s="17" t="s">
        <v>37</v>
      </c>
      <c r="F1014">
        <v>1</v>
      </c>
      <c r="G1014">
        <v>4</v>
      </c>
      <c r="H1014" t="s">
        <v>38</v>
      </c>
      <c r="I1014">
        <v>1427</v>
      </c>
      <c r="J1014">
        <v>2</v>
      </c>
      <c r="K1014" s="17" t="s">
        <v>39</v>
      </c>
      <c r="L1014">
        <v>50</v>
      </c>
      <c r="M1014">
        <v>1</v>
      </c>
      <c r="N1014">
        <v>1</v>
      </c>
      <c r="O1014" s="17" t="s">
        <v>57</v>
      </c>
      <c r="P1014" s="14">
        <v>3</v>
      </c>
      <c r="Q1014" t="s">
        <v>41</v>
      </c>
      <c r="R1014" s="14">
        <v>1359</v>
      </c>
      <c r="S1014" s="17" t="str">
        <f t="shared" si="30"/>
        <v>low</v>
      </c>
      <c r="T1014">
        <v>16154</v>
      </c>
      <c r="U1014">
        <v>1</v>
      </c>
      <c r="V1014" s="17" t="s">
        <v>43</v>
      </c>
      <c r="W1014">
        <v>12</v>
      </c>
      <c r="X1014">
        <v>3</v>
      </c>
      <c r="Y1014">
        <v>2</v>
      </c>
      <c r="Z1014">
        <v>0</v>
      </c>
      <c r="AA1014">
        <v>1</v>
      </c>
      <c r="AB1014">
        <v>3</v>
      </c>
      <c r="AC1014">
        <v>3</v>
      </c>
      <c r="AD1014" s="14">
        <v>1</v>
      </c>
      <c r="AE1014" t="str">
        <f t="shared" si="31"/>
        <v>0-2 years</v>
      </c>
      <c r="AF1014" s="14">
        <v>0</v>
      </c>
      <c r="AG1014" s="14">
        <v>0</v>
      </c>
      <c r="AH1014" s="14">
        <v>0</v>
      </c>
    </row>
    <row r="1015" spans="1:34" x14ac:dyDescent="0.3">
      <c r="A1015" s="14">
        <v>30</v>
      </c>
      <c r="B1015" s="17" t="s">
        <v>43</v>
      </c>
      <c r="C1015" t="s">
        <v>36</v>
      </c>
      <c r="D1015">
        <v>855</v>
      </c>
      <c r="E1015" s="17" t="s">
        <v>37</v>
      </c>
      <c r="F1015">
        <v>7</v>
      </c>
      <c r="G1015">
        <v>4</v>
      </c>
      <c r="H1015" t="s">
        <v>59</v>
      </c>
      <c r="I1015">
        <v>1428</v>
      </c>
      <c r="J1015">
        <v>4</v>
      </c>
      <c r="K1015" s="17" t="s">
        <v>39</v>
      </c>
      <c r="L1015">
        <v>73</v>
      </c>
      <c r="M1015">
        <v>3</v>
      </c>
      <c r="N1015">
        <v>2</v>
      </c>
      <c r="O1015" s="17" t="s">
        <v>40</v>
      </c>
      <c r="P1015" s="14">
        <v>1</v>
      </c>
      <c r="Q1015" t="s">
        <v>52</v>
      </c>
      <c r="R1015" s="14">
        <v>4779</v>
      </c>
      <c r="S1015" s="17" t="str">
        <f t="shared" si="30"/>
        <v>medium</v>
      </c>
      <c r="T1015">
        <v>12761</v>
      </c>
      <c r="U1015">
        <v>7</v>
      </c>
      <c r="V1015" s="17" t="s">
        <v>43</v>
      </c>
      <c r="W1015">
        <v>14</v>
      </c>
      <c r="X1015">
        <v>3</v>
      </c>
      <c r="Y1015">
        <v>2</v>
      </c>
      <c r="Z1015">
        <v>2</v>
      </c>
      <c r="AA1015">
        <v>8</v>
      </c>
      <c r="AB1015">
        <v>3</v>
      </c>
      <c r="AC1015">
        <v>3</v>
      </c>
      <c r="AD1015" s="14">
        <v>3</v>
      </c>
      <c r="AE1015" t="str">
        <f t="shared" si="31"/>
        <v>3-5 years</v>
      </c>
      <c r="AF1015" s="14">
        <v>2</v>
      </c>
      <c r="AG1015" s="14">
        <v>0</v>
      </c>
      <c r="AH1015" s="14">
        <v>2</v>
      </c>
    </row>
    <row r="1016" spans="1:34" x14ac:dyDescent="0.3">
      <c r="A1016" s="14">
        <v>31</v>
      </c>
      <c r="B1016" s="17" t="s">
        <v>43</v>
      </c>
      <c r="C1016" t="s">
        <v>36</v>
      </c>
      <c r="D1016">
        <v>182</v>
      </c>
      <c r="E1016" s="17" t="s">
        <v>45</v>
      </c>
      <c r="F1016">
        <v>8</v>
      </c>
      <c r="G1016">
        <v>5</v>
      </c>
      <c r="H1016" t="s">
        <v>38</v>
      </c>
      <c r="I1016">
        <v>1430</v>
      </c>
      <c r="J1016">
        <v>1</v>
      </c>
      <c r="K1016" s="17" t="s">
        <v>39</v>
      </c>
      <c r="L1016">
        <v>93</v>
      </c>
      <c r="M1016">
        <v>3</v>
      </c>
      <c r="N1016">
        <v>4</v>
      </c>
      <c r="O1016" s="17" t="s">
        <v>58</v>
      </c>
      <c r="P1016" s="14">
        <v>2</v>
      </c>
      <c r="Q1016" t="s">
        <v>41</v>
      </c>
      <c r="R1016" s="14">
        <v>16422</v>
      </c>
      <c r="S1016" s="17" t="str">
        <f t="shared" si="30"/>
        <v>high</v>
      </c>
      <c r="T1016">
        <v>8847</v>
      </c>
      <c r="U1016">
        <v>3</v>
      </c>
      <c r="V1016" s="17" t="s">
        <v>43</v>
      </c>
      <c r="W1016">
        <v>11</v>
      </c>
      <c r="X1016">
        <v>3</v>
      </c>
      <c r="Y1016">
        <v>3</v>
      </c>
      <c r="Z1016">
        <v>0</v>
      </c>
      <c r="AA1016">
        <v>9</v>
      </c>
      <c r="AB1016">
        <v>3</v>
      </c>
      <c r="AC1016">
        <v>4</v>
      </c>
      <c r="AD1016" s="14">
        <v>3</v>
      </c>
      <c r="AE1016" t="str">
        <f t="shared" si="31"/>
        <v>3-5 years</v>
      </c>
      <c r="AF1016" s="14">
        <v>2</v>
      </c>
      <c r="AG1016" s="14">
        <v>1</v>
      </c>
      <c r="AH1016" s="14">
        <v>0</v>
      </c>
    </row>
    <row r="1017" spans="1:34" x14ac:dyDescent="0.3">
      <c r="A1017" s="14">
        <v>34</v>
      </c>
      <c r="B1017" s="17" t="s">
        <v>43</v>
      </c>
      <c r="C1017" t="s">
        <v>44</v>
      </c>
      <c r="D1017">
        <v>560</v>
      </c>
      <c r="E1017" s="17" t="s">
        <v>45</v>
      </c>
      <c r="F1017">
        <v>1</v>
      </c>
      <c r="G1017">
        <v>4</v>
      </c>
      <c r="H1017" t="s">
        <v>49</v>
      </c>
      <c r="I1017">
        <v>1431</v>
      </c>
      <c r="J1017">
        <v>4</v>
      </c>
      <c r="K1017" s="17" t="s">
        <v>46</v>
      </c>
      <c r="L1017">
        <v>91</v>
      </c>
      <c r="M1017">
        <v>3</v>
      </c>
      <c r="N1017">
        <v>1</v>
      </c>
      <c r="O1017" s="17" t="s">
        <v>47</v>
      </c>
      <c r="P1017" s="14">
        <v>1</v>
      </c>
      <c r="Q1017" t="s">
        <v>52</v>
      </c>
      <c r="R1017" s="14">
        <v>2996</v>
      </c>
      <c r="S1017" s="17" t="str">
        <f t="shared" si="30"/>
        <v>low</v>
      </c>
      <c r="T1017">
        <v>20284</v>
      </c>
      <c r="U1017">
        <v>5</v>
      </c>
      <c r="V1017" s="17" t="s">
        <v>43</v>
      </c>
      <c r="W1017">
        <v>14</v>
      </c>
      <c r="X1017">
        <v>3</v>
      </c>
      <c r="Y1017">
        <v>3</v>
      </c>
      <c r="Z1017">
        <v>2</v>
      </c>
      <c r="AA1017">
        <v>10</v>
      </c>
      <c r="AB1017">
        <v>2</v>
      </c>
      <c r="AC1017">
        <v>3</v>
      </c>
      <c r="AD1017" s="14">
        <v>4</v>
      </c>
      <c r="AE1017" t="str">
        <f t="shared" si="31"/>
        <v>3-5 years</v>
      </c>
      <c r="AF1017" s="14">
        <v>3</v>
      </c>
      <c r="AG1017" s="14">
        <v>1</v>
      </c>
      <c r="AH1017" s="14">
        <v>3</v>
      </c>
    </row>
    <row r="1018" spans="1:34" x14ac:dyDescent="0.3">
      <c r="A1018" s="14">
        <v>31</v>
      </c>
      <c r="B1018" s="17" t="s">
        <v>35</v>
      </c>
      <c r="C1018" t="s">
        <v>36</v>
      </c>
      <c r="D1018">
        <v>202</v>
      </c>
      <c r="E1018" s="17" t="s">
        <v>45</v>
      </c>
      <c r="F1018">
        <v>8</v>
      </c>
      <c r="G1018">
        <v>3</v>
      </c>
      <c r="H1018" t="s">
        <v>38</v>
      </c>
      <c r="I1018">
        <v>1433</v>
      </c>
      <c r="J1018">
        <v>1</v>
      </c>
      <c r="K1018" s="17" t="s">
        <v>39</v>
      </c>
      <c r="L1018">
        <v>34</v>
      </c>
      <c r="M1018">
        <v>2</v>
      </c>
      <c r="N1018">
        <v>1</v>
      </c>
      <c r="O1018" s="17" t="s">
        <v>47</v>
      </c>
      <c r="P1018" s="14">
        <v>2</v>
      </c>
      <c r="Q1018" t="s">
        <v>41</v>
      </c>
      <c r="R1018" s="14">
        <v>1261</v>
      </c>
      <c r="S1018" s="17" t="str">
        <f t="shared" si="30"/>
        <v>low</v>
      </c>
      <c r="T1018">
        <v>22262</v>
      </c>
      <c r="U1018">
        <v>1</v>
      </c>
      <c r="V1018" s="17" t="s">
        <v>43</v>
      </c>
      <c r="W1018">
        <v>12</v>
      </c>
      <c r="X1018">
        <v>3</v>
      </c>
      <c r="Y1018">
        <v>3</v>
      </c>
      <c r="Z1018">
        <v>0</v>
      </c>
      <c r="AA1018">
        <v>1</v>
      </c>
      <c r="AB1018">
        <v>3</v>
      </c>
      <c r="AC1018">
        <v>4</v>
      </c>
      <c r="AD1018" s="14">
        <v>1</v>
      </c>
      <c r="AE1018" t="str">
        <f t="shared" si="31"/>
        <v>0-2 years</v>
      </c>
      <c r="AF1018" s="14">
        <v>0</v>
      </c>
      <c r="AG1018" s="14">
        <v>0</v>
      </c>
      <c r="AH1018" s="14">
        <v>0</v>
      </c>
    </row>
    <row r="1019" spans="1:34" x14ac:dyDescent="0.3">
      <c r="A1019" s="14">
        <v>27</v>
      </c>
      <c r="B1019" s="17" t="s">
        <v>43</v>
      </c>
      <c r="C1019" t="s">
        <v>36</v>
      </c>
      <c r="D1019">
        <v>1377</v>
      </c>
      <c r="E1019" s="17" t="s">
        <v>45</v>
      </c>
      <c r="F1019">
        <v>11</v>
      </c>
      <c r="G1019">
        <v>1</v>
      </c>
      <c r="H1019" t="s">
        <v>38</v>
      </c>
      <c r="I1019">
        <v>1434</v>
      </c>
      <c r="J1019">
        <v>2</v>
      </c>
      <c r="K1019" s="17" t="s">
        <v>46</v>
      </c>
      <c r="L1019">
        <v>91</v>
      </c>
      <c r="M1019">
        <v>3</v>
      </c>
      <c r="N1019">
        <v>1</v>
      </c>
      <c r="O1019" s="17" t="s">
        <v>50</v>
      </c>
      <c r="P1019" s="14">
        <v>1</v>
      </c>
      <c r="Q1019" t="s">
        <v>48</v>
      </c>
      <c r="R1019" s="14">
        <v>2099</v>
      </c>
      <c r="S1019" s="17" t="str">
        <f t="shared" si="30"/>
        <v>low</v>
      </c>
      <c r="T1019">
        <v>7679</v>
      </c>
      <c r="U1019">
        <v>0</v>
      </c>
      <c r="V1019" s="17" t="s">
        <v>43</v>
      </c>
      <c r="W1019">
        <v>14</v>
      </c>
      <c r="X1019">
        <v>3</v>
      </c>
      <c r="Y1019">
        <v>2</v>
      </c>
      <c r="Z1019">
        <v>0</v>
      </c>
      <c r="AA1019">
        <v>6</v>
      </c>
      <c r="AB1019">
        <v>3</v>
      </c>
      <c r="AC1019">
        <v>4</v>
      </c>
      <c r="AD1019" s="14">
        <v>5</v>
      </c>
      <c r="AE1019" t="str">
        <f t="shared" si="31"/>
        <v>3-5 years</v>
      </c>
      <c r="AF1019" s="14">
        <v>0</v>
      </c>
      <c r="AG1019" s="14">
        <v>1</v>
      </c>
      <c r="AH1019" s="14">
        <v>4</v>
      </c>
    </row>
    <row r="1020" spans="1:34" x14ac:dyDescent="0.3">
      <c r="A1020" s="14">
        <v>36</v>
      </c>
      <c r="B1020" s="17" t="s">
        <v>43</v>
      </c>
      <c r="C1020" t="s">
        <v>36</v>
      </c>
      <c r="D1020">
        <v>172</v>
      </c>
      <c r="E1020" s="17" t="s">
        <v>45</v>
      </c>
      <c r="F1020">
        <v>4</v>
      </c>
      <c r="G1020">
        <v>4</v>
      </c>
      <c r="H1020" t="s">
        <v>38</v>
      </c>
      <c r="I1020">
        <v>1435</v>
      </c>
      <c r="J1020">
        <v>1</v>
      </c>
      <c r="K1020" s="17" t="s">
        <v>46</v>
      </c>
      <c r="L1020">
        <v>37</v>
      </c>
      <c r="M1020">
        <v>2</v>
      </c>
      <c r="N1020">
        <v>2</v>
      </c>
      <c r="O1020" s="17" t="s">
        <v>50</v>
      </c>
      <c r="P1020" s="14">
        <v>4</v>
      </c>
      <c r="Q1020" t="s">
        <v>41</v>
      </c>
      <c r="R1020" s="14">
        <v>5810</v>
      </c>
      <c r="S1020" s="17" t="str">
        <f t="shared" si="30"/>
        <v>medium</v>
      </c>
      <c r="T1020">
        <v>22604</v>
      </c>
      <c r="U1020">
        <v>1</v>
      </c>
      <c r="V1020" s="17" t="s">
        <v>43</v>
      </c>
      <c r="W1020">
        <v>16</v>
      </c>
      <c r="X1020">
        <v>3</v>
      </c>
      <c r="Y1020">
        <v>3</v>
      </c>
      <c r="Z1020">
        <v>0</v>
      </c>
      <c r="AA1020">
        <v>10</v>
      </c>
      <c r="AB1020">
        <v>2</v>
      </c>
      <c r="AC1020">
        <v>2</v>
      </c>
      <c r="AD1020" s="14">
        <v>10</v>
      </c>
      <c r="AE1020" t="str">
        <f t="shared" si="31"/>
        <v>6-10 years</v>
      </c>
      <c r="AF1020" s="14">
        <v>4</v>
      </c>
      <c r="AG1020" s="14">
        <v>1</v>
      </c>
      <c r="AH1020" s="14">
        <v>8</v>
      </c>
    </row>
    <row r="1021" spans="1:34" x14ac:dyDescent="0.3">
      <c r="A1021" s="14">
        <v>36</v>
      </c>
      <c r="B1021" s="17" t="s">
        <v>43</v>
      </c>
      <c r="C1021" t="s">
        <v>36</v>
      </c>
      <c r="D1021">
        <v>329</v>
      </c>
      <c r="E1021" s="17" t="s">
        <v>37</v>
      </c>
      <c r="F1021">
        <v>16</v>
      </c>
      <c r="G1021">
        <v>4</v>
      </c>
      <c r="H1021" t="s">
        <v>59</v>
      </c>
      <c r="I1021">
        <v>1436</v>
      </c>
      <c r="J1021">
        <v>3</v>
      </c>
      <c r="K1021" s="17" t="s">
        <v>39</v>
      </c>
      <c r="L1021">
        <v>98</v>
      </c>
      <c r="M1021">
        <v>2</v>
      </c>
      <c r="N1021">
        <v>2</v>
      </c>
      <c r="O1021" s="17" t="s">
        <v>40</v>
      </c>
      <c r="P1021" s="14">
        <v>1</v>
      </c>
      <c r="Q1021" t="s">
        <v>48</v>
      </c>
      <c r="R1021" s="14">
        <v>5647</v>
      </c>
      <c r="S1021" s="17" t="str">
        <f t="shared" si="30"/>
        <v>medium</v>
      </c>
      <c r="T1021">
        <v>13494</v>
      </c>
      <c r="U1021">
        <v>4</v>
      </c>
      <c r="V1021" s="17" t="s">
        <v>43</v>
      </c>
      <c r="W1021">
        <v>13</v>
      </c>
      <c r="X1021">
        <v>3</v>
      </c>
      <c r="Y1021">
        <v>1</v>
      </c>
      <c r="Z1021">
        <v>2</v>
      </c>
      <c r="AA1021">
        <v>11</v>
      </c>
      <c r="AB1021">
        <v>3</v>
      </c>
      <c r="AC1021">
        <v>2</v>
      </c>
      <c r="AD1021" s="14">
        <v>3</v>
      </c>
      <c r="AE1021" t="str">
        <f t="shared" si="31"/>
        <v>3-5 years</v>
      </c>
      <c r="AF1021" s="14">
        <v>2</v>
      </c>
      <c r="AG1021" s="14">
        <v>0</v>
      </c>
      <c r="AH1021" s="14">
        <v>2</v>
      </c>
    </row>
    <row r="1022" spans="1:34" x14ac:dyDescent="0.3">
      <c r="A1022" s="14">
        <v>47</v>
      </c>
      <c r="B1022" s="17" t="s">
        <v>43</v>
      </c>
      <c r="C1022" t="s">
        <v>36</v>
      </c>
      <c r="D1022">
        <v>465</v>
      </c>
      <c r="E1022" s="17" t="s">
        <v>45</v>
      </c>
      <c r="F1022">
        <v>1</v>
      </c>
      <c r="G1022">
        <v>3</v>
      </c>
      <c r="H1022" t="s">
        <v>60</v>
      </c>
      <c r="I1022">
        <v>1438</v>
      </c>
      <c r="J1022">
        <v>1</v>
      </c>
      <c r="K1022" s="17" t="s">
        <v>46</v>
      </c>
      <c r="L1022">
        <v>74</v>
      </c>
      <c r="M1022">
        <v>3</v>
      </c>
      <c r="N1022">
        <v>1</v>
      </c>
      <c r="O1022" s="17" t="s">
        <v>47</v>
      </c>
      <c r="P1022" s="14">
        <v>4</v>
      </c>
      <c r="Q1022" t="s">
        <v>48</v>
      </c>
      <c r="R1022" s="14">
        <v>3420</v>
      </c>
      <c r="S1022" s="17" t="str">
        <f t="shared" si="30"/>
        <v>medium</v>
      </c>
      <c r="T1022">
        <v>10205</v>
      </c>
      <c r="U1022">
        <v>7</v>
      </c>
      <c r="V1022" s="17" t="s">
        <v>43</v>
      </c>
      <c r="W1022">
        <v>12</v>
      </c>
      <c r="X1022">
        <v>3</v>
      </c>
      <c r="Y1022">
        <v>3</v>
      </c>
      <c r="Z1022">
        <v>1</v>
      </c>
      <c r="AA1022">
        <v>17</v>
      </c>
      <c r="AB1022">
        <v>2</v>
      </c>
      <c r="AC1022">
        <v>2</v>
      </c>
      <c r="AD1022" s="14">
        <v>6</v>
      </c>
      <c r="AE1022" t="str">
        <f t="shared" si="31"/>
        <v>6-10 years</v>
      </c>
      <c r="AF1022" s="14">
        <v>5</v>
      </c>
      <c r="AG1022" s="14">
        <v>1</v>
      </c>
      <c r="AH1022" s="14">
        <v>2</v>
      </c>
    </row>
    <row r="1023" spans="1:34" x14ac:dyDescent="0.3">
      <c r="A1023" s="14">
        <v>25</v>
      </c>
      <c r="B1023" s="17" t="s">
        <v>35</v>
      </c>
      <c r="C1023" t="s">
        <v>36</v>
      </c>
      <c r="D1023">
        <v>383</v>
      </c>
      <c r="E1023" s="17" t="s">
        <v>37</v>
      </c>
      <c r="F1023">
        <v>9</v>
      </c>
      <c r="G1023">
        <v>2</v>
      </c>
      <c r="H1023" t="s">
        <v>38</v>
      </c>
      <c r="I1023">
        <v>1439</v>
      </c>
      <c r="J1023">
        <v>1</v>
      </c>
      <c r="K1023" s="17" t="s">
        <v>46</v>
      </c>
      <c r="L1023">
        <v>68</v>
      </c>
      <c r="M1023">
        <v>2</v>
      </c>
      <c r="N1023">
        <v>1</v>
      </c>
      <c r="O1023" s="17" t="s">
        <v>57</v>
      </c>
      <c r="P1023" s="14">
        <v>1</v>
      </c>
      <c r="Q1023" t="s">
        <v>48</v>
      </c>
      <c r="R1023" s="14">
        <v>4400</v>
      </c>
      <c r="S1023" s="17" t="str">
        <f t="shared" si="30"/>
        <v>medium</v>
      </c>
      <c r="T1023">
        <v>15182</v>
      </c>
      <c r="U1023">
        <v>3</v>
      </c>
      <c r="V1023" s="17" t="s">
        <v>43</v>
      </c>
      <c r="W1023">
        <v>12</v>
      </c>
      <c r="X1023">
        <v>3</v>
      </c>
      <c r="Y1023">
        <v>1</v>
      </c>
      <c r="Z1023">
        <v>0</v>
      </c>
      <c r="AA1023">
        <v>6</v>
      </c>
      <c r="AB1023">
        <v>2</v>
      </c>
      <c r="AC1023">
        <v>3</v>
      </c>
      <c r="AD1023" s="14">
        <v>3</v>
      </c>
      <c r="AE1023" t="str">
        <f t="shared" si="31"/>
        <v>3-5 years</v>
      </c>
      <c r="AF1023" s="14">
        <v>2</v>
      </c>
      <c r="AG1023" s="14">
        <v>2</v>
      </c>
      <c r="AH1023" s="14">
        <v>2</v>
      </c>
    </row>
    <row r="1024" spans="1:34" x14ac:dyDescent="0.3">
      <c r="A1024" s="14">
        <v>37</v>
      </c>
      <c r="B1024" s="17" t="s">
        <v>43</v>
      </c>
      <c r="C1024" t="s">
        <v>55</v>
      </c>
      <c r="D1024">
        <v>1413</v>
      </c>
      <c r="E1024" s="17" t="s">
        <v>45</v>
      </c>
      <c r="F1024">
        <v>5</v>
      </c>
      <c r="G1024">
        <v>2</v>
      </c>
      <c r="H1024" t="s">
        <v>60</v>
      </c>
      <c r="I1024">
        <v>1440</v>
      </c>
      <c r="J1024">
        <v>3</v>
      </c>
      <c r="K1024" s="17" t="s">
        <v>46</v>
      </c>
      <c r="L1024">
        <v>84</v>
      </c>
      <c r="M1024">
        <v>4</v>
      </c>
      <c r="N1024">
        <v>1</v>
      </c>
      <c r="O1024" s="17" t="s">
        <v>50</v>
      </c>
      <c r="P1024" s="14">
        <v>3</v>
      </c>
      <c r="Q1024" t="s">
        <v>41</v>
      </c>
      <c r="R1024" s="14">
        <v>3500</v>
      </c>
      <c r="S1024" s="17" t="str">
        <f t="shared" si="30"/>
        <v>medium</v>
      </c>
      <c r="T1024">
        <v>25470</v>
      </c>
      <c r="U1024">
        <v>0</v>
      </c>
      <c r="V1024" s="17" t="s">
        <v>43</v>
      </c>
      <c r="W1024">
        <v>14</v>
      </c>
      <c r="X1024">
        <v>3</v>
      </c>
      <c r="Y1024">
        <v>1</v>
      </c>
      <c r="Z1024">
        <v>0</v>
      </c>
      <c r="AA1024">
        <v>7</v>
      </c>
      <c r="AB1024">
        <v>2</v>
      </c>
      <c r="AC1024">
        <v>1</v>
      </c>
      <c r="AD1024" s="14">
        <v>6</v>
      </c>
      <c r="AE1024" t="str">
        <f t="shared" si="31"/>
        <v>6-10 years</v>
      </c>
      <c r="AF1024" s="14">
        <v>5</v>
      </c>
      <c r="AG1024" s="14">
        <v>1</v>
      </c>
      <c r="AH1024" s="14">
        <v>3</v>
      </c>
    </row>
    <row r="1025" spans="1:34" x14ac:dyDescent="0.3">
      <c r="A1025" s="14">
        <v>56</v>
      </c>
      <c r="B1025" s="17" t="s">
        <v>43</v>
      </c>
      <c r="C1025" t="s">
        <v>36</v>
      </c>
      <c r="D1025">
        <v>1255</v>
      </c>
      <c r="E1025" s="17" t="s">
        <v>45</v>
      </c>
      <c r="F1025">
        <v>1</v>
      </c>
      <c r="G1025">
        <v>2</v>
      </c>
      <c r="H1025" t="s">
        <v>38</v>
      </c>
      <c r="I1025">
        <v>1441</v>
      </c>
      <c r="J1025">
        <v>1</v>
      </c>
      <c r="K1025" s="17" t="s">
        <v>39</v>
      </c>
      <c r="L1025">
        <v>90</v>
      </c>
      <c r="M1025">
        <v>3</v>
      </c>
      <c r="N1025">
        <v>1</v>
      </c>
      <c r="O1025" s="17" t="s">
        <v>47</v>
      </c>
      <c r="P1025" s="14">
        <v>1</v>
      </c>
      <c r="Q1025" t="s">
        <v>48</v>
      </c>
      <c r="R1025" s="14">
        <v>2066</v>
      </c>
      <c r="S1025" s="17" t="str">
        <f t="shared" si="30"/>
        <v>low</v>
      </c>
      <c r="T1025">
        <v>10494</v>
      </c>
      <c r="U1025">
        <v>2</v>
      </c>
      <c r="V1025" s="17" t="s">
        <v>43</v>
      </c>
      <c r="W1025">
        <v>22</v>
      </c>
      <c r="X1025">
        <v>4</v>
      </c>
      <c r="Y1025">
        <v>4</v>
      </c>
      <c r="Z1025">
        <v>1</v>
      </c>
      <c r="AA1025">
        <v>5</v>
      </c>
      <c r="AB1025">
        <v>3</v>
      </c>
      <c r="AC1025">
        <v>4</v>
      </c>
      <c r="AD1025" s="14">
        <v>3</v>
      </c>
      <c r="AE1025" t="str">
        <f t="shared" si="31"/>
        <v>3-5 years</v>
      </c>
      <c r="AF1025" s="14">
        <v>2</v>
      </c>
      <c r="AG1025" s="14">
        <v>1</v>
      </c>
      <c r="AH1025" s="14">
        <v>0</v>
      </c>
    </row>
    <row r="1026" spans="1:34" x14ac:dyDescent="0.3">
      <c r="A1026" s="14">
        <v>47</v>
      </c>
      <c r="B1026" s="17" t="s">
        <v>43</v>
      </c>
      <c r="C1026" t="s">
        <v>36</v>
      </c>
      <c r="D1026">
        <v>359</v>
      </c>
      <c r="E1026" s="17" t="s">
        <v>45</v>
      </c>
      <c r="F1026">
        <v>2</v>
      </c>
      <c r="G1026">
        <v>4</v>
      </c>
      <c r="H1026" t="s">
        <v>51</v>
      </c>
      <c r="I1026">
        <v>1443</v>
      </c>
      <c r="J1026">
        <v>1</v>
      </c>
      <c r="K1026" s="17" t="s">
        <v>39</v>
      </c>
      <c r="L1026">
        <v>82</v>
      </c>
      <c r="M1026">
        <v>3</v>
      </c>
      <c r="N1026">
        <v>4</v>
      </c>
      <c r="O1026" s="17" t="s">
        <v>58</v>
      </c>
      <c r="P1026" s="14">
        <v>3</v>
      </c>
      <c r="Q1026" t="s">
        <v>48</v>
      </c>
      <c r="R1026" s="14">
        <v>17169</v>
      </c>
      <c r="S1026" s="17" t="str">
        <f t="shared" ref="S1026:S1089" si="32">IF(R1026&lt;=3000, "low",IF(R1026&lt;=7000,"medium","high"))</f>
        <v>high</v>
      </c>
      <c r="T1026">
        <v>26703</v>
      </c>
      <c r="U1026">
        <v>3</v>
      </c>
      <c r="V1026" s="17" t="s">
        <v>43</v>
      </c>
      <c r="W1026">
        <v>19</v>
      </c>
      <c r="X1026">
        <v>3</v>
      </c>
      <c r="Y1026">
        <v>2</v>
      </c>
      <c r="Z1026">
        <v>2</v>
      </c>
      <c r="AA1026">
        <v>26</v>
      </c>
      <c r="AB1026">
        <v>2</v>
      </c>
      <c r="AC1026">
        <v>4</v>
      </c>
      <c r="AD1026" s="14">
        <v>20</v>
      </c>
      <c r="AE1026" t="str">
        <f t="shared" ref="AE1026:AE1089" si="33">IF(AD1026&lt;=2,"0-2 years", IF(AD1026&lt;=5,"3-5 years", IF(AD1026&lt;=10,"6-10 years","10+ years")))</f>
        <v>10+ years</v>
      </c>
      <c r="AF1026" s="14">
        <v>17</v>
      </c>
      <c r="AG1026" s="14">
        <v>5</v>
      </c>
      <c r="AH1026" s="14">
        <v>6</v>
      </c>
    </row>
    <row r="1027" spans="1:34" x14ac:dyDescent="0.3">
      <c r="A1027" s="14">
        <v>24</v>
      </c>
      <c r="B1027" s="17" t="s">
        <v>43</v>
      </c>
      <c r="C1027" t="s">
        <v>36</v>
      </c>
      <c r="D1027">
        <v>1476</v>
      </c>
      <c r="E1027" s="17" t="s">
        <v>37</v>
      </c>
      <c r="F1027">
        <v>4</v>
      </c>
      <c r="G1027">
        <v>1</v>
      </c>
      <c r="H1027" t="s">
        <v>51</v>
      </c>
      <c r="I1027">
        <v>1445</v>
      </c>
      <c r="J1027">
        <v>4</v>
      </c>
      <c r="K1027" s="17" t="s">
        <v>39</v>
      </c>
      <c r="L1027">
        <v>42</v>
      </c>
      <c r="M1027">
        <v>3</v>
      </c>
      <c r="N1027">
        <v>2</v>
      </c>
      <c r="O1027" s="17" t="s">
        <v>40</v>
      </c>
      <c r="P1027" s="14">
        <v>3</v>
      </c>
      <c r="Q1027" t="s">
        <v>48</v>
      </c>
      <c r="R1027" s="14">
        <v>4162</v>
      </c>
      <c r="S1027" s="17" t="str">
        <f t="shared" si="32"/>
        <v>medium</v>
      </c>
      <c r="T1027">
        <v>15211</v>
      </c>
      <c r="U1027">
        <v>1</v>
      </c>
      <c r="V1027" s="17" t="s">
        <v>35</v>
      </c>
      <c r="W1027">
        <v>12</v>
      </c>
      <c r="X1027">
        <v>3</v>
      </c>
      <c r="Y1027">
        <v>3</v>
      </c>
      <c r="Z1027">
        <v>2</v>
      </c>
      <c r="AA1027">
        <v>5</v>
      </c>
      <c r="AB1027">
        <v>3</v>
      </c>
      <c r="AC1027">
        <v>3</v>
      </c>
      <c r="AD1027" s="14">
        <v>5</v>
      </c>
      <c r="AE1027" t="str">
        <f t="shared" si="33"/>
        <v>3-5 years</v>
      </c>
      <c r="AF1027" s="14">
        <v>4</v>
      </c>
      <c r="AG1027" s="14">
        <v>0</v>
      </c>
      <c r="AH1027" s="14">
        <v>3</v>
      </c>
    </row>
    <row r="1028" spans="1:34" x14ac:dyDescent="0.3">
      <c r="A1028" s="14">
        <v>32</v>
      </c>
      <c r="B1028" s="17" t="s">
        <v>43</v>
      </c>
      <c r="C1028" t="s">
        <v>36</v>
      </c>
      <c r="D1028">
        <v>601</v>
      </c>
      <c r="E1028" s="17" t="s">
        <v>37</v>
      </c>
      <c r="F1028">
        <v>7</v>
      </c>
      <c r="G1028">
        <v>5</v>
      </c>
      <c r="H1028" t="s">
        <v>59</v>
      </c>
      <c r="I1028">
        <v>1446</v>
      </c>
      <c r="J1028">
        <v>4</v>
      </c>
      <c r="K1028" s="17" t="s">
        <v>46</v>
      </c>
      <c r="L1028">
        <v>97</v>
      </c>
      <c r="M1028">
        <v>3</v>
      </c>
      <c r="N1028">
        <v>2</v>
      </c>
      <c r="O1028" s="17" t="s">
        <v>40</v>
      </c>
      <c r="P1028" s="14">
        <v>4</v>
      </c>
      <c r="Q1028" t="s">
        <v>48</v>
      </c>
      <c r="R1028" s="14">
        <v>9204</v>
      </c>
      <c r="S1028" s="17" t="str">
        <f t="shared" si="32"/>
        <v>high</v>
      </c>
      <c r="T1028">
        <v>23343</v>
      </c>
      <c r="U1028">
        <v>4</v>
      </c>
      <c r="V1028" s="17" t="s">
        <v>43</v>
      </c>
      <c r="W1028">
        <v>12</v>
      </c>
      <c r="X1028">
        <v>3</v>
      </c>
      <c r="Y1028">
        <v>3</v>
      </c>
      <c r="Z1028">
        <v>1</v>
      </c>
      <c r="AA1028">
        <v>7</v>
      </c>
      <c r="AB1028">
        <v>3</v>
      </c>
      <c r="AC1028">
        <v>2</v>
      </c>
      <c r="AD1028" s="14">
        <v>4</v>
      </c>
      <c r="AE1028" t="str">
        <f t="shared" si="33"/>
        <v>3-5 years</v>
      </c>
      <c r="AF1028" s="14">
        <v>3</v>
      </c>
      <c r="AG1028" s="14">
        <v>0</v>
      </c>
      <c r="AH1028" s="14">
        <v>3</v>
      </c>
    </row>
    <row r="1029" spans="1:34" x14ac:dyDescent="0.3">
      <c r="A1029" s="14">
        <v>34</v>
      </c>
      <c r="B1029" s="17" t="s">
        <v>43</v>
      </c>
      <c r="C1029" t="s">
        <v>36</v>
      </c>
      <c r="D1029">
        <v>401</v>
      </c>
      <c r="E1029" s="17" t="s">
        <v>45</v>
      </c>
      <c r="F1029">
        <v>1</v>
      </c>
      <c r="G1029">
        <v>3</v>
      </c>
      <c r="H1029" t="s">
        <v>38</v>
      </c>
      <c r="I1029">
        <v>1447</v>
      </c>
      <c r="J1029">
        <v>4</v>
      </c>
      <c r="K1029" s="17" t="s">
        <v>39</v>
      </c>
      <c r="L1029">
        <v>86</v>
      </c>
      <c r="M1029">
        <v>2</v>
      </c>
      <c r="N1029">
        <v>1</v>
      </c>
      <c r="O1029" s="17" t="s">
        <v>50</v>
      </c>
      <c r="P1029" s="14">
        <v>2</v>
      </c>
      <c r="Q1029" t="s">
        <v>48</v>
      </c>
      <c r="R1029" s="14">
        <v>3294</v>
      </c>
      <c r="S1029" s="17" t="str">
        <f t="shared" si="32"/>
        <v>medium</v>
      </c>
      <c r="T1029">
        <v>3708</v>
      </c>
      <c r="U1029">
        <v>5</v>
      </c>
      <c r="V1029" s="17" t="s">
        <v>43</v>
      </c>
      <c r="W1029">
        <v>17</v>
      </c>
      <c r="X1029">
        <v>3</v>
      </c>
      <c r="Y1029">
        <v>1</v>
      </c>
      <c r="Z1029">
        <v>1</v>
      </c>
      <c r="AA1029">
        <v>7</v>
      </c>
      <c r="AB1029">
        <v>2</v>
      </c>
      <c r="AC1029">
        <v>2</v>
      </c>
      <c r="AD1029" s="14">
        <v>5</v>
      </c>
      <c r="AE1029" t="str">
        <f t="shared" si="33"/>
        <v>3-5 years</v>
      </c>
      <c r="AF1029" s="14">
        <v>4</v>
      </c>
      <c r="AG1029" s="14">
        <v>0</v>
      </c>
      <c r="AH1029" s="14">
        <v>2</v>
      </c>
    </row>
    <row r="1030" spans="1:34" x14ac:dyDescent="0.3">
      <c r="A1030" s="14">
        <v>41</v>
      </c>
      <c r="B1030" s="17" t="s">
        <v>43</v>
      </c>
      <c r="C1030" t="s">
        <v>36</v>
      </c>
      <c r="D1030">
        <v>1283</v>
      </c>
      <c r="E1030" s="17" t="s">
        <v>45</v>
      </c>
      <c r="F1030">
        <v>5</v>
      </c>
      <c r="G1030">
        <v>5</v>
      </c>
      <c r="H1030" t="s">
        <v>51</v>
      </c>
      <c r="I1030">
        <v>1448</v>
      </c>
      <c r="J1030">
        <v>2</v>
      </c>
      <c r="K1030" s="17" t="s">
        <v>46</v>
      </c>
      <c r="L1030">
        <v>90</v>
      </c>
      <c r="M1030">
        <v>4</v>
      </c>
      <c r="N1030">
        <v>1</v>
      </c>
      <c r="O1030" s="17" t="s">
        <v>47</v>
      </c>
      <c r="P1030" s="14">
        <v>3</v>
      </c>
      <c r="Q1030" t="s">
        <v>48</v>
      </c>
      <c r="R1030" s="14">
        <v>2127</v>
      </c>
      <c r="S1030" s="17" t="str">
        <f t="shared" si="32"/>
        <v>low</v>
      </c>
      <c r="T1030">
        <v>5561</v>
      </c>
      <c r="U1030">
        <v>2</v>
      </c>
      <c r="V1030" s="17" t="s">
        <v>35</v>
      </c>
      <c r="W1030">
        <v>12</v>
      </c>
      <c r="X1030">
        <v>3</v>
      </c>
      <c r="Y1030">
        <v>1</v>
      </c>
      <c r="Z1030">
        <v>0</v>
      </c>
      <c r="AA1030">
        <v>7</v>
      </c>
      <c r="AB1030">
        <v>5</v>
      </c>
      <c r="AC1030">
        <v>2</v>
      </c>
      <c r="AD1030" s="14">
        <v>4</v>
      </c>
      <c r="AE1030" t="str">
        <f t="shared" si="33"/>
        <v>3-5 years</v>
      </c>
      <c r="AF1030" s="14">
        <v>2</v>
      </c>
      <c r="AG1030" s="14">
        <v>0</v>
      </c>
      <c r="AH1030" s="14">
        <v>3</v>
      </c>
    </row>
    <row r="1031" spans="1:34" x14ac:dyDescent="0.3">
      <c r="A1031" s="14">
        <v>40</v>
      </c>
      <c r="B1031" s="17" t="s">
        <v>43</v>
      </c>
      <c r="C1031" t="s">
        <v>55</v>
      </c>
      <c r="D1031">
        <v>663</v>
      </c>
      <c r="E1031" s="17" t="s">
        <v>45</v>
      </c>
      <c r="F1031">
        <v>9</v>
      </c>
      <c r="G1031">
        <v>4</v>
      </c>
      <c r="H1031" t="s">
        <v>49</v>
      </c>
      <c r="I1031">
        <v>1449</v>
      </c>
      <c r="J1031">
        <v>3</v>
      </c>
      <c r="K1031" s="17" t="s">
        <v>46</v>
      </c>
      <c r="L1031">
        <v>81</v>
      </c>
      <c r="M1031">
        <v>3</v>
      </c>
      <c r="N1031">
        <v>2</v>
      </c>
      <c r="O1031" s="17" t="s">
        <v>50</v>
      </c>
      <c r="P1031" s="14">
        <v>3</v>
      </c>
      <c r="Q1031" t="s">
        <v>52</v>
      </c>
      <c r="R1031" s="14">
        <v>3975</v>
      </c>
      <c r="S1031" s="17" t="str">
        <f t="shared" si="32"/>
        <v>medium</v>
      </c>
      <c r="T1031">
        <v>23099</v>
      </c>
      <c r="U1031">
        <v>3</v>
      </c>
      <c r="V1031" s="17" t="s">
        <v>43</v>
      </c>
      <c r="W1031">
        <v>11</v>
      </c>
      <c r="X1031">
        <v>3</v>
      </c>
      <c r="Y1031">
        <v>3</v>
      </c>
      <c r="Z1031">
        <v>2</v>
      </c>
      <c r="AA1031">
        <v>11</v>
      </c>
      <c r="AB1031">
        <v>2</v>
      </c>
      <c r="AC1031">
        <v>4</v>
      </c>
      <c r="AD1031" s="14">
        <v>8</v>
      </c>
      <c r="AE1031" t="str">
        <f t="shared" si="33"/>
        <v>6-10 years</v>
      </c>
      <c r="AF1031" s="14">
        <v>7</v>
      </c>
      <c r="AG1031" s="14">
        <v>0</v>
      </c>
      <c r="AH1031" s="14">
        <v>7</v>
      </c>
    </row>
    <row r="1032" spans="1:34" x14ac:dyDescent="0.3">
      <c r="A1032" s="14">
        <v>31</v>
      </c>
      <c r="B1032" s="17" t="s">
        <v>43</v>
      </c>
      <c r="C1032" t="s">
        <v>36</v>
      </c>
      <c r="D1032">
        <v>326</v>
      </c>
      <c r="E1032" s="17" t="s">
        <v>37</v>
      </c>
      <c r="F1032">
        <v>8</v>
      </c>
      <c r="G1032">
        <v>2</v>
      </c>
      <c r="H1032" t="s">
        <v>38</v>
      </c>
      <c r="I1032">
        <v>1453</v>
      </c>
      <c r="J1032">
        <v>1</v>
      </c>
      <c r="K1032" s="17" t="s">
        <v>46</v>
      </c>
      <c r="L1032">
        <v>31</v>
      </c>
      <c r="M1032">
        <v>3</v>
      </c>
      <c r="N1032">
        <v>3</v>
      </c>
      <c r="O1032" s="17" t="s">
        <v>40</v>
      </c>
      <c r="P1032" s="14">
        <v>4</v>
      </c>
      <c r="Q1032" t="s">
        <v>52</v>
      </c>
      <c r="R1032" s="14">
        <v>10793</v>
      </c>
      <c r="S1032" s="17" t="str">
        <f t="shared" si="32"/>
        <v>high</v>
      </c>
      <c r="T1032">
        <v>8386</v>
      </c>
      <c r="U1032">
        <v>1</v>
      </c>
      <c r="V1032" s="17" t="s">
        <v>43</v>
      </c>
      <c r="W1032">
        <v>18</v>
      </c>
      <c r="X1032">
        <v>3</v>
      </c>
      <c r="Y1032">
        <v>1</v>
      </c>
      <c r="Z1032">
        <v>1</v>
      </c>
      <c r="AA1032">
        <v>13</v>
      </c>
      <c r="AB1032">
        <v>5</v>
      </c>
      <c r="AC1032">
        <v>3</v>
      </c>
      <c r="AD1032" s="14">
        <v>13</v>
      </c>
      <c r="AE1032" t="str">
        <f t="shared" si="33"/>
        <v>10+ years</v>
      </c>
      <c r="AF1032" s="14">
        <v>7</v>
      </c>
      <c r="AG1032" s="14">
        <v>9</v>
      </c>
      <c r="AH1032" s="14">
        <v>9</v>
      </c>
    </row>
    <row r="1033" spans="1:34" x14ac:dyDescent="0.3">
      <c r="A1033" s="14">
        <v>46</v>
      </c>
      <c r="B1033" s="17" t="s">
        <v>35</v>
      </c>
      <c r="C1033" t="s">
        <v>36</v>
      </c>
      <c r="D1033">
        <v>377</v>
      </c>
      <c r="E1033" s="17" t="s">
        <v>37</v>
      </c>
      <c r="F1033">
        <v>9</v>
      </c>
      <c r="G1033">
        <v>3</v>
      </c>
      <c r="H1033" t="s">
        <v>59</v>
      </c>
      <c r="I1033">
        <v>1457</v>
      </c>
      <c r="J1033">
        <v>1</v>
      </c>
      <c r="K1033" s="17" t="s">
        <v>46</v>
      </c>
      <c r="L1033">
        <v>52</v>
      </c>
      <c r="M1033">
        <v>3</v>
      </c>
      <c r="N1033">
        <v>3</v>
      </c>
      <c r="O1033" s="17" t="s">
        <v>40</v>
      </c>
      <c r="P1033" s="14">
        <v>4</v>
      </c>
      <c r="Q1033" t="s">
        <v>52</v>
      </c>
      <c r="R1033" s="14">
        <v>10096</v>
      </c>
      <c r="S1033" s="17" t="str">
        <f t="shared" si="32"/>
        <v>high</v>
      </c>
      <c r="T1033">
        <v>15986</v>
      </c>
      <c r="U1033">
        <v>4</v>
      </c>
      <c r="V1033" s="17" t="s">
        <v>43</v>
      </c>
      <c r="W1033">
        <v>11</v>
      </c>
      <c r="X1033">
        <v>3</v>
      </c>
      <c r="Y1033">
        <v>1</v>
      </c>
      <c r="Z1033">
        <v>1</v>
      </c>
      <c r="AA1033">
        <v>28</v>
      </c>
      <c r="AB1033">
        <v>1</v>
      </c>
      <c r="AC1033">
        <v>4</v>
      </c>
      <c r="AD1033" s="14">
        <v>7</v>
      </c>
      <c r="AE1033" t="str">
        <f t="shared" si="33"/>
        <v>6-10 years</v>
      </c>
      <c r="AF1033" s="14">
        <v>7</v>
      </c>
      <c r="AG1033" s="14">
        <v>4</v>
      </c>
      <c r="AH1033" s="14">
        <v>3</v>
      </c>
    </row>
    <row r="1034" spans="1:34" x14ac:dyDescent="0.3">
      <c r="A1034" s="14">
        <v>39</v>
      </c>
      <c r="B1034" s="17" t="s">
        <v>35</v>
      </c>
      <c r="C1034" t="s">
        <v>55</v>
      </c>
      <c r="D1034">
        <v>592</v>
      </c>
      <c r="E1034" s="17" t="s">
        <v>45</v>
      </c>
      <c r="F1034">
        <v>2</v>
      </c>
      <c r="G1034">
        <v>3</v>
      </c>
      <c r="H1034" t="s">
        <v>38</v>
      </c>
      <c r="I1034">
        <v>1458</v>
      </c>
      <c r="J1034">
        <v>1</v>
      </c>
      <c r="K1034" s="17" t="s">
        <v>39</v>
      </c>
      <c r="L1034">
        <v>54</v>
      </c>
      <c r="M1034">
        <v>2</v>
      </c>
      <c r="N1034">
        <v>1</v>
      </c>
      <c r="O1034" s="17" t="s">
        <v>50</v>
      </c>
      <c r="P1034" s="14">
        <v>1</v>
      </c>
      <c r="Q1034" t="s">
        <v>41</v>
      </c>
      <c r="R1034" s="14">
        <v>3646</v>
      </c>
      <c r="S1034" s="17" t="str">
        <f t="shared" si="32"/>
        <v>medium</v>
      </c>
      <c r="T1034">
        <v>17181</v>
      </c>
      <c r="U1034">
        <v>2</v>
      </c>
      <c r="V1034" s="17" t="s">
        <v>35</v>
      </c>
      <c r="W1034">
        <v>23</v>
      </c>
      <c r="X1034">
        <v>4</v>
      </c>
      <c r="Y1034">
        <v>2</v>
      </c>
      <c r="Z1034">
        <v>0</v>
      </c>
      <c r="AA1034">
        <v>11</v>
      </c>
      <c r="AB1034">
        <v>2</v>
      </c>
      <c r="AC1034">
        <v>4</v>
      </c>
      <c r="AD1034" s="14">
        <v>1</v>
      </c>
      <c r="AE1034" t="str">
        <f t="shared" si="33"/>
        <v>0-2 years</v>
      </c>
      <c r="AF1034" s="14">
        <v>0</v>
      </c>
      <c r="AG1034" s="14">
        <v>0</v>
      </c>
      <c r="AH1034" s="14">
        <v>0</v>
      </c>
    </row>
    <row r="1035" spans="1:34" x14ac:dyDescent="0.3">
      <c r="A1035" s="14">
        <v>31</v>
      </c>
      <c r="B1035" s="17" t="s">
        <v>35</v>
      </c>
      <c r="C1035" t="s">
        <v>44</v>
      </c>
      <c r="D1035">
        <v>1445</v>
      </c>
      <c r="E1035" s="17" t="s">
        <v>45</v>
      </c>
      <c r="F1035">
        <v>1</v>
      </c>
      <c r="G1035">
        <v>5</v>
      </c>
      <c r="H1035" t="s">
        <v>38</v>
      </c>
      <c r="I1035">
        <v>1459</v>
      </c>
      <c r="J1035">
        <v>3</v>
      </c>
      <c r="K1035" s="17" t="s">
        <v>39</v>
      </c>
      <c r="L1035">
        <v>100</v>
      </c>
      <c r="M1035">
        <v>4</v>
      </c>
      <c r="N1035">
        <v>3</v>
      </c>
      <c r="O1035" s="17" t="s">
        <v>53</v>
      </c>
      <c r="P1035" s="14">
        <v>2</v>
      </c>
      <c r="Q1035" t="s">
        <v>41</v>
      </c>
      <c r="R1035" s="14">
        <v>7446</v>
      </c>
      <c r="S1035" s="17" t="str">
        <f t="shared" si="32"/>
        <v>high</v>
      </c>
      <c r="T1035">
        <v>8931</v>
      </c>
      <c r="U1035">
        <v>1</v>
      </c>
      <c r="V1035" s="17" t="s">
        <v>43</v>
      </c>
      <c r="W1035">
        <v>11</v>
      </c>
      <c r="X1035">
        <v>3</v>
      </c>
      <c r="Y1035">
        <v>1</v>
      </c>
      <c r="Z1035">
        <v>0</v>
      </c>
      <c r="AA1035">
        <v>10</v>
      </c>
      <c r="AB1035">
        <v>2</v>
      </c>
      <c r="AC1035">
        <v>3</v>
      </c>
      <c r="AD1035" s="14">
        <v>10</v>
      </c>
      <c r="AE1035" t="str">
        <f t="shared" si="33"/>
        <v>6-10 years</v>
      </c>
      <c r="AF1035" s="14">
        <v>8</v>
      </c>
      <c r="AG1035" s="14">
        <v>4</v>
      </c>
      <c r="AH1035" s="14">
        <v>7</v>
      </c>
    </row>
    <row r="1036" spans="1:34" x14ac:dyDescent="0.3">
      <c r="A1036" s="14">
        <v>45</v>
      </c>
      <c r="B1036" s="17" t="s">
        <v>43</v>
      </c>
      <c r="C1036" t="s">
        <v>36</v>
      </c>
      <c r="D1036">
        <v>1038</v>
      </c>
      <c r="E1036" s="17" t="s">
        <v>45</v>
      </c>
      <c r="F1036">
        <v>20</v>
      </c>
      <c r="G1036">
        <v>3</v>
      </c>
      <c r="H1036" t="s">
        <v>51</v>
      </c>
      <c r="I1036">
        <v>1460</v>
      </c>
      <c r="J1036">
        <v>2</v>
      </c>
      <c r="K1036" s="17" t="s">
        <v>46</v>
      </c>
      <c r="L1036">
        <v>95</v>
      </c>
      <c r="M1036">
        <v>1</v>
      </c>
      <c r="N1036">
        <v>3</v>
      </c>
      <c r="O1036" s="17" t="s">
        <v>54</v>
      </c>
      <c r="P1036" s="14">
        <v>1</v>
      </c>
      <c r="Q1036" t="s">
        <v>52</v>
      </c>
      <c r="R1036" s="14">
        <v>10851</v>
      </c>
      <c r="S1036" s="17" t="str">
        <f t="shared" si="32"/>
        <v>high</v>
      </c>
      <c r="T1036">
        <v>19863</v>
      </c>
      <c r="U1036">
        <v>2</v>
      </c>
      <c r="V1036" s="17" t="s">
        <v>35</v>
      </c>
      <c r="W1036">
        <v>18</v>
      </c>
      <c r="X1036">
        <v>3</v>
      </c>
      <c r="Y1036">
        <v>2</v>
      </c>
      <c r="Z1036">
        <v>1</v>
      </c>
      <c r="AA1036">
        <v>24</v>
      </c>
      <c r="AB1036">
        <v>2</v>
      </c>
      <c r="AC1036">
        <v>3</v>
      </c>
      <c r="AD1036" s="14">
        <v>7</v>
      </c>
      <c r="AE1036" t="str">
        <f t="shared" si="33"/>
        <v>6-10 years</v>
      </c>
      <c r="AF1036" s="14">
        <v>7</v>
      </c>
      <c r="AG1036" s="14">
        <v>0</v>
      </c>
      <c r="AH1036" s="14">
        <v>7</v>
      </c>
    </row>
    <row r="1037" spans="1:34" x14ac:dyDescent="0.3">
      <c r="A1037" s="14">
        <v>31</v>
      </c>
      <c r="B1037" s="17" t="s">
        <v>43</v>
      </c>
      <c r="C1037" t="s">
        <v>36</v>
      </c>
      <c r="D1037">
        <v>1398</v>
      </c>
      <c r="E1037" s="17" t="s">
        <v>61</v>
      </c>
      <c r="F1037">
        <v>8</v>
      </c>
      <c r="G1037">
        <v>2</v>
      </c>
      <c r="H1037" t="s">
        <v>51</v>
      </c>
      <c r="I1037">
        <v>1461</v>
      </c>
      <c r="J1037">
        <v>4</v>
      </c>
      <c r="K1037" s="17" t="s">
        <v>39</v>
      </c>
      <c r="L1037">
        <v>96</v>
      </c>
      <c r="M1037">
        <v>4</v>
      </c>
      <c r="N1037">
        <v>1</v>
      </c>
      <c r="O1037" s="17" t="s">
        <v>61</v>
      </c>
      <c r="P1037" s="14">
        <v>2</v>
      </c>
      <c r="Q1037" t="s">
        <v>41</v>
      </c>
      <c r="R1037" s="14">
        <v>2109</v>
      </c>
      <c r="S1037" s="17" t="str">
        <f t="shared" si="32"/>
        <v>low</v>
      </c>
      <c r="T1037">
        <v>24609</v>
      </c>
      <c r="U1037">
        <v>9</v>
      </c>
      <c r="V1037" s="17" t="s">
        <v>43</v>
      </c>
      <c r="W1037">
        <v>18</v>
      </c>
      <c r="X1037">
        <v>3</v>
      </c>
      <c r="Y1037">
        <v>4</v>
      </c>
      <c r="Z1037">
        <v>0</v>
      </c>
      <c r="AA1037">
        <v>8</v>
      </c>
      <c r="AB1037">
        <v>3</v>
      </c>
      <c r="AC1037">
        <v>3</v>
      </c>
      <c r="AD1037" s="14">
        <v>3</v>
      </c>
      <c r="AE1037" t="str">
        <f t="shared" si="33"/>
        <v>3-5 years</v>
      </c>
      <c r="AF1037" s="14">
        <v>2</v>
      </c>
      <c r="AG1037" s="14">
        <v>0</v>
      </c>
      <c r="AH1037" s="14">
        <v>2</v>
      </c>
    </row>
    <row r="1038" spans="1:34" x14ac:dyDescent="0.3">
      <c r="A1038" s="14">
        <v>31</v>
      </c>
      <c r="B1038" s="17" t="s">
        <v>35</v>
      </c>
      <c r="C1038" t="s">
        <v>44</v>
      </c>
      <c r="D1038">
        <v>523</v>
      </c>
      <c r="E1038" s="17" t="s">
        <v>45</v>
      </c>
      <c r="F1038">
        <v>2</v>
      </c>
      <c r="G1038">
        <v>3</v>
      </c>
      <c r="H1038" t="s">
        <v>38</v>
      </c>
      <c r="I1038">
        <v>1464</v>
      </c>
      <c r="J1038">
        <v>2</v>
      </c>
      <c r="K1038" s="17" t="s">
        <v>46</v>
      </c>
      <c r="L1038">
        <v>94</v>
      </c>
      <c r="M1038">
        <v>3</v>
      </c>
      <c r="N1038">
        <v>1</v>
      </c>
      <c r="O1038" s="17" t="s">
        <v>50</v>
      </c>
      <c r="P1038" s="14">
        <v>4</v>
      </c>
      <c r="Q1038" t="s">
        <v>48</v>
      </c>
      <c r="R1038" s="14">
        <v>3722</v>
      </c>
      <c r="S1038" s="17" t="str">
        <f t="shared" si="32"/>
        <v>medium</v>
      </c>
      <c r="T1038">
        <v>21081</v>
      </c>
      <c r="U1038">
        <v>6</v>
      </c>
      <c r="V1038" s="17" t="s">
        <v>35</v>
      </c>
      <c r="W1038">
        <v>13</v>
      </c>
      <c r="X1038">
        <v>3</v>
      </c>
      <c r="Y1038">
        <v>3</v>
      </c>
      <c r="Z1038">
        <v>1</v>
      </c>
      <c r="AA1038">
        <v>7</v>
      </c>
      <c r="AB1038">
        <v>2</v>
      </c>
      <c r="AC1038">
        <v>1</v>
      </c>
      <c r="AD1038" s="14">
        <v>2</v>
      </c>
      <c r="AE1038" t="str">
        <f t="shared" si="33"/>
        <v>0-2 years</v>
      </c>
      <c r="AF1038" s="14">
        <v>2</v>
      </c>
      <c r="AG1038" s="14">
        <v>2</v>
      </c>
      <c r="AH1038" s="14">
        <v>2</v>
      </c>
    </row>
    <row r="1039" spans="1:34" x14ac:dyDescent="0.3">
      <c r="A1039" s="14">
        <v>45</v>
      </c>
      <c r="B1039" s="17" t="s">
        <v>43</v>
      </c>
      <c r="C1039" t="s">
        <v>36</v>
      </c>
      <c r="D1039">
        <v>1448</v>
      </c>
      <c r="E1039" s="17" t="s">
        <v>45</v>
      </c>
      <c r="F1039">
        <v>29</v>
      </c>
      <c r="G1039">
        <v>3</v>
      </c>
      <c r="H1039" t="s">
        <v>60</v>
      </c>
      <c r="I1039">
        <v>1465</v>
      </c>
      <c r="J1039">
        <v>2</v>
      </c>
      <c r="K1039" s="17" t="s">
        <v>46</v>
      </c>
      <c r="L1039">
        <v>55</v>
      </c>
      <c r="M1039">
        <v>3</v>
      </c>
      <c r="N1039">
        <v>3</v>
      </c>
      <c r="O1039" s="17" t="s">
        <v>53</v>
      </c>
      <c r="P1039" s="14">
        <v>4</v>
      </c>
      <c r="Q1039" t="s">
        <v>48</v>
      </c>
      <c r="R1039" s="14">
        <v>9380</v>
      </c>
      <c r="S1039" s="17" t="str">
        <f t="shared" si="32"/>
        <v>high</v>
      </c>
      <c r="T1039">
        <v>14720</v>
      </c>
      <c r="U1039">
        <v>4</v>
      </c>
      <c r="V1039" s="17" t="s">
        <v>35</v>
      </c>
      <c r="W1039">
        <v>18</v>
      </c>
      <c r="X1039">
        <v>3</v>
      </c>
      <c r="Y1039">
        <v>4</v>
      </c>
      <c r="Z1039">
        <v>2</v>
      </c>
      <c r="AA1039">
        <v>10</v>
      </c>
      <c r="AB1039">
        <v>4</v>
      </c>
      <c r="AC1039">
        <v>4</v>
      </c>
      <c r="AD1039" s="14">
        <v>3</v>
      </c>
      <c r="AE1039" t="str">
        <f t="shared" si="33"/>
        <v>3-5 years</v>
      </c>
      <c r="AF1039" s="14">
        <v>1</v>
      </c>
      <c r="AG1039" s="14">
        <v>1</v>
      </c>
      <c r="AH1039" s="14">
        <v>2</v>
      </c>
    </row>
    <row r="1040" spans="1:34" x14ac:dyDescent="0.3">
      <c r="A1040" s="14">
        <v>48</v>
      </c>
      <c r="B1040" s="17" t="s">
        <v>43</v>
      </c>
      <c r="C1040" t="s">
        <v>36</v>
      </c>
      <c r="D1040">
        <v>1221</v>
      </c>
      <c r="E1040" s="17" t="s">
        <v>37</v>
      </c>
      <c r="F1040">
        <v>7</v>
      </c>
      <c r="G1040">
        <v>3</v>
      </c>
      <c r="H1040" t="s">
        <v>59</v>
      </c>
      <c r="I1040">
        <v>1466</v>
      </c>
      <c r="J1040">
        <v>3</v>
      </c>
      <c r="K1040" s="17" t="s">
        <v>46</v>
      </c>
      <c r="L1040">
        <v>96</v>
      </c>
      <c r="M1040">
        <v>3</v>
      </c>
      <c r="N1040">
        <v>2</v>
      </c>
      <c r="O1040" s="17" t="s">
        <v>40</v>
      </c>
      <c r="P1040" s="14">
        <v>1</v>
      </c>
      <c r="Q1040" t="s">
        <v>52</v>
      </c>
      <c r="R1040" s="14">
        <v>5486</v>
      </c>
      <c r="S1040" s="17" t="str">
        <f t="shared" si="32"/>
        <v>medium</v>
      </c>
      <c r="T1040">
        <v>24795</v>
      </c>
      <c r="U1040">
        <v>4</v>
      </c>
      <c r="V1040" s="17" t="s">
        <v>43</v>
      </c>
      <c r="W1040">
        <v>11</v>
      </c>
      <c r="X1040">
        <v>3</v>
      </c>
      <c r="Y1040">
        <v>1</v>
      </c>
      <c r="Z1040">
        <v>3</v>
      </c>
      <c r="AA1040">
        <v>15</v>
      </c>
      <c r="AB1040">
        <v>3</v>
      </c>
      <c r="AC1040">
        <v>3</v>
      </c>
      <c r="AD1040" s="14">
        <v>2</v>
      </c>
      <c r="AE1040" t="str">
        <f t="shared" si="33"/>
        <v>0-2 years</v>
      </c>
      <c r="AF1040" s="14">
        <v>2</v>
      </c>
      <c r="AG1040" s="14">
        <v>2</v>
      </c>
      <c r="AH1040" s="14">
        <v>2</v>
      </c>
    </row>
    <row r="1041" spans="1:34" x14ac:dyDescent="0.3">
      <c r="A1041" s="14">
        <v>34</v>
      </c>
      <c r="B1041" s="17" t="s">
        <v>35</v>
      </c>
      <c r="C1041" t="s">
        <v>36</v>
      </c>
      <c r="D1041">
        <v>1107</v>
      </c>
      <c r="E1041" s="17" t="s">
        <v>61</v>
      </c>
      <c r="F1041">
        <v>9</v>
      </c>
      <c r="G1041">
        <v>4</v>
      </c>
      <c r="H1041" t="s">
        <v>60</v>
      </c>
      <c r="I1041">
        <v>1467</v>
      </c>
      <c r="J1041">
        <v>1</v>
      </c>
      <c r="K1041" s="17" t="s">
        <v>39</v>
      </c>
      <c r="L1041">
        <v>52</v>
      </c>
      <c r="M1041">
        <v>3</v>
      </c>
      <c r="N1041">
        <v>1</v>
      </c>
      <c r="O1041" s="17" t="s">
        <v>61</v>
      </c>
      <c r="P1041" s="14">
        <v>3</v>
      </c>
      <c r="Q1041" t="s">
        <v>48</v>
      </c>
      <c r="R1041" s="14">
        <v>2742</v>
      </c>
      <c r="S1041" s="17" t="str">
        <f t="shared" si="32"/>
        <v>low</v>
      </c>
      <c r="T1041">
        <v>3072</v>
      </c>
      <c r="U1041">
        <v>1</v>
      </c>
      <c r="V1041" s="17" t="s">
        <v>43</v>
      </c>
      <c r="W1041">
        <v>15</v>
      </c>
      <c r="X1041">
        <v>3</v>
      </c>
      <c r="Y1041">
        <v>4</v>
      </c>
      <c r="Z1041">
        <v>0</v>
      </c>
      <c r="AA1041">
        <v>2</v>
      </c>
      <c r="AB1041">
        <v>0</v>
      </c>
      <c r="AC1041">
        <v>3</v>
      </c>
      <c r="AD1041" s="14">
        <v>2</v>
      </c>
      <c r="AE1041" t="str">
        <f t="shared" si="33"/>
        <v>0-2 years</v>
      </c>
      <c r="AF1041" s="14">
        <v>2</v>
      </c>
      <c r="AG1041" s="14">
        <v>2</v>
      </c>
      <c r="AH1041" s="14">
        <v>2</v>
      </c>
    </row>
    <row r="1042" spans="1:34" x14ac:dyDescent="0.3">
      <c r="A1042" s="14">
        <v>40</v>
      </c>
      <c r="B1042" s="17" t="s">
        <v>43</v>
      </c>
      <c r="C1042" t="s">
        <v>55</v>
      </c>
      <c r="D1042">
        <v>218</v>
      </c>
      <c r="E1042" s="17" t="s">
        <v>45</v>
      </c>
      <c r="F1042">
        <v>8</v>
      </c>
      <c r="G1042">
        <v>1</v>
      </c>
      <c r="H1042" t="s">
        <v>51</v>
      </c>
      <c r="I1042">
        <v>1468</v>
      </c>
      <c r="J1042">
        <v>4</v>
      </c>
      <c r="K1042" s="17" t="s">
        <v>46</v>
      </c>
      <c r="L1042">
        <v>55</v>
      </c>
      <c r="M1042">
        <v>2</v>
      </c>
      <c r="N1042">
        <v>3</v>
      </c>
      <c r="O1042" s="17" t="s">
        <v>58</v>
      </c>
      <c r="P1042" s="14">
        <v>2</v>
      </c>
      <c r="Q1042" t="s">
        <v>52</v>
      </c>
      <c r="R1042" s="14">
        <v>13757</v>
      </c>
      <c r="S1042" s="17" t="str">
        <f t="shared" si="32"/>
        <v>high</v>
      </c>
      <c r="T1042">
        <v>25178</v>
      </c>
      <c r="U1042">
        <v>2</v>
      </c>
      <c r="V1042" s="17" t="s">
        <v>43</v>
      </c>
      <c r="W1042">
        <v>11</v>
      </c>
      <c r="X1042">
        <v>3</v>
      </c>
      <c r="Y1042">
        <v>3</v>
      </c>
      <c r="Z1042">
        <v>1</v>
      </c>
      <c r="AA1042">
        <v>16</v>
      </c>
      <c r="AB1042">
        <v>5</v>
      </c>
      <c r="AC1042">
        <v>3</v>
      </c>
      <c r="AD1042" s="14">
        <v>9</v>
      </c>
      <c r="AE1042" t="str">
        <f t="shared" si="33"/>
        <v>6-10 years</v>
      </c>
      <c r="AF1042" s="14">
        <v>8</v>
      </c>
      <c r="AG1042" s="14">
        <v>4</v>
      </c>
      <c r="AH1042" s="14">
        <v>8</v>
      </c>
    </row>
    <row r="1043" spans="1:34" x14ac:dyDescent="0.3">
      <c r="A1043" s="14">
        <v>28</v>
      </c>
      <c r="B1043" s="17" t="s">
        <v>43</v>
      </c>
      <c r="C1043" t="s">
        <v>36</v>
      </c>
      <c r="D1043">
        <v>866</v>
      </c>
      <c r="E1043" s="17" t="s">
        <v>37</v>
      </c>
      <c r="F1043">
        <v>5</v>
      </c>
      <c r="G1043">
        <v>3</v>
      </c>
      <c r="H1043" t="s">
        <v>51</v>
      </c>
      <c r="I1043">
        <v>1469</v>
      </c>
      <c r="J1043">
        <v>4</v>
      </c>
      <c r="K1043" s="17" t="s">
        <v>46</v>
      </c>
      <c r="L1043">
        <v>84</v>
      </c>
      <c r="M1043">
        <v>3</v>
      </c>
      <c r="N1043">
        <v>2</v>
      </c>
      <c r="O1043" s="17" t="s">
        <v>40</v>
      </c>
      <c r="P1043" s="14">
        <v>1</v>
      </c>
      <c r="Q1043" t="s">
        <v>41</v>
      </c>
      <c r="R1043" s="14">
        <v>8463</v>
      </c>
      <c r="S1043" s="17" t="str">
        <f t="shared" si="32"/>
        <v>high</v>
      </c>
      <c r="T1043">
        <v>23490</v>
      </c>
      <c r="U1043">
        <v>0</v>
      </c>
      <c r="V1043" s="17" t="s">
        <v>43</v>
      </c>
      <c r="W1043">
        <v>18</v>
      </c>
      <c r="X1043">
        <v>3</v>
      </c>
      <c r="Y1043">
        <v>4</v>
      </c>
      <c r="Z1043">
        <v>0</v>
      </c>
      <c r="AA1043">
        <v>6</v>
      </c>
      <c r="AB1043">
        <v>4</v>
      </c>
      <c r="AC1043">
        <v>3</v>
      </c>
      <c r="AD1043" s="14">
        <v>5</v>
      </c>
      <c r="AE1043" t="str">
        <f t="shared" si="33"/>
        <v>3-5 years</v>
      </c>
      <c r="AF1043" s="14">
        <v>4</v>
      </c>
      <c r="AG1043" s="14">
        <v>1</v>
      </c>
      <c r="AH1043" s="14">
        <v>3</v>
      </c>
    </row>
    <row r="1044" spans="1:34" x14ac:dyDescent="0.3">
      <c r="A1044" s="14">
        <v>44</v>
      </c>
      <c r="B1044" s="17" t="s">
        <v>43</v>
      </c>
      <c r="C1044" t="s">
        <v>55</v>
      </c>
      <c r="D1044">
        <v>981</v>
      </c>
      <c r="E1044" s="17" t="s">
        <v>45</v>
      </c>
      <c r="F1044">
        <v>5</v>
      </c>
      <c r="G1044">
        <v>3</v>
      </c>
      <c r="H1044" t="s">
        <v>38</v>
      </c>
      <c r="I1044">
        <v>1471</v>
      </c>
      <c r="J1044">
        <v>3</v>
      </c>
      <c r="K1044" s="17" t="s">
        <v>46</v>
      </c>
      <c r="L1044">
        <v>90</v>
      </c>
      <c r="M1044">
        <v>2</v>
      </c>
      <c r="N1044">
        <v>1</v>
      </c>
      <c r="O1044" s="17" t="s">
        <v>50</v>
      </c>
      <c r="P1044" s="14">
        <v>3</v>
      </c>
      <c r="Q1044" t="s">
        <v>41</v>
      </c>
      <c r="R1044" s="14">
        <v>3162</v>
      </c>
      <c r="S1044" s="17" t="str">
        <f t="shared" si="32"/>
        <v>medium</v>
      </c>
      <c r="T1044">
        <v>7973</v>
      </c>
      <c r="U1044">
        <v>3</v>
      </c>
      <c r="V1044" s="17" t="s">
        <v>43</v>
      </c>
      <c r="W1044">
        <v>14</v>
      </c>
      <c r="X1044">
        <v>3</v>
      </c>
      <c r="Y1044">
        <v>4</v>
      </c>
      <c r="Z1044">
        <v>0</v>
      </c>
      <c r="AA1044">
        <v>7</v>
      </c>
      <c r="AB1044">
        <v>5</v>
      </c>
      <c r="AC1044">
        <v>3</v>
      </c>
      <c r="AD1044" s="14">
        <v>5</v>
      </c>
      <c r="AE1044" t="str">
        <f t="shared" si="33"/>
        <v>3-5 years</v>
      </c>
      <c r="AF1044" s="14">
        <v>2</v>
      </c>
      <c r="AG1044" s="14">
        <v>0</v>
      </c>
      <c r="AH1044" s="14">
        <v>3</v>
      </c>
    </row>
    <row r="1045" spans="1:34" x14ac:dyDescent="0.3">
      <c r="A1045" s="14">
        <v>53</v>
      </c>
      <c r="B1045" s="17" t="s">
        <v>43</v>
      </c>
      <c r="C1045" t="s">
        <v>36</v>
      </c>
      <c r="D1045">
        <v>447</v>
      </c>
      <c r="E1045" s="17" t="s">
        <v>45</v>
      </c>
      <c r="F1045">
        <v>2</v>
      </c>
      <c r="G1045">
        <v>3</v>
      </c>
      <c r="H1045" t="s">
        <v>51</v>
      </c>
      <c r="I1045">
        <v>1472</v>
      </c>
      <c r="J1045">
        <v>4</v>
      </c>
      <c r="K1045" s="17" t="s">
        <v>46</v>
      </c>
      <c r="L1045">
        <v>39</v>
      </c>
      <c r="M1045">
        <v>4</v>
      </c>
      <c r="N1045">
        <v>4</v>
      </c>
      <c r="O1045" s="17" t="s">
        <v>58</v>
      </c>
      <c r="P1045" s="14">
        <v>2</v>
      </c>
      <c r="Q1045" t="s">
        <v>41</v>
      </c>
      <c r="R1045" s="14">
        <v>16598</v>
      </c>
      <c r="S1045" s="17" t="str">
        <f t="shared" si="32"/>
        <v>high</v>
      </c>
      <c r="T1045">
        <v>19764</v>
      </c>
      <c r="U1045">
        <v>4</v>
      </c>
      <c r="V1045" s="17" t="s">
        <v>43</v>
      </c>
      <c r="W1045">
        <v>12</v>
      </c>
      <c r="X1045">
        <v>3</v>
      </c>
      <c r="Y1045">
        <v>2</v>
      </c>
      <c r="Z1045">
        <v>0</v>
      </c>
      <c r="AA1045">
        <v>35</v>
      </c>
      <c r="AB1045">
        <v>2</v>
      </c>
      <c r="AC1045">
        <v>2</v>
      </c>
      <c r="AD1045" s="14">
        <v>9</v>
      </c>
      <c r="AE1045" t="str">
        <f t="shared" si="33"/>
        <v>6-10 years</v>
      </c>
      <c r="AF1045" s="14">
        <v>8</v>
      </c>
      <c r="AG1045" s="14">
        <v>8</v>
      </c>
      <c r="AH1045" s="14">
        <v>8</v>
      </c>
    </row>
    <row r="1046" spans="1:34" x14ac:dyDescent="0.3">
      <c r="A1046" s="14">
        <v>49</v>
      </c>
      <c r="B1046" s="17" t="s">
        <v>43</v>
      </c>
      <c r="C1046" t="s">
        <v>36</v>
      </c>
      <c r="D1046">
        <v>1495</v>
      </c>
      <c r="E1046" s="17" t="s">
        <v>45</v>
      </c>
      <c r="F1046">
        <v>5</v>
      </c>
      <c r="G1046">
        <v>4</v>
      </c>
      <c r="H1046" t="s">
        <v>60</v>
      </c>
      <c r="I1046">
        <v>1473</v>
      </c>
      <c r="J1046">
        <v>1</v>
      </c>
      <c r="K1046" s="17" t="s">
        <v>46</v>
      </c>
      <c r="L1046">
        <v>96</v>
      </c>
      <c r="M1046">
        <v>3</v>
      </c>
      <c r="N1046">
        <v>2</v>
      </c>
      <c r="O1046" s="17" t="s">
        <v>54</v>
      </c>
      <c r="P1046" s="14">
        <v>3</v>
      </c>
      <c r="Q1046" t="s">
        <v>48</v>
      </c>
      <c r="R1046" s="14">
        <v>6651</v>
      </c>
      <c r="S1046" s="17" t="str">
        <f t="shared" si="32"/>
        <v>medium</v>
      </c>
      <c r="T1046">
        <v>21534</v>
      </c>
      <c r="U1046">
        <v>2</v>
      </c>
      <c r="V1046" s="17" t="s">
        <v>43</v>
      </c>
      <c r="W1046">
        <v>14</v>
      </c>
      <c r="X1046">
        <v>3</v>
      </c>
      <c r="Y1046">
        <v>2</v>
      </c>
      <c r="Z1046">
        <v>1</v>
      </c>
      <c r="AA1046">
        <v>20</v>
      </c>
      <c r="AB1046">
        <v>0</v>
      </c>
      <c r="AC1046">
        <v>2</v>
      </c>
      <c r="AD1046" s="14">
        <v>3</v>
      </c>
      <c r="AE1046" t="str">
        <f t="shared" si="33"/>
        <v>3-5 years</v>
      </c>
      <c r="AF1046" s="14">
        <v>2</v>
      </c>
      <c r="AG1046" s="14">
        <v>1</v>
      </c>
      <c r="AH1046" s="14">
        <v>2</v>
      </c>
    </row>
    <row r="1047" spans="1:34" x14ac:dyDescent="0.3">
      <c r="A1047" s="14">
        <v>40</v>
      </c>
      <c r="B1047" s="17" t="s">
        <v>43</v>
      </c>
      <c r="C1047" t="s">
        <v>36</v>
      </c>
      <c r="D1047">
        <v>896</v>
      </c>
      <c r="E1047" s="17" t="s">
        <v>45</v>
      </c>
      <c r="F1047">
        <v>2</v>
      </c>
      <c r="G1047">
        <v>3</v>
      </c>
      <c r="H1047" t="s">
        <v>51</v>
      </c>
      <c r="I1047">
        <v>1474</v>
      </c>
      <c r="J1047">
        <v>3</v>
      </c>
      <c r="K1047" s="17" t="s">
        <v>46</v>
      </c>
      <c r="L1047">
        <v>68</v>
      </c>
      <c r="M1047">
        <v>3</v>
      </c>
      <c r="N1047">
        <v>1</v>
      </c>
      <c r="O1047" s="17" t="s">
        <v>47</v>
      </c>
      <c r="P1047" s="14">
        <v>3</v>
      </c>
      <c r="Q1047" t="s">
        <v>52</v>
      </c>
      <c r="R1047" s="14">
        <v>2345</v>
      </c>
      <c r="S1047" s="17" t="str">
        <f t="shared" si="32"/>
        <v>low</v>
      </c>
      <c r="T1047">
        <v>8045</v>
      </c>
      <c r="U1047">
        <v>2</v>
      </c>
      <c r="V1047" s="17" t="s">
        <v>43</v>
      </c>
      <c r="W1047">
        <v>14</v>
      </c>
      <c r="X1047">
        <v>3</v>
      </c>
      <c r="Y1047">
        <v>3</v>
      </c>
      <c r="Z1047">
        <v>1</v>
      </c>
      <c r="AA1047">
        <v>8</v>
      </c>
      <c r="AB1047">
        <v>3</v>
      </c>
      <c r="AC1047">
        <v>4</v>
      </c>
      <c r="AD1047" s="14">
        <v>3</v>
      </c>
      <c r="AE1047" t="str">
        <f t="shared" si="33"/>
        <v>3-5 years</v>
      </c>
      <c r="AF1047" s="14">
        <v>1</v>
      </c>
      <c r="AG1047" s="14">
        <v>1</v>
      </c>
      <c r="AH1047" s="14">
        <v>2</v>
      </c>
    </row>
    <row r="1048" spans="1:34" x14ac:dyDescent="0.3">
      <c r="A1048" s="14">
        <v>44</v>
      </c>
      <c r="B1048" s="17" t="s">
        <v>43</v>
      </c>
      <c r="C1048" t="s">
        <v>36</v>
      </c>
      <c r="D1048">
        <v>1467</v>
      </c>
      <c r="E1048" s="17" t="s">
        <v>45</v>
      </c>
      <c r="F1048">
        <v>20</v>
      </c>
      <c r="G1048">
        <v>3</v>
      </c>
      <c r="H1048" t="s">
        <v>38</v>
      </c>
      <c r="I1048">
        <v>1475</v>
      </c>
      <c r="J1048">
        <v>4</v>
      </c>
      <c r="K1048" s="17" t="s">
        <v>46</v>
      </c>
      <c r="L1048">
        <v>49</v>
      </c>
      <c r="M1048">
        <v>3</v>
      </c>
      <c r="N1048">
        <v>1</v>
      </c>
      <c r="O1048" s="17" t="s">
        <v>47</v>
      </c>
      <c r="P1048" s="14">
        <v>2</v>
      </c>
      <c r="Q1048" t="s">
        <v>41</v>
      </c>
      <c r="R1048" s="14">
        <v>3420</v>
      </c>
      <c r="S1048" s="17" t="str">
        <f t="shared" si="32"/>
        <v>medium</v>
      </c>
      <c r="T1048">
        <v>21158</v>
      </c>
      <c r="U1048">
        <v>1</v>
      </c>
      <c r="V1048" s="17" t="s">
        <v>43</v>
      </c>
      <c r="W1048">
        <v>13</v>
      </c>
      <c r="X1048">
        <v>3</v>
      </c>
      <c r="Y1048">
        <v>3</v>
      </c>
      <c r="Z1048">
        <v>0</v>
      </c>
      <c r="AA1048">
        <v>6</v>
      </c>
      <c r="AB1048">
        <v>3</v>
      </c>
      <c r="AC1048">
        <v>2</v>
      </c>
      <c r="AD1048" s="14">
        <v>5</v>
      </c>
      <c r="AE1048" t="str">
        <f t="shared" si="33"/>
        <v>3-5 years</v>
      </c>
      <c r="AF1048" s="14">
        <v>2</v>
      </c>
      <c r="AG1048" s="14">
        <v>1</v>
      </c>
      <c r="AH1048" s="14">
        <v>3</v>
      </c>
    </row>
    <row r="1049" spans="1:34" x14ac:dyDescent="0.3">
      <c r="A1049" s="14">
        <v>33</v>
      </c>
      <c r="B1049" s="17" t="s">
        <v>43</v>
      </c>
      <c r="C1049" t="s">
        <v>44</v>
      </c>
      <c r="D1049">
        <v>430</v>
      </c>
      <c r="E1049" s="17" t="s">
        <v>37</v>
      </c>
      <c r="F1049">
        <v>7</v>
      </c>
      <c r="G1049">
        <v>3</v>
      </c>
      <c r="H1049" t="s">
        <v>51</v>
      </c>
      <c r="I1049">
        <v>1477</v>
      </c>
      <c r="J1049">
        <v>4</v>
      </c>
      <c r="K1049" s="17" t="s">
        <v>46</v>
      </c>
      <c r="L1049">
        <v>54</v>
      </c>
      <c r="M1049">
        <v>3</v>
      </c>
      <c r="N1049">
        <v>2</v>
      </c>
      <c r="O1049" s="17" t="s">
        <v>40</v>
      </c>
      <c r="P1049" s="14">
        <v>1</v>
      </c>
      <c r="Q1049" t="s">
        <v>48</v>
      </c>
      <c r="R1049" s="14">
        <v>4373</v>
      </c>
      <c r="S1049" s="17" t="str">
        <f t="shared" si="32"/>
        <v>medium</v>
      </c>
      <c r="T1049">
        <v>17456</v>
      </c>
      <c r="U1049">
        <v>0</v>
      </c>
      <c r="V1049" s="17" t="s">
        <v>43</v>
      </c>
      <c r="W1049">
        <v>14</v>
      </c>
      <c r="X1049">
        <v>3</v>
      </c>
      <c r="Y1049">
        <v>1</v>
      </c>
      <c r="Z1049">
        <v>2</v>
      </c>
      <c r="AA1049">
        <v>5</v>
      </c>
      <c r="AB1049">
        <v>2</v>
      </c>
      <c r="AC1049">
        <v>3</v>
      </c>
      <c r="AD1049" s="14">
        <v>4</v>
      </c>
      <c r="AE1049" t="str">
        <f t="shared" si="33"/>
        <v>3-5 years</v>
      </c>
      <c r="AF1049" s="14">
        <v>3</v>
      </c>
      <c r="AG1049" s="14">
        <v>0</v>
      </c>
      <c r="AH1049" s="14">
        <v>3</v>
      </c>
    </row>
    <row r="1050" spans="1:34" x14ac:dyDescent="0.3">
      <c r="A1050" s="14">
        <v>34</v>
      </c>
      <c r="B1050" s="17" t="s">
        <v>43</v>
      </c>
      <c r="C1050" t="s">
        <v>36</v>
      </c>
      <c r="D1050">
        <v>1326</v>
      </c>
      <c r="E1050" s="17" t="s">
        <v>37</v>
      </c>
      <c r="F1050">
        <v>3</v>
      </c>
      <c r="G1050">
        <v>3</v>
      </c>
      <c r="H1050" t="s">
        <v>49</v>
      </c>
      <c r="I1050">
        <v>1478</v>
      </c>
      <c r="J1050">
        <v>4</v>
      </c>
      <c r="K1050" s="17" t="s">
        <v>46</v>
      </c>
      <c r="L1050">
        <v>81</v>
      </c>
      <c r="M1050">
        <v>1</v>
      </c>
      <c r="N1050">
        <v>2</v>
      </c>
      <c r="O1050" s="17" t="s">
        <v>40</v>
      </c>
      <c r="P1050" s="14">
        <v>1</v>
      </c>
      <c r="Q1050" t="s">
        <v>41</v>
      </c>
      <c r="R1050" s="14">
        <v>4759</v>
      </c>
      <c r="S1050" s="17" t="str">
        <f t="shared" si="32"/>
        <v>medium</v>
      </c>
      <c r="T1050">
        <v>15891</v>
      </c>
      <c r="U1050">
        <v>3</v>
      </c>
      <c r="V1050" s="17" t="s">
        <v>43</v>
      </c>
      <c r="W1050">
        <v>18</v>
      </c>
      <c r="X1050">
        <v>3</v>
      </c>
      <c r="Y1050">
        <v>4</v>
      </c>
      <c r="Z1050">
        <v>0</v>
      </c>
      <c r="AA1050">
        <v>15</v>
      </c>
      <c r="AB1050">
        <v>2</v>
      </c>
      <c r="AC1050">
        <v>3</v>
      </c>
      <c r="AD1050" s="14">
        <v>13</v>
      </c>
      <c r="AE1050" t="str">
        <f t="shared" si="33"/>
        <v>10+ years</v>
      </c>
      <c r="AF1050" s="14">
        <v>9</v>
      </c>
      <c r="AG1050" s="14">
        <v>3</v>
      </c>
      <c r="AH1050" s="14">
        <v>12</v>
      </c>
    </row>
    <row r="1051" spans="1:34" x14ac:dyDescent="0.3">
      <c r="A1051" s="14">
        <v>30</v>
      </c>
      <c r="B1051" s="17" t="s">
        <v>43</v>
      </c>
      <c r="C1051" t="s">
        <v>36</v>
      </c>
      <c r="D1051">
        <v>1358</v>
      </c>
      <c r="E1051" s="17" t="s">
        <v>37</v>
      </c>
      <c r="F1051">
        <v>16</v>
      </c>
      <c r="G1051">
        <v>1</v>
      </c>
      <c r="H1051" t="s">
        <v>38</v>
      </c>
      <c r="I1051">
        <v>1479</v>
      </c>
      <c r="J1051">
        <v>4</v>
      </c>
      <c r="K1051" s="17" t="s">
        <v>46</v>
      </c>
      <c r="L1051">
        <v>96</v>
      </c>
      <c r="M1051">
        <v>3</v>
      </c>
      <c r="N1051">
        <v>2</v>
      </c>
      <c r="O1051" s="17" t="s">
        <v>40</v>
      </c>
      <c r="P1051" s="14">
        <v>3</v>
      </c>
      <c r="Q1051" t="s">
        <v>48</v>
      </c>
      <c r="R1051" s="14">
        <v>5301</v>
      </c>
      <c r="S1051" s="17" t="str">
        <f t="shared" si="32"/>
        <v>medium</v>
      </c>
      <c r="T1051">
        <v>2939</v>
      </c>
      <c r="U1051">
        <v>8</v>
      </c>
      <c r="V1051" s="17" t="s">
        <v>43</v>
      </c>
      <c r="W1051">
        <v>15</v>
      </c>
      <c r="X1051">
        <v>3</v>
      </c>
      <c r="Y1051">
        <v>3</v>
      </c>
      <c r="Z1051">
        <v>2</v>
      </c>
      <c r="AA1051">
        <v>4</v>
      </c>
      <c r="AB1051">
        <v>2</v>
      </c>
      <c r="AC1051">
        <v>2</v>
      </c>
      <c r="AD1051" s="14">
        <v>2</v>
      </c>
      <c r="AE1051" t="str">
        <f t="shared" si="33"/>
        <v>0-2 years</v>
      </c>
      <c r="AF1051" s="14">
        <v>1</v>
      </c>
      <c r="AG1051" s="14">
        <v>2</v>
      </c>
      <c r="AH1051" s="14">
        <v>2</v>
      </c>
    </row>
    <row r="1052" spans="1:34" x14ac:dyDescent="0.3">
      <c r="A1052" s="14">
        <v>42</v>
      </c>
      <c r="B1052" s="17" t="s">
        <v>43</v>
      </c>
      <c r="C1052" t="s">
        <v>44</v>
      </c>
      <c r="D1052">
        <v>748</v>
      </c>
      <c r="E1052" s="17" t="s">
        <v>45</v>
      </c>
      <c r="F1052">
        <v>9</v>
      </c>
      <c r="G1052">
        <v>2</v>
      </c>
      <c r="H1052" t="s">
        <v>51</v>
      </c>
      <c r="I1052">
        <v>1480</v>
      </c>
      <c r="J1052">
        <v>1</v>
      </c>
      <c r="K1052" s="17" t="s">
        <v>39</v>
      </c>
      <c r="L1052">
        <v>74</v>
      </c>
      <c r="M1052">
        <v>3</v>
      </c>
      <c r="N1052">
        <v>1</v>
      </c>
      <c r="O1052" s="17" t="s">
        <v>50</v>
      </c>
      <c r="P1052" s="14">
        <v>4</v>
      </c>
      <c r="Q1052" t="s">
        <v>41</v>
      </c>
      <c r="R1052" s="14">
        <v>3673</v>
      </c>
      <c r="S1052" s="17" t="str">
        <f t="shared" si="32"/>
        <v>medium</v>
      </c>
      <c r="T1052">
        <v>16458</v>
      </c>
      <c r="U1052">
        <v>1</v>
      </c>
      <c r="V1052" s="17" t="s">
        <v>43</v>
      </c>
      <c r="W1052">
        <v>13</v>
      </c>
      <c r="X1052">
        <v>3</v>
      </c>
      <c r="Y1052">
        <v>3</v>
      </c>
      <c r="Z1052">
        <v>0</v>
      </c>
      <c r="AA1052">
        <v>12</v>
      </c>
      <c r="AB1052">
        <v>3</v>
      </c>
      <c r="AC1052">
        <v>3</v>
      </c>
      <c r="AD1052" s="14">
        <v>12</v>
      </c>
      <c r="AE1052" t="str">
        <f t="shared" si="33"/>
        <v>10+ years</v>
      </c>
      <c r="AF1052" s="14">
        <v>9</v>
      </c>
      <c r="AG1052" s="14">
        <v>5</v>
      </c>
      <c r="AH1052" s="14">
        <v>8</v>
      </c>
    </row>
    <row r="1053" spans="1:34" x14ac:dyDescent="0.3">
      <c r="A1053" s="14">
        <v>44</v>
      </c>
      <c r="B1053" s="17" t="s">
        <v>43</v>
      </c>
      <c r="C1053" t="s">
        <v>44</v>
      </c>
      <c r="D1053">
        <v>383</v>
      </c>
      <c r="E1053" s="17" t="s">
        <v>37</v>
      </c>
      <c r="F1053">
        <v>1</v>
      </c>
      <c r="G1053">
        <v>5</v>
      </c>
      <c r="H1053" t="s">
        <v>59</v>
      </c>
      <c r="I1053">
        <v>1481</v>
      </c>
      <c r="J1053">
        <v>1</v>
      </c>
      <c r="K1053" s="17" t="s">
        <v>39</v>
      </c>
      <c r="L1053">
        <v>79</v>
      </c>
      <c r="M1053">
        <v>3</v>
      </c>
      <c r="N1053">
        <v>2</v>
      </c>
      <c r="O1053" s="17" t="s">
        <v>40</v>
      </c>
      <c r="P1053" s="14">
        <v>3</v>
      </c>
      <c r="Q1053" t="s">
        <v>48</v>
      </c>
      <c r="R1053" s="14">
        <v>4768</v>
      </c>
      <c r="S1053" s="17" t="str">
        <f t="shared" si="32"/>
        <v>medium</v>
      </c>
      <c r="T1053">
        <v>9282</v>
      </c>
      <c r="U1053">
        <v>7</v>
      </c>
      <c r="V1053" s="17" t="s">
        <v>43</v>
      </c>
      <c r="W1053">
        <v>12</v>
      </c>
      <c r="X1053">
        <v>3</v>
      </c>
      <c r="Y1053">
        <v>3</v>
      </c>
      <c r="Z1053">
        <v>1</v>
      </c>
      <c r="AA1053">
        <v>11</v>
      </c>
      <c r="AB1053">
        <v>4</v>
      </c>
      <c r="AC1053">
        <v>2</v>
      </c>
      <c r="AD1053" s="14">
        <v>1</v>
      </c>
      <c r="AE1053" t="str">
        <f t="shared" si="33"/>
        <v>0-2 years</v>
      </c>
      <c r="AF1053" s="14">
        <v>0</v>
      </c>
      <c r="AG1053" s="14">
        <v>0</v>
      </c>
      <c r="AH1053" s="14">
        <v>0</v>
      </c>
    </row>
    <row r="1054" spans="1:34" x14ac:dyDescent="0.3">
      <c r="A1054" s="14">
        <v>30</v>
      </c>
      <c r="B1054" s="17" t="s">
        <v>43</v>
      </c>
      <c r="C1054" t="s">
        <v>55</v>
      </c>
      <c r="D1054">
        <v>990</v>
      </c>
      <c r="E1054" s="17" t="s">
        <v>45</v>
      </c>
      <c r="F1054">
        <v>7</v>
      </c>
      <c r="G1054">
        <v>3</v>
      </c>
      <c r="H1054" t="s">
        <v>60</v>
      </c>
      <c r="I1054">
        <v>1482</v>
      </c>
      <c r="J1054">
        <v>3</v>
      </c>
      <c r="K1054" s="17" t="s">
        <v>46</v>
      </c>
      <c r="L1054">
        <v>64</v>
      </c>
      <c r="M1054">
        <v>3</v>
      </c>
      <c r="N1054">
        <v>1</v>
      </c>
      <c r="O1054" s="17" t="s">
        <v>47</v>
      </c>
      <c r="P1054" s="14">
        <v>3</v>
      </c>
      <c r="Q1054" t="s">
        <v>52</v>
      </c>
      <c r="R1054" s="14">
        <v>1274</v>
      </c>
      <c r="S1054" s="17" t="str">
        <f t="shared" si="32"/>
        <v>low</v>
      </c>
      <c r="T1054">
        <v>7152</v>
      </c>
      <c r="U1054">
        <v>1</v>
      </c>
      <c r="V1054" s="17" t="s">
        <v>43</v>
      </c>
      <c r="W1054">
        <v>13</v>
      </c>
      <c r="X1054">
        <v>3</v>
      </c>
      <c r="Y1054">
        <v>2</v>
      </c>
      <c r="Z1054">
        <v>2</v>
      </c>
      <c r="AA1054">
        <v>1</v>
      </c>
      <c r="AB1054">
        <v>2</v>
      </c>
      <c r="AC1054">
        <v>2</v>
      </c>
      <c r="AD1054" s="14">
        <v>1</v>
      </c>
      <c r="AE1054" t="str">
        <f t="shared" si="33"/>
        <v>0-2 years</v>
      </c>
      <c r="AF1054" s="14">
        <v>0</v>
      </c>
      <c r="AG1054" s="14">
        <v>0</v>
      </c>
      <c r="AH1054" s="14">
        <v>0</v>
      </c>
    </row>
    <row r="1055" spans="1:34" x14ac:dyDescent="0.3">
      <c r="A1055" s="14">
        <v>57</v>
      </c>
      <c r="B1055" s="17" t="s">
        <v>43</v>
      </c>
      <c r="C1055" t="s">
        <v>36</v>
      </c>
      <c r="D1055">
        <v>405</v>
      </c>
      <c r="E1055" s="17" t="s">
        <v>45</v>
      </c>
      <c r="F1055">
        <v>1</v>
      </c>
      <c r="G1055">
        <v>2</v>
      </c>
      <c r="H1055" t="s">
        <v>38</v>
      </c>
      <c r="I1055">
        <v>1483</v>
      </c>
      <c r="J1055">
        <v>2</v>
      </c>
      <c r="K1055" s="17" t="s">
        <v>46</v>
      </c>
      <c r="L1055">
        <v>93</v>
      </c>
      <c r="M1055">
        <v>4</v>
      </c>
      <c r="N1055">
        <v>2</v>
      </c>
      <c r="O1055" s="17" t="s">
        <v>47</v>
      </c>
      <c r="P1055" s="14">
        <v>3</v>
      </c>
      <c r="Q1055" t="s">
        <v>48</v>
      </c>
      <c r="R1055" s="14">
        <v>4900</v>
      </c>
      <c r="S1055" s="17" t="str">
        <f t="shared" si="32"/>
        <v>medium</v>
      </c>
      <c r="T1055">
        <v>2721</v>
      </c>
      <c r="U1055">
        <v>0</v>
      </c>
      <c r="V1055" s="17" t="s">
        <v>43</v>
      </c>
      <c r="W1055">
        <v>24</v>
      </c>
      <c r="X1055">
        <v>4</v>
      </c>
      <c r="Y1055">
        <v>1</v>
      </c>
      <c r="Z1055">
        <v>1</v>
      </c>
      <c r="AA1055">
        <v>13</v>
      </c>
      <c r="AB1055">
        <v>2</v>
      </c>
      <c r="AC1055">
        <v>2</v>
      </c>
      <c r="AD1055" s="14">
        <v>12</v>
      </c>
      <c r="AE1055" t="str">
        <f t="shared" si="33"/>
        <v>10+ years</v>
      </c>
      <c r="AF1055" s="14">
        <v>9</v>
      </c>
      <c r="AG1055" s="14">
        <v>2</v>
      </c>
      <c r="AH1055" s="14">
        <v>8</v>
      </c>
    </row>
    <row r="1056" spans="1:34" x14ac:dyDescent="0.3">
      <c r="A1056" s="14">
        <v>49</v>
      </c>
      <c r="B1056" s="17" t="s">
        <v>43</v>
      </c>
      <c r="C1056" t="s">
        <v>36</v>
      </c>
      <c r="D1056">
        <v>1490</v>
      </c>
      <c r="E1056" s="17" t="s">
        <v>45</v>
      </c>
      <c r="F1056">
        <v>7</v>
      </c>
      <c r="G1056">
        <v>4</v>
      </c>
      <c r="H1056" t="s">
        <v>38</v>
      </c>
      <c r="I1056">
        <v>1484</v>
      </c>
      <c r="J1056">
        <v>3</v>
      </c>
      <c r="K1056" s="17" t="s">
        <v>46</v>
      </c>
      <c r="L1056">
        <v>35</v>
      </c>
      <c r="M1056">
        <v>3</v>
      </c>
      <c r="N1056">
        <v>3</v>
      </c>
      <c r="O1056" s="17" t="s">
        <v>54</v>
      </c>
      <c r="P1056" s="14">
        <v>2</v>
      </c>
      <c r="Q1056" t="s">
        <v>52</v>
      </c>
      <c r="R1056" s="14">
        <v>10466</v>
      </c>
      <c r="S1056" s="17" t="str">
        <f t="shared" si="32"/>
        <v>high</v>
      </c>
      <c r="T1056">
        <v>20948</v>
      </c>
      <c r="U1056">
        <v>3</v>
      </c>
      <c r="V1056" s="17" t="s">
        <v>43</v>
      </c>
      <c r="W1056">
        <v>14</v>
      </c>
      <c r="X1056">
        <v>3</v>
      </c>
      <c r="Y1056">
        <v>2</v>
      </c>
      <c r="Z1056">
        <v>2</v>
      </c>
      <c r="AA1056">
        <v>29</v>
      </c>
      <c r="AB1056">
        <v>3</v>
      </c>
      <c r="AC1056">
        <v>3</v>
      </c>
      <c r="AD1056" s="14">
        <v>8</v>
      </c>
      <c r="AE1056" t="str">
        <f t="shared" si="33"/>
        <v>6-10 years</v>
      </c>
      <c r="AF1056" s="14">
        <v>7</v>
      </c>
      <c r="AG1056" s="14">
        <v>0</v>
      </c>
      <c r="AH1056" s="14">
        <v>7</v>
      </c>
    </row>
    <row r="1057" spans="1:34" x14ac:dyDescent="0.3">
      <c r="A1057" s="14">
        <v>34</v>
      </c>
      <c r="B1057" s="17" t="s">
        <v>43</v>
      </c>
      <c r="C1057" t="s">
        <v>44</v>
      </c>
      <c r="D1057">
        <v>829</v>
      </c>
      <c r="E1057" s="17" t="s">
        <v>45</v>
      </c>
      <c r="F1057">
        <v>15</v>
      </c>
      <c r="G1057">
        <v>3</v>
      </c>
      <c r="H1057" t="s">
        <v>51</v>
      </c>
      <c r="I1057">
        <v>1485</v>
      </c>
      <c r="J1057">
        <v>2</v>
      </c>
      <c r="K1057" s="17" t="s">
        <v>46</v>
      </c>
      <c r="L1057">
        <v>71</v>
      </c>
      <c r="M1057">
        <v>3</v>
      </c>
      <c r="N1057">
        <v>4</v>
      </c>
      <c r="O1057" s="17" t="s">
        <v>58</v>
      </c>
      <c r="P1057" s="14">
        <v>1</v>
      </c>
      <c r="Q1057" t="s">
        <v>52</v>
      </c>
      <c r="R1057" s="14">
        <v>17007</v>
      </c>
      <c r="S1057" s="17" t="str">
        <f t="shared" si="32"/>
        <v>high</v>
      </c>
      <c r="T1057">
        <v>11929</v>
      </c>
      <c r="U1057">
        <v>7</v>
      </c>
      <c r="V1057" s="17" t="s">
        <v>43</v>
      </c>
      <c r="W1057">
        <v>14</v>
      </c>
      <c r="X1057">
        <v>3</v>
      </c>
      <c r="Y1057">
        <v>4</v>
      </c>
      <c r="Z1057">
        <v>2</v>
      </c>
      <c r="AA1057">
        <v>16</v>
      </c>
      <c r="AB1057">
        <v>3</v>
      </c>
      <c r="AC1057">
        <v>2</v>
      </c>
      <c r="AD1057" s="14">
        <v>14</v>
      </c>
      <c r="AE1057" t="str">
        <f t="shared" si="33"/>
        <v>10+ years</v>
      </c>
      <c r="AF1057" s="14">
        <v>8</v>
      </c>
      <c r="AG1057" s="14">
        <v>6</v>
      </c>
      <c r="AH1057" s="14">
        <v>9</v>
      </c>
    </row>
    <row r="1058" spans="1:34" x14ac:dyDescent="0.3">
      <c r="A1058" s="14">
        <v>28</v>
      </c>
      <c r="B1058" s="17" t="s">
        <v>35</v>
      </c>
      <c r="C1058" t="s">
        <v>44</v>
      </c>
      <c r="D1058">
        <v>1496</v>
      </c>
      <c r="E1058" s="17" t="s">
        <v>37</v>
      </c>
      <c r="F1058">
        <v>1</v>
      </c>
      <c r="G1058">
        <v>3</v>
      </c>
      <c r="H1058" t="s">
        <v>60</v>
      </c>
      <c r="I1058">
        <v>1486</v>
      </c>
      <c r="J1058">
        <v>1</v>
      </c>
      <c r="K1058" s="17" t="s">
        <v>46</v>
      </c>
      <c r="L1058">
        <v>92</v>
      </c>
      <c r="M1058">
        <v>3</v>
      </c>
      <c r="N1058">
        <v>1</v>
      </c>
      <c r="O1058" s="17" t="s">
        <v>57</v>
      </c>
      <c r="P1058" s="14">
        <v>3</v>
      </c>
      <c r="Q1058" t="s">
        <v>48</v>
      </c>
      <c r="R1058" s="14">
        <v>2909</v>
      </c>
      <c r="S1058" s="17" t="str">
        <f t="shared" si="32"/>
        <v>low</v>
      </c>
      <c r="T1058">
        <v>15747</v>
      </c>
      <c r="U1058">
        <v>3</v>
      </c>
      <c r="V1058" s="17" t="s">
        <v>43</v>
      </c>
      <c r="W1058">
        <v>15</v>
      </c>
      <c r="X1058">
        <v>3</v>
      </c>
      <c r="Y1058">
        <v>4</v>
      </c>
      <c r="Z1058">
        <v>1</v>
      </c>
      <c r="AA1058">
        <v>5</v>
      </c>
      <c r="AB1058">
        <v>3</v>
      </c>
      <c r="AC1058">
        <v>4</v>
      </c>
      <c r="AD1058" s="14">
        <v>3</v>
      </c>
      <c r="AE1058" t="str">
        <f t="shared" si="33"/>
        <v>3-5 years</v>
      </c>
      <c r="AF1058" s="14">
        <v>2</v>
      </c>
      <c r="AG1058" s="14">
        <v>1</v>
      </c>
      <c r="AH1058" s="14">
        <v>2</v>
      </c>
    </row>
    <row r="1059" spans="1:34" x14ac:dyDescent="0.3">
      <c r="A1059" s="14">
        <v>29</v>
      </c>
      <c r="B1059" s="17" t="s">
        <v>35</v>
      </c>
      <c r="C1059" t="s">
        <v>44</v>
      </c>
      <c r="D1059">
        <v>115</v>
      </c>
      <c r="E1059" s="17" t="s">
        <v>37</v>
      </c>
      <c r="F1059">
        <v>13</v>
      </c>
      <c r="G1059">
        <v>3</v>
      </c>
      <c r="H1059" t="s">
        <v>60</v>
      </c>
      <c r="I1059">
        <v>1487</v>
      </c>
      <c r="J1059">
        <v>1</v>
      </c>
      <c r="K1059" s="17" t="s">
        <v>39</v>
      </c>
      <c r="L1059">
        <v>51</v>
      </c>
      <c r="M1059">
        <v>3</v>
      </c>
      <c r="N1059">
        <v>2</v>
      </c>
      <c r="O1059" s="17" t="s">
        <v>40</v>
      </c>
      <c r="P1059" s="14">
        <v>2</v>
      </c>
      <c r="Q1059" t="s">
        <v>41</v>
      </c>
      <c r="R1059" s="14">
        <v>5765</v>
      </c>
      <c r="S1059" s="17" t="str">
        <f t="shared" si="32"/>
        <v>medium</v>
      </c>
      <c r="T1059">
        <v>17485</v>
      </c>
      <c r="U1059">
        <v>5</v>
      </c>
      <c r="V1059" s="17" t="s">
        <v>43</v>
      </c>
      <c r="W1059">
        <v>11</v>
      </c>
      <c r="X1059">
        <v>3</v>
      </c>
      <c r="Y1059">
        <v>1</v>
      </c>
      <c r="Z1059">
        <v>0</v>
      </c>
      <c r="AA1059">
        <v>7</v>
      </c>
      <c r="AB1059">
        <v>4</v>
      </c>
      <c r="AC1059">
        <v>1</v>
      </c>
      <c r="AD1059" s="14">
        <v>5</v>
      </c>
      <c r="AE1059" t="str">
        <f t="shared" si="33"/>
        <v>3-5 years</v>
      </c>
      <c r="AF1059" s="14">
        <v>3</v>
      </c>
      <c r="AG1059" s="14">
        <v>0</v>
      </c>
      <c r="AH1059" s="14">
        <v>0</v>
      </c>
    </row>
    <row r="1060" spans="1:34" x14ac:dyDescent="0.3">
      <c r="A1060" s="14">
        <v>34</v>
      </c>
      <c r="B1060" s="17" t="s">
        <v>35</v>
      </c>
      <c r="C1060" t="s">
        <v>36</v>
      </c>
      <c r="D1060">
        <v>790</v>
      </c>
      <c r="E1060" s="17" t="s">
        <v>37</v>
      </c>
      <c r="F1060">
        <v>24</v>
      </c>
      <c r="G1060">
        <v>4</v>
      </c>
      <c r="H1060" t="s">
        <v>51</v>
      </c>
      <c r="I1060">
        <v>1489</v>
      </c>
      <c r="J1060">
        <v>1</v>
      </c>
      <c r="K1060" s="17" t="s">
        <v>39</v>
      </c>
      <c r="L1060">
        <v>40</v>
      </c>
      <c r="M1060">
        <v>2</v>
      </c>
      <c r="N1060">
        <v>2</v>
      </c>
      <c r="O1060" s="17" t="s">
        <v>40</v>
      </c>
      <c r="P1060" s="14">
        <v>2</v>
      </c>
      <c r="Q1060" t="s">
        <v>41</v>
      </c>
      <c r="R1060" s="14">
        <v>4599</v>
      </c>
      <c r="S1060" s="17" t="str">
        <f t="shared" si="32"/>
        <v>medium</v>
      </c>
      <c r="T1060">
        <v>7815</v>
      </c>
      <c r="U1060">
        <v>0</v>
      </c>
      <c r="V1060" s="17" t="s">
        <v>35</v>
      </c>
      <c r="W1060">
        <v>23</v>
      </c>
      <c r="X1060">
        <v>4</v>
      </c>
      <c r="Y1060">
        <v>3</v>
      </c>
      <c r="Z1060">
        <v>0</v>
      </c>
      <c r="AA1060">
        <v>16</v>
      </c>
      <c r="AB1060">
        <v>2</v>
      </c>
      <c r="AC1060">
        <v>4</v>
      </c>
      <c r="AD1060" s="14">
        <v>15</v>
      </c>
      <c r="AE1060" t="str">
        <f t="shared" si="33"/>
        <v>10+ years</v>
      </c>
      <c r="AF1060" s="14">
        <v>9</v>
      </c>
      <c r="AG1060" s="14">
        <v>10</v>
      </c>
      <c r="AH1060" s="14">
        <v>10</v>
      </c>
    </row>
    <row r="1061" spans="1:34" x14ac:dyDescent="0.3">
      <c r="A1061" s="14">
        <v>35</v>
      </c>
      <c r="B1061" s="17" t="s">
        <v>43</v>
      </c>
      <c r="C1061" t="s">
        <v>36</v>
      </c>
      <c r="D1061">
        <v>660</v>
      </c>
      <c r="E1061" s="17" t="s">
        <v>37</v>
      </c>
      <c r="F1061">
        <v>7</v>
      </c>
      <c r="G1061">
        <v>1</v>
      </c>
      <c r="H1061" t="s">
        <v>38</v>
      </c>
      <c r="I1061">
        <v>1492</v>
      </c>
      <c r="J1061">
        <v>4</v>
      </c>
      <c r="K1061" s="17" t="s">
        <v>46</v>
      </c>
      <c r="L1061">
        <v>76</v>
      </c>
      <c r="M1061">
        <v>3</v>
      </c>
      <c r="N1061">
        <v>1</v>
      </c>
      <c r="O1061" s="17" t="s">
        <v>57</v>
      </c>
      <c r="P1061" s="14">
        <v>3</v>
      </c>
      <c r="Q1061" t="s">
        <v>48</v>
      </c>
      <c r="R1061" s="14">
        <v>2404</v>
      </c>
      <c r="S1061" s="17" t="str">
        <f t="shared" si="32"/>
        <v>low</v>
      </c>
      <c r="T1061">
        <v>16192</v>
      </c>
      <c r="U1061">
        <v>1</v>
      </c>
      <c r="V1061" s="17" t="s">
        <v>43</v>
      </c>
      <c r="W1061">
        <v>13</v>
      </c>
      <c r="X1061">
        <v>3</v>
      </c>
      <c r="Y1061">
        <v>1</v>
      </c>
      <c r="Z1061">
        <v>1</v>
      </c>
      <c r="AA1061">
        <v>1</v>
      </c>
      <c r="AB1061">
        <v>3</v>
      </c>
      <c r="AC1061">
        <v>3</v>
      </c>
      <c r="AD1061" s="14">
        <v>1</v>
      </c>
      <c r="AE1061" t="str">
        <f t="shared" si="33"/>
        <v>0-2 years</v>
      </c>
      <c r="AF1061" s="14">
        <v>0</v>
      </c>
      <c r="AG1061" s="14">
        <v>0</v>
      </c>
      <c r="AH1061" s="14">
        <v>0</v>
      </c>
    </row>
    <row r="1062" spans="1:34" x14ac:dyDescent="0.3">
      <c r="A1062" s="14">
        <v>24</v>
      </c>
      <c r="B1062" s="17" t="s">
        <v>35</v>
      </c>
      <c r="C1062" t="s">
        <v>44</v>
      </c>
      <c r="D1062">
        <v>381</v>
      </c>
      <c r="E1062" s="17" t="s">
        <v>45</v>
      </c>
      <c r="F1062">
        <v>9</v>
      </c>
      <c r="G1062">
        <v>3</v>
      </c>
      <c r="H1062" t="s">
        <v>51</v>
      </c>
      <c r="I1062">
        <v>1494</v>
      </c>
      <c r="J1062">
        <v>2</v>
      </c>
      <c r="K1062" s="17" t="s">
        <v>46</v>
      </c>
      <c r="L1062">
        <v>89</v>
      </c>
      <c r="M1062">
        <v>3</v>
      </c>
      <c r="N1062">
        <v>1</v>
      </c>
      <c r="O1062" s="17" t="s">
        <v>50</v>
      </c>
      <c r="P1062" s="14">
        <v>1</v>
      </c>
      <c r="Q1062" t="s">
        <v>41</v>
      </c>
      <c r="R1062" s="14">
        <v>3172</v>
      </c>
      <c r="S1062" s="17" t="str">
        <f t="shared" si="32"/>
        <v>medium</v>
      </c>
      <c r="T1062">
        <v>16998</v>
      </c>
      <c r="U1062">
        <v>2</v>
      </c>
      <c r="V1062" s="17" t="s">
        <v>35</v>
      </c>
      <c r="W1062">
        <v>11</v>
      </c>
      <c r="X1062">
        <v>3</v>
      </c>
      <c r="Y1062">
        <v>3</v>
      </c>
      <c r="Z1062">
        <v>0</v>
      </c>
      <c r="AA1062">
        <v>4</v>
      </c>
      <c r="AB1062">
        <v>2</v>
      </c>
      <c r="AC1062">
        <v>2</v>
      </c>
      <c r="AD1062" s="14">
        <v>0</v>
      </c>
      <c r="AE1062" t="str">
        <f t="shared" si="33"/>
        <v>0-2 years</v>
      </c>
      <c r="AF1062" s="14">
        <v>0</v>
      </c>
      <c r="AG1062" s="14">
        <v>0</v>
      </c>
      <c r="AH1062" s="14">
        <v>0</v>
      </c>
    </row>
    <row r="1063" spans="1:34" x14ac:dyDescent="0.3">
      <c r="A1063" s="14">
        <v>24</v>
      </c>
      <c r="B1063" s="17" t="s">
        <v>43</v>
      </c>
      <c r="C1063" t="s">
        <v>55</v>
      </c>
      <c r="D1063">
        <v>830</v>
      </c>
      <c r="E1063" s="17" t="s">
        <v>37</v>
      </c>
      <c r="F1063">
        <v>13</v>
      </c>
      <c r="G1063">
        <v>2</v>
      </c>
      <c r="H1063" t="s">
        <v>38</v>
      </c>
      <c r="I1063">
        <v>1495</v>
      </c>
      <c r="J1063">
        <v>4</v>
      </c>
      <c r="K1063" s="17" t="s">
        <v>39</v>
      </c>
      <c r="L1063">
        <v>78</v>
      </c>
      <c r="M1063">
        <v>3</v>
      </c>
      <c r="N1063">
        <v>1</v>
      </c>
      <c r="O1063" s="17" t="s">
        <v>57</v>
      </c>
      <c r="P1063" s="14">
        <v>2</v>
      </c>
      <c r="Q1063" t="s">
        <v>48</v>
      </c>
      <c r="R1063" s="14">
        <v>2033</v>
      </c>
      <c r="S1063" s="17" t="str">
        <f t="shared" si="32"/>
        <v>low</v>
      </c>
      <c r="T1063">
        <v>7103</v>
      </c>
      <c r="U1063">
        <v>1</v>
      </c>
      <c r="V1063" s="17" t="s">
        <v>43</v>
      </c>
      <c r="W1063">
        <v>13</v>
      </c>
      <c r="X1063">
        <v>3</v>
      </c>
      <c r="Y1063">
        <v>3</v>
      </c>
      <c r="Z1063">
        <v>1</v>
      </c>
      <c r="AA1063">
        <v>1</v>
      </c>
      <c r="AB1063">
        <v>2</v>
      </c>
      <c r="AC1063">
        <v>3</v>
      </c>
      <c r="AD1063" s="14">
        <v>1</v>
      </c>
      <c r="AE1063" t="str">
        <f t="shared" si="33"/>
        <v>0-2 years</v>
      </c>
      <c r="AF1063" s="14">
        <v>0</v>
      </c>
      <c r="AG1063" s="14">
        <v>0</v>
      </c>
      <c r="AH1063" s="14">
        <v>0</v>
      </c>
    </row>
    <row r="1064" spans="1:34" x14ac:dyDescent="0.3">
      <c r="A1064" s="14">
        <v>44</v>
      </c>
      <c r="B1064" s="17" t="s">
        <v>43</v>
      </c>
      <c r="C1064" t="s">
        <v>44</v>
      </c>
      <c r="D1064">
        <v>1193</v>
      </c>
      <c r="E1064" s="17" t="s">
        <v>45</v>
      </c>
      <c r="F1064">
        <v>2</v>
      </c>
      <c r="G1064">
        <v>1</v>
      </c>
      <c r="H1064" t="s">
        <v>51</v>
      </c>
      <c r="I1064">
        <v>1496</v>
      </c>
      <c r="J1064">
        <v>2</v>
      </c>
      <c r="K1064" s="17" t="s">
        <v>46</v>
      </c>
      <c r="L1064">
        <v>86</v>
      </c>
      <c r="M1064">
        <v>3</v>
      </c>
      <c r="N1064">
        <v>3</v>
      </c>
      <c r="O1064" s="17" t="s">
        <v>53</v>
      </c>
      <c r="P1064" s="14">
        <v>3</v>
      </c>
      <c r="Q1064" t="s">
        <v>41</v>
      </c>
      <c r="R1064" s="14">
        <v>10209</v>
      </c>
      <c r="S1064" s="17" t="str">
        <f t="shared" si="32"/>
        <v>high</v>
      </c>
      <c r="T1064">
        <v>19719</v>
      </c>
      <c r="U1064">
        <v>5</v>
      </c>
      <c r="V1064" s="17" t="s">
        <v>35</v>
      </c>
      <c r="W1064">
        <v>18</v>
      </c>
      <c r="X1064">
        <v>3</v>
      </c>
      <c r="Y1064">
        <v>2</v>
      </c>
      <c r="Z1064">
        <v>0</v>
      </c>
      <c r="AA1064">
        <v>16</v>
      </c>
      <c r="AB1064">
        <v>2</v>
      </c>
      <c r="AC1064">
        <v>2</v>
      </c>
      <c r="AD1064" s="14">
        <v>2</v>
      </c>
      <c r="AE1064" t="str">
        <f t="shared" si="33"/>
        <v>0-2 years</v>
      </c>
      <c r="AF1064" s="14">
        <v>2</v>
      </c>
      <c r="AG1064" s="14">
        <v>2</v>
      </c>
      <c r="AH1064" s="14">
        <v>2</v>
      </c>
    </row>
    <row r="1065" spans="1:34" x14ac:dyDescent="0.3">
      <c r="A1065" s="14">
        <v>29</v>
      </c>
      <c r="B1065" s="17" t="s">
        <v>43</v>
      </c>
      <c r="C1065" t="s">
        <v>36</v>
      </c>
      <c r="D1065">
        <v>1246</v>
      </c>
      <c r="E1065" s="17" t="s">
        <v>37</v>
      </c>
      <c r="F1065">
        <v>19</v>
      </c>
      <c r="G1065">
        <v>3</v>
      </c>
      <c r="H1065" t="s">
        <v>38</v>
      </c>
      <c r="I1065">
        <v>1497</v>
      </c>
      <c r="J1065">
        <v>3</v>
      </c>
      <c r="K1065" s="17" t="s">
        <v>46</v>
      </c>
      <c r="L1065">
        <v>77</v>
      </c>
      <c r="M1065">
        <v>2</v>
      </c>
      <c r="N1065">
        <v>2</v>
      </c>
      <c r="O1065" s="17" t="s">
        <v>40</v>
      </c>
      <c r="P1065" s="14">
        <v>3</v>
      </c>
      <c r="Q1065" t="s">
        <v>52</v>
      </c>
      <c r="R1065" s="14">
        <v>8620</v>
      </c>
      <c r="S1065" s="17" t="str">
        <f t="shared" si="32"/>
        <v>high</v>
      </c>
      <c r="T1065">
        <v>23757</v>
      </c>
      <c r="U1065">
        <v>1</v>
      </c>
      <c r="V1065" s="17" t="s">
        <v>43</v>
      </c>
      <c r="W1065">
        <v>14</v>
      </c>
      <c r="X1065">
        <v>3</v>
      </c>
      <c r="Y1065">
        <v>3</v>
      </c>
      <c r="Z1065">
        <v>2</v>
      </c>
      <c r="AA1065">
        <v>10</v>
      </c>
      <c r="AB1065">
        <v>3</v>
      </c>
      <c r="AC1065">
        <v>3</v>
      </c>
      <c r="AD1065" s="14">
        <v>10</v>
      </c>
      <c r="AE1065" t="str">
        <f t="shared" si="33"/>
        <v>6-10 years</v>
      </c>
      <c r="AF1065" s="14">
        <v>7</v>
      </c>
      <c r="AG1065" s="14">
        <v>0</v>
      </c>
      <c r="AH1065" s="14">
        <v>4</v>
      </c>
    </row>
    <row r="1066" spans="1:34" x14ac:dyDescent="0.3">
      <c r="A1066" s="14">
        <v>30</v>
      </c>
      <c r="B1066" s="17" t="s">
        <v>43</v>
      </c>
      <c r="C1066" t="s">
        <v>36</v>
      </c>
      <c r="D1066">
        <v>330</v>
      </c>
      <c r="E1066" s="17" t="s">
        <v>61</v>
      </c>
      <c r="F1066">
        <v>1</v>
      </c>
      <c r="G1066">
        <v>3</v>
      </c>
      <c r="H1066" t="s">
        <v>38</v>
      </c>
      <c r="I1066">
        <v>1499</v>
      </c>
      <c r="J1066">
        <v>3</v>
      </c>
      <c r="K1066" s="17" t="s">
        <v>46</v>
      </c>
      <c r="L1066">
        <v>46</v>
      </c>
      <c r="M1066">
        <v>3</v>
      </c>
      <c r="N1066">
        <v>1</v>
      </c>
      <c r="O1066" s="17" t="s">
        <v>61</v>
      </c>
      <c r="P1066" s="14">
        <v>3</v>
      </c>
      <c r="Q1066" t="s">
        <v>52</v>
      </c>
      <c r="R1066" s="14">
        <v>2064</v>
      </c>
      <c r="S1066" s="17" t="str">
        <f t="shared" si="32"/>
        <v>low</v>
      </c>
      <c r="T1066">
        <v>15428</v>
      </c>
      <c r="U1066">
        <v>0</v>
      </c>
      <c r="V1066" s="17" t="s">
        <v>43</v>
      </c>
      <c r="W1066">
        <v>21</v>
      </c>
      <c r="X1066">
        <v>4</v>
      </c>
      <c r="Y1066">
        <v>1</v>
      </c>
      <c r="Z1066">
        <v>1</v>
      </c>
      <c r="AA1066">
        <v>6</v>
      </c>
      <c r="AB1066">
        <v>3</v>
      </c>
      <c r="AC1066">
        <v>4</v>
      </c>
      <c r="AD1066" s="14">
        <v>5</v>
      </c>
      <c r="AE1066" t="str">
        <f t="shared" si="33"/>
        <v>3-5 years</v>
      </c>
      <c r="AF1066" s="14">
        <v>3</v>
      </c>
      <c r="AG1066" s="14">
        <v>1</v>
      </c>
      <c r="AH1066" s="14">
        <v>3</v>
      </c>
    </row>
    <row r="1067" spans="1:34" x14ac:dyDescent="0.3">
      <c r="A1067" s="14">
        <v>55</v>
      </c>
      <c r="B1067" s="17" t="s">
        <v>43</v>
      </c>
      <c r="C1067" t="s">
        <v>36</v>
      </c>
      <c r="D1067">
        <v>1229</v>
      </c>
      <c r="E1067" s="17" t="s">
        <v>45</v>
      </c>
      <c r="F1067">
        <v>4</v>
      </c>
      <c r="G1067">
        <v>4</v>
      </c>
      <c r="H1067" t="s">
        <v>38</v>
      </c>
      <c r="I1067">
        <v>1501</v>
      </c>
      <c r="J1067">
        <v>4</v>
      </c>
      <c r="K1067" s="17" t="s">
        <v>46</v>
      </c>
      <c r="L1067">
        <v>30</v>
      </c>
      <c r="M1067">
        <v>3</v>
      </c>
      <c r="N1067">
        <v>2</v>
      </c>
      <c r="O1067" s="17" t="s">
        <v>54</v>
      </c>
      <c r="P1067" s="14">
        <v>3</v>
      </c>
      <c r="Q1067" t="s">
        <v>48</v>
      </c>
      <c r="R1067" s="14">
        <v>4035</v>
      </c>
      <c r="S1067" s="17" t="str">
        <f t="shared" si="32"/>
        <v>medium</v>
      </c>
      <c r="T1067">
        <v>16143</v>
      </c>
      <c r="U1067">
        <v>0</v>
      </c>
      <c r="V1067" s="17" t="s">
        <v>35</v>
      </c>
      <c r="W1067">
        <v>16</v>
      </c>
      <c r="X1067">
        <v>3</v>
      </c>
      <c r="Y1067">
        <v>2</v>
      </c>
      <c r="Z1067">
        <v>0</v>
      </c>
      <c r="AA1067">
        <v>4</v>
      </c>
      <c r="AB1067">
        <v>2</v>
      </c>
      <c r="AC1067">
        <v>3</v>
      </c>
      <c r="AD1067" s="14">
        <v>3</v>
      </c>
      <c r="AE1067" t="str">
        <f t="shared" si="33"/>
        <v>3-5 years</v>
      </c>
      <c r="AF1067" s="14">
        <v>2</v>
      </c>
      <c r="AG1067" s="14">
        <v>1</v>
      </c>
      <c r="AH1067" s="14">
        <v>2</v>
      </c>
    </row>
    <row r="1068" spans="1:34" x14ac:dyDescent="0.3">
      <c r="A1068" s="14">
        <v>33</v>
      </c>
      <c r="B1068" s="17" t="s">
        <v>43</v>
      </c>
      <c r="C1068" t="s">
        <v>36</v>
      </c>
      <c r="D1068">
        <v>1099</v>
      </c>
      <c r="E1068" s="17" t="s">
        <v>45</v>
      </c>
      <c r="F1068">
        <v>4</v>
      </c>
      <c r="G1068">
        <v>4</v>
      </c>
      <c r="H1068" t="s">
        <v>51</v>
      </c>
      <c r="I1068">
        <v>1502</v>
      </c>
      <c r="J1068">
        <v>1</v>
      </c>
      <c r="K1068" s="17" t="s">
        <v>39</v>
      </c>
      <c r="L1068">
        <v>82</v>
      </c>
      <c r="M1068">
        <v>2</v>
      </c>
      <c r="N1068">
        <v>1</v>
      </c>
      <c r="O1068" s="17" t="s">
        <v>50</v>
      </c>
      <c r="P1068" s="14">
        <v>2</v>
      </c>
      <c r="Q1068" t="s">
        <v>48</v>
      </c>
      <c r="R1068" s="14">
        <v>3838</v>
      </c>
      <c r="S1068" s="17" t="str">
        <f t="shared" si="32"/>
        <v>medium</v>
      </c>
      <c r="T1068">
        <v>8192</v>
      </c>
      <c r="U1068">
        <v>8</v>
      </c>
      <c r="V1068" s="17" t="s">
        <v>43</v>
      </c>
      <c r="W1068">
        <v>11</v>
      </c>
      <c r="X1068">
        <v>3</v>
      </c>
      <c r="Y1068">
        <v>4</v>
      </c>
      <c r="Z1068">
        <v>0</v>
      </c>
      <c r="AA1068">
        <v>8</v>
      </c>
      <c r="AB1068">
        <v>5</v>
      </c>
      <c r="AC1068">
        <v>3</v>
      </c>
      <c r="AD1068" s="14">
        <v>5</v>
      </c>
      <c r="AE1068" t="str">
        <f t="shared" si="33"/>
        <v>3-5 years</v>
      </c>
      <c r="AF1068" s="14">
        <v>4</v>
      </c>
      <c r="AG1068" s="14">
        <v>0</v>
      </c>
      <c r="AH1068" s="14">
        <v>2</v>
      </c>
    </row>
    <row r="1069" spans="1:34" x14ac:dyDescent="0.3">
      <c r="A1069" s="14">
        <v>47</v>
      </c>
      <c r="B1069" s="17" t="s">
        <v>43</v>
      </c>
      <c r="C1069" t="s">
        <v>36</v>
      </c>
      <c r="D1069">
        <v>571</v>
      </c>
      <c r="E1069" s="17" t="s">
        <v>37</v>
      </c>
      <c r="F1069">
        <v>14</v>
      </c>
      <c r="G1069">
        <v>3</v>
      </c>
      <c r="H1069" t="s">
        <v>51</v>
      </c>
      <c r="I1069">
        <v>1503</v>
      </c>
      <c r="J1069">
        <v>3</v>
      </c>
      <c r="K1069" s="17" t="s">
        <v>39</v>
      </c>
      <c r="L1069">
        <v>78</v>
      </c>
      <c r="M1069">
        <v>3</v>
      </c>
      <c r="N1069">
        <v>2</v>
      </c>
      <c r="O1069" s="17" t="s">
        <v>40</v>
      </c>
      <c r="P1069" s="14">
        <v>3</v>
      </c>
      <c r="Q1069" t="s">
        <v>48</v>
      </c>
      <c r="R1069" s="14">
        <v>4591</v>
      </c>
      <c r="S1069" s="17" t="str">
        <f t="shared" si="32"/>
        <v>medium</v>
      </c>
      <c r="T1069">
        <v>24200</v>
      </c>
      <c r="U1069">
        <v>3</v>
      </c>
      <c r="V1069" s="17" t="s">
        <v>35</v>
      </c>
      <c r="W1069">
        <v>17</v>
      </c>
      <c r="X1069">
        <v>3</v>
      </c>
      <c r="Y1069">
        <v>3</v>
      </c>
      <c r="Z1069">
        <v>1</v>
      </c>
      <c r="AA1069">
        <v>11</v>
      </c>
      <c r="AB1069">
        <v>4</v>
      </c>
      <c r="AC1069">
        <v>2</v>
      </c>
      <c r="AD1069" s="14">
        <v>5</v>
      </c>
      <c r="AE1069" t="str">
        <f t="shared" si="33"/>
        <v>3-5 years</v>
      </c>
      <c r="AF1069" s="14">
        <v>4</v>
      </c>
      <c r="AG1069" s="14">
        <v>1</v>
      </c>
      <c r="AH1069" s="14">
        <v>2</v>
      </c>
    </row>
    <row r="1070" spans="1:34" x14ac:dyDescent="0.3">
      <c r="A1070" s="14">
        <v>28</v>
      </c>
      <c r="B1070" s="17" t="s">
        <v>35</v>
      </c>
      <c r="C1070" t="s">
        <v>44</v>
      </c>
      <c r="D1070">
        <v>289</v>
      </c>
      <c r="E1070" s="17" t="s">
        <v>45</v>
      </c>
      <c r="F1070">
        <v>2</v>
      </c>
      <c r="G1070">
        <v>2</v>
      </c>
      <c r="H1070" t="s">
        <v>51</v>
      </c>
      <c r="I1070">
        <v>1504</v>
      </c>
      <c r="J1070">
        <v>3</v>
      </c>
      <c r="K1070" s="17" t="s">
        <v>46</v>
      </c>
      <c r="L1070">
        <v>38</v>
      </c>
      <c r="M1070">
        <v>2</v>
      </c>
      <c r="N1070">
        <v>1</v>
      </c>
      <c r="O1070" s="17" t="s">
        <v>50</v>
      </c>
      <c r="P1070" s="14">
        <v>1</v>
      </c>
      <c r="Q1070" t="s">
        <v>41</v>
      </c>
      <c r="R1070" s="14">
        <v>2561</v>
      </c>
      <c r="S1070" s="17" t="str">
        <f t="shared" si="32"/>
        <v>low</v>
      </c>
      <c r="T1070">
        <v>5355</v>
      </c>
      <c r="U1070">
        <v>7</v>
      </c>
      <c r="V1070" s="17" t="s">
        <v>43</v>
      </c>
      <c r="W1070">
        <v>11</v>
      </c>
      <c r="X1070">
        <v>3</v>
      </c>
      <c r="Y1070">
        <v>3</v>
      </c>
      <c r="Z1070">
        <v>0</v>
      </c>
      <c r="AA1070">
        <v>8</v>
      </c>
      <c r="AB1070">
        <v>2</v>
      </c>
      <c r="AC1070">
        <v>2</v>
      </c>
      <c r="AD1070" s="14">
        <v>0</v>
      </c>
      <c r="AE1070" t="str">
        <f t="shared" si="33"/>
        <v>0-2 years</v>
      </c>
      <c r="AF1070" s="14">
        <v>0</v>
      </c>
      <c r="AG1070" s="14">
        <v>0</v>
      </c>
      <c r="AH1070" s="14">
        <v>0</v>
      </c>
    </row>
    <row r="1071" spans="1:34" x14ac:dyDescent="0.3">
      <c r="A1071" s="14">
        <v>28</v>
      </c>
      <c r="B1071" s="17" t="s">
        <v>43</v>
      </c>
      <c r="C1071" t="s">
        <v>36</v>
      </c>
      <c r="D1071">
        <v>1423</v>
      </c>
      <c r="E1071" s="17" t="s">
        <v>45</v>
      </c>
      <c r="F1071">
        <v>1</v>
      </c>
      <c r="G1071">
        <v>3</v>
      </c>
      <c r="H1071" t="s">
        <v>38</v>
      </c>
      <c r="I1071">
        <v>1506</v>
      </c>
      <c r="J1071">
        <v>1</v>
      </c>
      <c r="K1071" s="17" t="s">
        <v>46</v>
      </c>
      <c r="L1071">
        <v>72</v>
      </c>
      <c r="M1071">
        <v>2</v>
      </c>
      <c r="N1071">
        <v>1</v>
      </c>
      <c r="O1071" s="17" t="s">
        <v>47</v>
      </c>
      <c r="P1071" s="14">
        <v>3</v>
      </c>
      <c r="Q1071" t="s">
        <v>52</v>
      </c>
      <c r="R1071" s="14">
        <v>1563</v>
      </c>
      <c r="S1071" s="17" t="str">
        <f t="shared" si="32"/>
        <v>low</v>
      </c>
      <c r="T1071">
        <v>12530</v>
      </c>
      <c r="U1071">
        <v>1</v>
      </c>
      <c r="V1071" s="17" t="s">
        <v>43</v>
      </c>
      <c r="W1071">
        <v>14</v>
      </c>
      <c r="X1071">
        <v>3</v>
      </c>
      <c r="Y1071">
        <v>4</v>
      </c>
      <c r="Z1071">
        <v>1</v>
      </c>
      <c r="AA1071">
        <v>1</v>
      </c>
      <c r="AB1071">
        <v>2</v>
      </c>
      <c r="AC1071">
        <v>1</v>
      </c>
      <c r="AD1071" s="14">
        <v>1</v>
      </c>
      <c r="AE1071" t="str">
        <f t="shared" si="33"/>
        <v>0-2 years</v>
      </c>
      <c r="AF1071" s="14">
        <v>0</v>
      </c>
      <c r="AG1071" s="14">
        <v>0</v>
      </c>
      <c r="AH1071" s="14">
        <v>0</v>
      </c>
    </row>
    <row r="1072" spans="1:34" x14ac:dyDescent="0.3">
      <c r="A1072" s="14">
        <v>28</v>
      </c>
      <c r="B1072" s="17" t="s">
        <v>43</v>
      </c>
      <c r="C1072" t="s">
        <v>44</v>
      </c>
      <c r="D1072">
        <v>467</v>
      </c>
      <c r="E1072" s="17" t="s">
        <v>37</v>
      </c>
      <c r="F1072">
        <v>7</v>
      </c>
      <c r="G1072">
        <v>3</v>
      </c>
      <c r="H1072" t="s">
        <v>38</v>
      </c>
      <c r="I1072">
        <v>1507</v>
      </c>
      <c r="J1072">
        <v>3</v>
      </c>
      <c r="K1072" s="17" t="s">
        <v>46</v>
      </c>
      <c r="L1072">
        <v>55</v>
      </c>
      <c r="M1072">
        <v>3</v>
      </c>
      <c r="N1072">
        <v>2</v>
      </c>
      <c r="O1072" s="17" t="s">
        <v>40</v>
      </c>
      <c r="P1072" s="14">
        <v>1</v>
      </c>
      <c r="Q1072" t="s">
        <v>41</v>
      </c>
      <c r="R1072" s="14">
        <v>4898</v>
      </c>
      <c r="S1072" s="17" t="str">
        <f t="shared" si="32"/>
        <v>medium</v>
      </c>
      <c r="T1072">
        <v>11827</v>
      </c>
      <c r="U1072">
        <v>0</v>
      </c>
      <c r="V1072" s="17" t="s">
        <v>43</v>
      </c>
      <c r="W1072">
        <v>14</v>
      </c>
      <c r="X1072">
        <v>3</v>
      </c>
      <c r="Y1072">
        <v>4</v>
      </c>
      <c r="Z1072">
        <v>0</v>
      </c>
      <c r="AA1072">
        <v>5</v>
      </c>
      <c r="AB1072">
        <v>5</v>
      </c>
      <c r="AC1072">
        <v>3</v>
      </c>
      <c r="AD1072" s="14">
        <v>4</v>
      </c>
      <c r="AE1072" t="str">
        <f t="shared" si="33"/>
        <v>3-5 years</v>
      </c>
      <c r="AF1072" s="14">
        <v>2</v>
      </c>
      <c r="AG1072" s="14">
        <v>1</v>
      </c>
      <c r="AH1072" s="14">
        <v>3</v>
      </c>
    </row>
    <row r="1073" spans="1:34" x14ac:dyDescent="0.3">
      <c r="A1073" s="14">
        <v>49</v>
      </c>
      <c r="B1073" s="17" t="s">
        <v>43</v>
      </c>
      <c r="C1073" t="s">
        <v>36</v>
      </c>
      <c r="D1073">
        <v>271</v>
      </c>
      <c r="E1073" s="17" t="s">
        <v>45</v>
      </c>
      <c r="F1073">
        <v>3</v>
      </c>
      <c r="G1073">
        <v>2</v>
      </c>
      <c r="H1073" t="s">
        <v>51</v>
      </c>
      <c r="I1073">
        <v>1509</v>
      </c>
      <c r="J1073">
        <v>3</v>
      </c>
      <c r="K1073" s="17" t="s">
        <v>39</v>
      </c>
      <c r="L1073">
        <v>43</v>
      </c>
      <c r="M1073">
        <v>2</v>
      </c>
      <c r="N1073">
        <v>2</v>
      </c>
      <c r="O1073" s="17" t="s">
        <v>50</v>
      </c>
      <c r="P1073" s="14">
        <v>1</v>
      </c>
      <c r="Q1073" t="s">
        <v>48</v>
      </c>
      <c r="R1073" s="14">
        <v>4789</v>
      </c>
      <c r="S1073" s="17" t="str">
        <f t="shared" si="32"/>
        <v>medium</v>
      </c>
      <c r="T1073">
        <v>23070</v>
      </c>
      <c r="U1073">
        <v>4</v>
      </c>
      <c r="V1073" s="17" t="s">
        <v>43</v>
      </c>
      <c r="W1073">
        <v>25</v>
      </c>
      <c r="X1073">
        <v>4</v>
      </c>
      <c r="Y1073">
        <v>1</v>
      </c>
      <c r="Z1073">
        <v>1</v>
      </c>
      <c r="AA1073">
        <v>10</v>
      </c>
      <c r="AB1073">
        <v>3</v>
      </c>
      <c r="AC1073">
        <v>3</v>
      </c>
      <c r="AD1073" s="14">
        <v>3</v>
      </c>
      <c r="AE1073" t="str">
        <f t="shared" si="33"/>
        <v>3-5 years</v>
      </c>
      <c r="AF1073" s="14">
        <v>2</v>
      </c>
      <c r="AG1073" s="14">
        <v>1</v>
      </c>
      <c r="AH1073" s="14">
        <v>2</v>
      </c>
    </row>
    <row r="1074" spans="1:34" x14ac:dyDescent="0.3">
      <c r="A1074" s="14">
        <v>29</v>
      </c>
      <c r="B1074" s="17" t="s">
        <v>43</v>
      </c>
      <c r="C1074" t="s">
        <v>44</v>
      </c>
      <c r="D1074">
        <v>410</v>
      </c>
      <c r="E1074" s="17" t="s">
        <v>45</v>
      </c>
      <c r="F1074">
        <v>2</v>
      </c>
      <c r="G1074">
        <v>1</v>
      </c>
      <c r="H1074" t="s">
        <v>38</v>
      </c>
      <c r="I1074">
        <v>1513</v>
      </c>
      <c r="J1074">
        <v>4</v>
      </c>
      <c r="K1074" s="17" t="s">
        <v>39</v>
      </c>
      <c r="L1074">
        <v>97</v>
      </c>
      <c r="M1074">
        <v>3</v>
      </c>
      <c r="N1074">
        <v>1</v>
      </c>
      <c r="O1074" s="17" t="s">
        <v>50</v>
      </c>
      <c r="P1074" s="14">
        <v>2</v>
      </c>
      <c r="Q1074" t="s">
        <v>48</v>
      </c>
      <c r="R1074" s="14">
        <v>3180</v>
      </c>
      <c r="S1074" s="17" t="str">
        <f t="shared" si="32"/>
        <v>medium</v>
      </c>
      <c r="T1074">
        <v>4668</v>
      </c>
      <c r="U1074">
        <v>0</v>
      </c>
      <c r="V1074" s="17" t="s">
        <v>43</v>
      </c>
      <c r="W1074">
        <v>13</v>
      </c>
      <c r="X1074">
        <v>3</v>
      </c>
      <c r="Y1074">
        <v>3</v>
      </c>
      <c r="Z1074">
        <v>3</v>
      </c>
      <c r="AA1074">
        <v>4</v>
      </c>
      <c r="AB1074">
        <v>3</v>
      </c>
      <c r="AC1074">
        <v>3</v>
      </c>
      <c r="AD1074" s="14">
        <v>3</v>
      </c>
      <c r="AE1074" t="str">
        <f t="shared" si="33"/>
        <v>3-5 years</v>
      </c>
      <c r="AF1074" s="14">
        <v>2</v>
      </c>
      <c r="AG1074" s="14">
        <v>0</v>
      </c>
      <c r="AH1074" s="14">
        <v>2</v>
      </c>
    </row>
    <row r="1075" spans="1:34" x14ac:dyDescent="0.3">
      <c r="A1075" s="14">
        <v>28</v>
      </c>
      <c r="B1075" s="17" t="s">
        <v>43</v>
      </c>
      <c r="C1075" t="s">
        <v>36</v>
      </c>
      <c r="D1075">
        <v>1083</v>
      </c>
      <c r="E1075" s="17" t="s">
        <v>45</v>
      </c>
      <c r="F1075">
        <v>29</v>
      </c>
      <c r="G1075">
        <v>1</v>
      </c>
      <c r="H1075" t="s">
        <v>38</v>
      </c>
      <c r="I1075">
        <v>1514</v>
      </c>
      <c r="J1075">
        <v>3</v>
      </c>
      <c r="K1075" s="17" t="s">
        <v>46</v>
      </c>
      <c r="L1075">
        <v>96</v>
      </c>
      <c r="M1075">
        <v>1</v>
      </c>
      <c r="N1075">
        <v>2</v>
      </c>
      <c r="O1075" s="17" t="s">
        <v>53</v>
      </c>
      <c r="P1075" s="14">
        <v>2</v>
      </c>
      <c r="Q1075" t="s">
        <v>48</v>
      </c>
      <c r="R1075" s="14">
        <v>6549</v>
      </c>
      <c r="S1075" s="17" t="str">
        <f t="shared" si="32"/>
        <v>medium</v>
      </c>
      <c r="T1075">
        <v>3173</v>
      </c>
      <c r="U1075">
        <v>1</v>
      </c>
      <c r="V1075" s="17" t="s">
        <v>43</v>
      </c>
      <c r="W1075">
        <v>14</v>
      </c>
      <c r="X1075">
        <v>3</v>
      </c>
      <c r="Y1075">
        <v>2</v>
      </c>
      <c r="Z1075">
        <v>2</v>
      </c>
      <c r="AA1075">
        <v>8</v>
      </c>
      <c r="AB1075">
        <v>2</v>
      </c>
      <c r="AC1075">
        <v>2</v>
      </c>
      <c r="AD1075" s="14">
        <v>8</v>
      </c>
      <c r="AE1075" t="str">
        <f t="shared" si="33"/>
        <v>6-10 years</v>
      </c>
      <c r="AF1075" s="14">
        <v>6</v>
      </c>
      <c r="AG1075" s="14">
        <v>1</v>
      </c>
      <c r="AH1075" s="14">
        <v>7</v>
      </c>
    </row>
    <row r="1076" spans="1:34" x14ac:dyDescent="0.3">
      <c r="A1076" s="14">
        <v>33</v>
      </c>
      <c r="B1076" s="17" t="s">
        <v>43</v>
      </c>
      <c r="C1076" t="s">
        <v>36</v>
      </c>
      <c r="D1076">
        <v>516</v>
      </c>
      <c r="E1076" s="17" t="s">
        <v>45</v>
      </c>
      <c r="F1076">
        <v>8</v>
      </c>
      <c r="G1076">
        <v>5</v>
      </c>
      <c r="H1076" t="s">
        <v>38</v>
      </c>
      <c r="I1076">
        <v>1515</v>
      </c>
      <c r="J1076">
        <v>4</v>
      </c>
      <c r="K1076" s="17" t="s">
        <v>46</v>
      </c>
      <c r="L1076">
        <v>69</v>
      </c>
      <c r="M1076">
        <v>3</v>
      </c>
      <c r="N1076">
        <v>2</v>
      </c>
      <c r="O1076" s="17" t="s">
        <v>54</v>
      </c>
      <c r="P1076" s="14">
        <v>3</v>
      </c>
      <c r="Q1076" t="s">
        <v>41</v>
      </c>
      <c r="R1076" s="14">
        <v>6388</v>
      </c>
      <c r="S1076" s="17" t="str">
        <f t="shared" si="32"/>
        <v>medium</v>
      </c>
      <c r="T1076">
        <v>22049</v>
      </c>
      <c r="U1076">
        <v>2</v>
      </c>
      <c r="V1076" s="17" t="s">
        <v>35</v>
      </c>
      <c r="W1076">
        <v>17</v>
      </c>
      <c r="X1076">
        <v>3</v>
      </c>
      <c r="Y1076">
        <v>1</v>
      </c>
      <c r="Z1076">
        <v>0</v>
      </c>
      <c r="AA1076">
        <v>14</v>
      </c>
      <c r="AB1076">
        <v>6</v>
      </c>
      <c r="AC1076">
        <v>3</v>
      </c>
      <c r="AD1076" s="14">
        <v>0</v>
      </c>
      <c r="AE1076" t="str">
        <f t="shared" si="33"/>
        <v>0-2 years</v>
      </c>
      <c r="AF1076" s="14">
        <v>0</v>
      </c>
      <c r="AG1076" s="14">
        <v>0</v>
      </c>
      <c r="AH1076" s="14">
        <v>0</v>
      </c>
    </row>
    <row r="1077" spans="1:34" x14ac:dyDescent="0.3">
      <c r="A1077" s="14">
        <v>32</v>
      </c>
      <c r="B1077" s="17" t="s">
        <v>43</v>
      </c>
      <c r="C1077" t="s">
        <v>36</v>
      </c>
      <c r="D1077">
        <v>495</v>
      </c>
      <c r="E1077" s="17" t="s">
        <v>45</v>
      </c>
      <c r="F1077">
        <v>10</v>
      </c>
      <c r="G1077">
        <v>3</v>
      </c>
      <c r="H1077" t="s">
        <v>51</v>
      </c>
      <c r="I1077">
        <v>1516</v>
      </c>
      <c r="J1077">
        <v>3</v>
      </c>
      <c r="K1077" s="17" t="s">
        <v>46</v>
      </c>
      <c r="L1077">
        <v>64</v>
      </c>
      <c r="M1077">
        <v>3</v>
      </c>
      <c r="N1077">
        <v>3</v>
      </c>
      <c r="O1077" s="17" t="s">
        <v>56</v>
      </c>
      <c r="P1077" s="14">
        <v>4</v>
      </c>
      <c r="Q1077" t="s">
        <v>41</v>
      </c>
      <c r="R1077" s="14">
        <v>11244</v>
      </c>
      <c r="S1077" s="17" t="str">
        <f t="shared" si="32"/>
        <v>high</v>
      </c>
      <c r="T1077">
        <v>21072</v>
      </c>
      <c r="U1077">
        <v>2</v>
      </c>
      <c r="V1077" s="17" t="s">
        <v>43</v>
      </c>
      <c r="W1077">
        <v>25</v>
      </c>
      <c r="X1077">
        <v>4</v>
      </c>
      <c r="Y1077">
        <v>2</v>
      </c>
      <c r="Z1077">
        <v>0</v>
      </c>
      <c r="AA1077">
        <v>10</v>
      </c>
      <c r="AB1077">
        <v>5</v>
      </c>
      <c r="AC1077">
        <v>4</v>
      </c>
      <c r="AD1077" s="14">
        <v>5</v>
      </c>
      <c r="AE1077" t="str">
        <f t="shared" si="33"/>
        <v>3-5 years</v>
      </c>
      <c r="AF1077" s="14">
        <v>2</v>
      </c>
      <c r="AG1077" s="14">
        <v>0</v>
      </c>
      <c r="AH1077" s="14">
        <v>0</v>
      </c>
    </row>
    <row r="1078" spans="1:34" x14ac:dyDescent="0.3">
      <c r="A1078" s="14">
        <v>54</v>
      </c>
      <c r="B1078" s="17" t="s">
        <v>43</v>
      </c>
      <c r="C1078" t="s">
        <v>44</v>
      </c>
      <c r="D1078">
        <v>1050</v>
      </c>
      <c r="E1078" s="17" t="s">
        <v>45</v>
      </c>
      <c r="F1078">
        <v>11</v>
      </c>
      <c r="G1078">
        <v>4</v>
      </c>
      <c r="H1078" t="s">
        <v>51</v>
      </c>
      <c r="I1078">
        <v>1520</v>
      </c>
      <c r="J1078">
        <v>2</v>
      </c>
      <c r="K1078" s="17" t="s">
        <v>39</v>
      </c>
      <c r="L1078">
        <v>87</v>
      </c>
      <c r="M1078">
        <v>3</v>
      </c>
      <c r="N1078">
        <v>4</v>
      </c>
      <c r="O1078" s="17" t="s">
        <v>56</v>
      </c>
      <c r="P1078" s="14">
        <v>4</v>
      </c>
      <c r="Q1078" t="s">
        <v>52</v>
      </c>
      <c r="R1078" s="14">
        <v>16032</v>
      </c>
      <c r="S1078" s="17" t="str">
        <f t="shared" si="32"/>
        <v>high</v>
      </c>
      <c r="T1078">
        <v>24456</v>
      </c>
      <c r="U1078">
        <v>3</v>
      </c>
      <c r="V1078" s="17" t="s">
        <v>43</v>
      </c>
      <c r="W1078">
        <v>20</v>
      </c>
      <c r="X1078">
        <v>4</v>
      </c>
      <c r="Y1078">
        <v>1</v>
      </c>
      <c r="Z1078">
        <v>1</v>
      </c>
      <c r="AA1078">
        <v>26</v>
      </c>
      <c r="AB1078">
        <v>2</v>
      </c>
      <c r="AC1078">
        <v>3</v>
      </c>
      <c r="AD1078" s="14">
        <v>14</v>
      </c>
      <c r="AE1078" t="str">
        <f t="shared" si="33"/>
        <v>10+ years</v>
      </c>
      <c r="AF1078" s="14">
        <v>9</v>
      </c>
      <c r="AG1078" s="14">
        <v>1</v>
      </c>
      <c r="AH1078" s="14">
        <v>12</v>
      </c>
    </row>
    <row r="1079" spans="1:34" x14ac:dyDescent="0.3">
      <c r="A1079" s="14">
        <v>29</v>
      </c>
      <c r="B1079" s="17" t="s">
        <v>35</v>
      </c>
      <c r="C1079" t="s">
        <v>36</v>
      </c>
      <c r="D1079">
        <v>224</v>
      </c>
      <c r="E1079" s="17" t="s">
        <v>45</v>
      </c>
      <c r="F1079">
        <v>1</v>
      </c>
      <c r="G1079">
        <v>4</v>
      </c>
      <c r="H1079" t="s">
        <v>60</v>
      </c>
      <c r="I1079">
        <v>1522</v>
      </c>
      <c r="J1079">
        <v>1</v>
      </c>
      <c r="K1079" s="17" t="s">
        <v>46</v>
      </c>
      <c r="L1079">
        <v>100</v>
      </c>
      <c r="M1079">
        <v>2</v>
      </c>
      <c r="N1079">
        <v>1</v>
      </c>
      <c r="O1079" s="17" t="s">
        <v>47</v>
      </c>
      <c r="P1079" s="14">
        <v>1</v>
      </c>
      <c r="Q1079" t="s">
        <v>41</v>
      </c>
      <c r="R1079" s="14">
        <v>2362</v>
      </c>
      <c r="S1079" s="17" t="str">
        <f t="shared" si="32"/>
        <v>low</v>
      </c>
      <c r="T1079">
        <v>7568</v>
      </c>
      <c r="U1079">
        <v>6</v>
      </c>
      <c r="V1079" s="17" t="s">
        <v>43</v>
      </c>
      <c r="W1079">
        <v>13</v>
      </c>
      <c r="X1079">
        <v>3</v>
      </c>
      <c r="Y1079">
        <v>3</v>
      </c>
      <c r="Z1079">
        <v>0</v>
      </c>
      <c r="AA1079">
        <v>11</v>
      </c>
      <c r="AB1079">
        <v>2</v>
      </c>
      <c r="AC1079">
        <v>1</v>
      </c>
      <c r="AD1079" s="14">
        <v>9</v>
      </c>
      <c r="AE1079" t="str">
        <f t="shared" si="33"/>
        <v>6-10 years</v>
      </c>
      <c r="AF1079" s="14">
        <v>7</v>
      </c>
      <c r="AG1079" s="14">
        <v>0</v>
      </c>
      <c r="AH1079" s="14">
        <v>7</v>
      </c>
    </row>
    <row r="1080" spans="1:34" x14ac:dyDescent="0.3">
      <c r="A1080" s="14">
        <v>44</v>
      </c>
      <c r="B1080" s="17" t="s">
        <v>43</v>
      </c>
      <c r="C1080" t="s">
        <v>36</v>
      </c>
      <c r="D1080">
        <v>136</v>
      </c>
      <c r="E1080" s="17" t="s">
        <v>45</v>
      </c>
      <c r="F1080">
        <v>28</v>
      </c>
      <c r="G1080">
        <v>3</v>
      </c>
      <c r="H1080" t="s">
        <v>38</v>
      </c>
      <c r="I1080">
        <v>1523</v>
      </c>
      <c r="J1080">
        <v>4</v>
      </c>
      <c r="K1080" s="17" t="s">
        <v>46</v>
      </c>
      <c r="L1080">
        <v>32</v>
      </c>
      <c r="M1080">
        <v>3</v>
      </c>
      <c r="N1080">
        <v>4</v>
      </c>
      <c r="O1080" s="17" t="s">
        <v>58</v>
      </c>
      <c r="P1080" s="14">
        <v>1</v>
      </c>
      <c r="Q1080" t="s">
        <v>48</v>
      </c>
      <c r="R1080" s="14">
        <v>16328</v>
      </c>
      <c r="S1080" s="17" t="str">
        <f t="shared" si="32"/>
        <v>high</v>
      </c>
      <c r="T1080">
        <v>22074</v>
      </c>
      <c r="U1080">
        <v>3</v>
      </c>
      <c r="V1080" s="17" t="s">
        <v>43</v>
      </c>
      <c r="W1080">
        <v>13</v>
      </c>
      <c r="X1080">
        <v>3</v>
      </c>
      <c r="Y1080">
        <v>3</v>
      </c>
      <c r="Z1080">
        <v>1</v>
      </c>
      <c r="AA1080">
        <v>24</v>
      </c>
      <c r="AB1080">
        <v>1</v>
      </c>
      <c r="AC1080">
        <v>4</v>
      </c>
      <c r="AD1080" s="14">
        <v>20</v>
      </c>
      <c r="AE1080" t="str">
        <f t="shared" si="33"/>
        <v>10+ years</v>
      </c>
      <c r="AF1080" s="14">
        <v>6</v>
      </c>
      <c r="AG1080" s="14">
        <v>14</v>
      </c>
      <c r="AH1080" s="14">
        <v>17</v>
      </c>
    </row>
    <row r="1081" spans="1:34" x14ac:dyDescent="0.3">
      <c r="A1081" s="14">
        <v>39</v>
      </c>
      <c r="B1081" s="17" t="s">
        <v>43</v>
      </c>
      <c r="C1081" t="s">
        <v>36</v>
      </c>
      <c r="D1081">
        <v>1089</v>
      </c>
      <c r="E1081" s="17" t="s">
        <v>45</v>
      </c>
      <c r="F1081">
        <v>6</v>
      </c>
      <c r="G1081">
        <v>3</v>
      </c>
      <c r="H1081" t="s">
        <v>38</v>
      </c>
      <c r="I1081">
        <v>1525</v>
      </c>
      <c r="J1081">
        <v>2</v>
      </c>
      <c r="K1081" s="17" t="s">
        <v>39</v>
      </c>
      <c r="L1081">
        <v>32</v>
      </c>
      <c r="M1081">
        <v>3</v>
      </c>
      <c r="N1081">
        <v>3</v>
      </c>
      <c r="O1081" s="17" t="s">
        <v>53</v>
      </c>
      <c r="P1081" s="14">
        <v>2</v>
      </c>
      <c r="Q1081" t="s">
        <v>41</v>
      </c>
      <c r="R1081" s="14">
        <v>8376</v>
      </c>
      <c r="S1081" s="17" t="str">
        <f t="shared" si="32"/>
        <v>high</v>
      </c>
      <c r="T1081">
        <v>9150</v>
      </c>
      <c r="U1081">
        <v>4</v>
      </c>
      <c r="V1081" s="17" t="s">
        <v>43</v>
      </c>
      <c r="W1081">
        <v>18</v>
      </c>
      <c r="X1081">
        <v>3</v>
      </c>
      <c r="Y1081">
        <v>4</v>
      </c>
      <c r="Z1081">
        <v>0</v>
      </c>
      <c r="AA1081">
        <v>9</v>
      </c>
      <c r="AB1081">
        <v>3</v>
      </c>
      <c r="AC1081">
        <v>3</v>
      </c>
      <c r="AD1081" s="14">
        <v>2</v>
      </c>
      <c r="AE1081" t="str">
        <f t="shared" si="33"/>
        <v>0-2 years</v>
      </c>
      <c r="AF1081" s="14">
        <v>0</v>
      </c>
      <c r="AG1081" s="14">
        <v>2</v>
      </c>
      <c r="AH1081" s="14">
        <v>2</v>
      </c>
    </row>
    <row r="1082" spans="1:34" x14ac:dyDescent="0.3">
      <c r="A1082" s="14">
        <v>46</v>
      </c>
      <c r="B1082" s="17" t="s">
        <v>43</v>
      </c>
      <c r="C1082" t="s">
        <v>36</v>
      </c>
      <c r="D1082">
        <v>228</v>
      </c>
      <c r="E1082" s="17" t="s">
        <v>37</v>
      </c>
      <c r="F1082">
        <v>3</v>
      </c>
      <c r="G1082">
        <v>3</v>
      </c>
      <c r="H1082" t="s">
        <v>38</v>
      </c>
      <c r="I1082">
        <v>1527</v>
      </c>
      <c r="J1082">
        <v>3</v>
      </c>
      <c r="K1082" s="17" t="s">
        <v>39</v>
      </c>
      <c r="L1082">
        <v>51</v>
      </c>
      <c r="M1082">
        <v>3</v>
      </c>
      <c r="N1082">
        <v>4</v>
      </c>
      <c r="O1082" s="17" t="s">
        <v>56</v>
      </c>
      <c r="P1082" s="14">
        <v>2</v>
      </c>
      <c r="Q1082" t="s">
        <v>48</v>
      </c>
      <c r="R1082" s="14">
        <v>16606</v>
      </c>
      <c r="S1082" s="17" t="str">
        <f t="shared" si="32"/>
        <v>high</v>
      </c>
      <c r="T1082">
        <v>11380</v>
      </c>
      <c r="U1082">
        <v>8</v>
      </c>
      <c r="V1082" s="17" t="s">
        <v>43</v>
      </c>
      <c r="W1082">
        <v>12</v>
      </c>
      <c r="X1082">
        <v>3</v>
      </c>
      <c r="Y1082">
        <v>4</v>
      </c>
      <c r="Z1082">
        <v>1</v>
      </c>
      <c r="AA1082">
        <v>23</v>
      </c>
      <c r="AB1082">
        <v>2</v>
      </c>
      <c r="AC1082">
        <v>4</v>
      </c>
      <c r="AD1082" s="14">
        <v>13</v>
      </c>
      <c r="AE1082" t="str">
        <f t="shared" si="33"/>
        <v>10+ years</v>
      </c>
      <c r="AF1082" s="14">
        <v>12</v>
      </c>
      <c r="AG1082" s="14">
        <v>5</v>
      </c>
      <c r="AH1082" s="14">
        <v>1</v>
      </c>
    </row>
    <row r="1083" spans="1:34" x14ac:dyDescent="0.3">
      <c r="A1083" s="14">
        <v>35</v>
      </c>
      <c r="B1083" s="17" t="s">
        <v>43</v>
      </c>
      <c r="C1083" t="s">
        <v>36</v>
      </c>
      <c r="D1083">
        <v>1029</v>
      </c>
      <c r="E1083" s="17" t="s">
        <v>45</v>
      </c>
      <c r="F1083">
        <v>16</v>
      </c>
      <c r="G1083">
        <v>3</v>
      </c>
      <c r="H1083" t="s">
        <v>38</v>
      </c>
      <c r="I1083">
        <v>1529</v>
      </c>
      <c r="J1083">
        <v>4</v>
      </c>
      <c r="K1083" s="17" t="s">
        <v>39</v>
      </c>
      <c r="L1083">
        <v>91</v>
      </c>
      <c r="M1083">
        <v>2</v>
      </c>
      <c r="N1083">
        <v>3</v>
      </c>
      <c r="O1083" s="17" t="s">
        <v>54</v>
      </c>
      <c r="P1083" s="14">
        <v>2</v>
      </c>
      <c r="Q1083" t="s">
        <v>41</v>
      </c>
      <c r="R1083" s="14">
        <v>8606</v>
      </c>
      <c r="S1083" s="17" t="str">
        <f t="shared" si="32"/>
        <v>high</v>
      </c>
      <c r="T1083">
        <v>21195</v>
      </c>
      <c r="U1083">
        <v>1</v>
      </c>
      <c r="V1083" s="17" t="s">
        <v>43</v>
      </c>
      <c r="W1083">
        <v>19</v>
      </c>
      <c r="X1083">
        <v>3</v>
      </c>
      <c r="Y1083">
        <v>4</v>
      </c>
      <c r="Z1083">
        <v>0</v>
      </c>
      <c r="AA1083">
        <v>11</v>
      </c>
      <c r="AB1083">
        <v>3</v>
      </c>
      <c r="AC1083">
        <v>1</v>
      </c>
      <c r="AD1083" s="14">
        <v>11</v>
      </c>
      <c r="AE1083" t="str">
        <f t="shared" si="33"/>
        <v>10+ years</v>
      </c>
      <c r="AF1083" s="14">
        <v>8</v>
      </c>
      <c r="AG1083" s="14">
        <v>3</v>
      </c>
      <c r="AH1083" s="14">
        <v>3</v>
      </c>
    </row>
    <row r="1084" spans="1:34" x14ac:dyDescent="0.3">
      <c r="A1084" s="14">
        <v>23</v>
      </c>
      <c r="B1084" s="17" t="s">
        <v>43</v>
      </c>
      <c r="C1084" t="s">
        <v>36</v>
      </c>
      <c r="D1084">
        <v>507</v>
      </c>
      <c r="E1084" s="17" t="s">
        <v>45</v>
      </c>
      <c r="F1084">
        <v>20</v>
      </c>
      <c r="G1084">
        <v>1</v>
      </c>
      <c r="H1084" t="s">
        <v>38</v>
      </c>
      <c r="I1084">
        <v>1533</v>
      </c>
      <c r="J1084">
        <v>1</v>
      </c>
      <c r="K1084" s="17" t="s">
        <v>46</v>
      </c>
      <c r="L1084">
        <v>97</v>
      </c>
      <c r="M1084">
        <v>3</v>
      </c>
      <c r="N1084">
        <v>2</v>
      </c>
      <c r="O1084" s="17" t="s">
        <v>50</v>
      </c>
      <c r="P1084" s="14">
        <v>3</v>
      </c>
      <c r="Q1084" t="s">
        <v>41</v>
      </c>
      <c r="R1084" s="14">
        <v>2272</v>
      </c>
      <c r="S1084" s="17" t="str">
        <f t="shared" si="32"/>
        <v>low</v>
      </c>
      <c r="T1084">
        <v>24812</v>
      </c>
      <c r="U1084">
        <v>0</v>
      </c>
      <c r="V1084" s="17" t="s">
        <v>43</v>
      </c>
      <c r="W1084">
        <v>14</v>
      </c>
      <c r="X1084">
        <v>3</v>
      </c>
      <c r="Y1084">
        <v>2</v>
      </c>
      <c r="Z1084">
        <v>0</v>
      </c>
      <c r="AA1084">
        <v>5</v>
      </c>
      <c r="AB1084">
        <v>2</v>
      </c>
      <c r="AC1084">
        <v>3</v>
      </c>
      <c r="AD1084" s="14">
        <v>4</v>
      </c>
      <c r="AE1084" t="str">
        <f t="shared" si="33"/>
        <v>3-5 years</v>
      </c>
      <c r="AF1084" s="14">
        <v>3</v>
      </c>
      <c r="AG1084" s="14">
        <v>1</v>
      </c>
      <c r="AH1084" s="14">
        <v>2</v>
      </c>
    </row>
    <row r="1085" spans="1:34" x14ac:dyDescent="0.3">
      <c r="A1085" s="14">
        <v>40</v>
      </c>
      <c r="B1085" s="17" t="s">
        <v>35</v>
      </c>
      <c r="C1085" t="s">
        <v>36</v>
      </c>
      <c r="D1085">
        <v>676</v>
      </c>
      <c r="E1085" s="17" t="s">
        <v>45</v>
      </c>
      <c r="F1085">
        <v>9</v>
      </c>
      <c r="G1085">
        <v>4</v>
      </c>
      <c r="H1085" t="s">
        <v>38</v>
      </c>
      <c r="I1085">
        <v>1534</v>
      </c>
      <c r="J1085">
        <v>4</v>
      </c>
      <c r="K1085" s="17" t="s">
        <v>46</v>
      </c>
      <c r="L1085">
        <v>86</v>
      </c>
      <c r="M1085">
        <v>3</v>
      </c>
      <c r="N1085">
        <v>1</v>
      </c>
      <c r="O1085" s="17" t="s">
        <v>50</v>
      </c>
      <c r="P1085" s="14">
        <v>1</v>
      </c>
      <c r="Q1085" t="s">
        <v>41</v>
      </c>
      <c r="R1085" s="14">
        <v>2018</v>
      </c>
      <c r="S1085" s="17" t="str">
        <f t="shared" si="32"/>
        <v>low</v>
      </c>
      <c r="T1085">
        <v>21831</v>
      </c>
      <c r="U1085">
        <v>3</v>
      </c>
      <c r="V1085" s="17" t="s">
        <v>43</v>
      </c>
      <c r="W1085">
        <v>14</v>
      </c>
      <c r="X1085">
        <v>3</v>
      </c>
      <c r="Y1085">
        <v>2</v>
      </c>
      <c r="Z1085">
        <v>0</v>
      </c>
      <c r="AA1085">
        <v>15</v>
      </c>
      <c r="AB1085">
        <v>3</v>
      </c>
      <c r="AC1085">
        <v>1</v>
      </c>
      <c r="AD1085" s="14">
        <v>5</v>
      </c>
      <c r="AE1085" t="str">
        <f t="shared" si="33"/>
        <v>3-5 years</v>
      </c>
      <c r="AF1085" s="14">
        <v>4</v>
      </c>
      <c r="AG1085" s="14">
        <v>1</v>
      </c>
      <c r="AH1085" s="14">
        <v>0</v>
      </c>
    </row>
    <row r="1086" spans="1:34" x14ac:dyDescent="0.3">
      <c r="A1086" s="14">
        <v>34</v>
      </c>
      <c r="B1086" s="17" t="s">
        <v>43</v>
      </c>
      <c r="C1086" t="s">
        <v>36</v>
      </c>
      <c r="D1086">
        <v>971</v>
      </c>
      <c r="E1086" s="17" t="s">
        <v>37</v>
      </c>
      <c r="F1086">
        <v>1</v>
      </c>
      <c r="G1086">
        <v>3</v>
      </c>
      <c r="H1086" t="s">
        <v>60</v>
      </c>
      <c r="I1086">
        <v>1535</v>
      </c>
      <c r="J1086">
        <v>4</v>
      </c>
      <c r="K1086" s="17" t="s">
        <v>46</v>
      </c>
      <c r="L1086">
        <v>64</v>
      </c>
      <c r="M1086">
        <v>2</v>
      </c>
      <c r="N1086">
        <v>3</v>
      </c>
      <c r="O1086" s="17" t="s">
        <v>40</v>
      </c>
      <c r="P1086" s="14">
        <v>3</v>
      </c>
      <c r="Q1086" t="s">
        <v>48</v>
      </c>
      <c r="R1086" s="14">
        <v>7083</v>
      </c>
      <c r="S1086" s="17" t="str">
        <f t="shared" si="32"/>
        <v>high</v>
      </c>
      <c r="T1086">
        <v>12288</v>
      </c>
      <c r="U1086">
        <v>1</v>
      </c>
      <c r="V1086" s="17" t="s">
        <v>35</v>
      </c>
      <c r="W1086">
        <v>14</v>
      </c>
      <c r="X1086">
        <v>3</v>
      </c>
      <c r="Y1086">
        <v>4</v>
      </c>
      <c r="Z1086">
        <v>0</v>
      </c>
      <c r="AA1086">
        <v>10</v>
      </c>
      <c r="AB1086">
        <v>3</v>
      </c>
      <c r="AC1086">
        <v>3</v>
      </c>
      <c r="AD1086" s="14">
        <v>10</v>
      </c>
      <c r="AE1086" t="str">
        <f t="shared" si="33"/>
        <v>6-10 years</v>
      </c>
      <c r="AF1086" s="14">
        <v>9</v>
      </c>
      <c r="AG1086" s="14">
        <v>8</v>
      </c>
      <c r="AH1086" s="14">
        <v>6</v>
      </c>
    </row>
    <row r="1087" spans="1:34" x14ac:dyDescent="0.3">
      <c r="A1087" s="14">
        <v>31</v>
      </c>
      <c r="B1087" s="17" t="s">
        <v>35</v>
      </c>
      <c r="C1087" t="s">
        <v>44</v>
      </c>
      <c r="D1087">
        <v>561</v>
      </c>
      <c r="E1087" s="17" t="s">
        <v>45</v>
      </c>
      <c r="F1087">
        <v>3</v>
      </c>
      <c r="G1087">
        <v>3</v>
      </c>
      <c r="H1087" t="s">
        <v>38</v>
      </c>
      <c r="I1087">
        <v>1537</v>
      </c>
      <c r="J1087">
        <v>4</v>
      </c>
      <c r="K1087" s="17" t="s">
        <v>39</v>
      </c>
      <c r="L1087">
        <v>33</v>
      </c>
      <c r="M1087">
        <v>3</v>
      </c>
      <c r="N1087">
        <v>1</v>
      </c>
      <c r="O1087" s="17" t="s">
        <v>47</v>
      </c>
      <c r="P1087" s="14">
        <v>3</v>
      </c>
      <c r="Q1087" t="s">
        <v>41</v>
      </c>
      <c r="R1087" s="14">
        <v>4084</v>
      </c>
      <c r="S1087" s="17" t="str">
        <f t="shared" si="32"/>
        <v>medium</v>
      </c>
      <c r="T1087">
        <v>4156</v>
      </c>
      <c r="U1087">
        <v>1</v>
      </c>
      <c r="V1087" s="17" t="s">
        <v>43</v>
      </c>
      <c r="W1087">
        <v>12</v>
      </c>
      <c r="X1087">
        <v>3</v>
      </c>
      <c r="Y1087">
        <v>1</v>
      </c>
      <c r="Z1087">
        <v>0</v>
      </c>
      <c r="AA1087">
        <v>7</v>
      </c>
      <c r="AB1087">
        <v>2</v>
      </c>
      <c r="AC1087">
        <v>1</v>
      </c>
      <c r="AD1087" s="14">
        <v>7</v>
      </c>
      <c r="AE1087" t="str">
        <f t="shared" si="33"/>
        <v>6-10 years</v>
      </c>
      <c r="AF1087" s="14">
        <v>2</v>
      </c>
      <c r="AG1087" s="14">
        <v>7</v>
      </c>
      <c r="AH1087" s="14">
        <v>7</v>
      </c>
    </row>
    <row r="1088" spans="1:34" x14ac:dyDescent="0.3">
      <c r="A1088" s="14">
        <v>50</v>
      </c>
      <c r="B1088" s="17" t="s">
        <v>43</v>
      </c>
      <c r="C1088" t="s">
        <v>44</v>
      </c>
      <c r="D1088">
        <v>333</v>
      </c>
      <c r="E1088" s="17" t="s">
        <v>45</v>
      </c>
      <c r="F1088">
        <v>22</v>
      </c>
      <c r="G1088">
        <v>5</v>
      </c>
      <c r="H1088" t="s">
        <v>51</v>
      </c>
      <c r="I1088">
        <v>1539</v>
      </c>
      <c r="J1088">
        <v>3</v>
      </c>
      <c r="K1088" s="17" t="s">
        <v>46</v>
      </c>
      <c r="L1088">
        <v>88</v>
      </c>
      <c r="M1088">
        <v>1</v>
      </c>
      <c r="N1088">
        <v>4</v>
      </c>
      <c r="O1088" s="17" t="s">
        <v>58</v>
      </c>
      <c r="P1088" s="14">
        <v>4</v>
      </c>
      <c r="Q1088" t="s">
        <v>41</v>
      </c>
      <c r="R1088" s="14">
        <v>14411</v>
      </c>
      <c r="S1088" s="17" t="str">
        <f t="shared" si="32"/>
        <v>high</v>
      </c>
      <c r="T1088">
        <v>24450</v>
      </c>
      <c r="U1088">
        <v>1</v>
      </c>
      <c r="V1088" s="17" t="s">
        <v>35</v>
      </c>
      <c r="W1088">
        <v>13</v>
      </c>
      <c r="X1088">
        <v>3</v>
      </c>
      <c r="Y1088">
        <v>4</v>
      </c>
      <c r="Z1088">
        <v>0</v>
      </c>
      <c r="AA1088">
        <v>32</v>
      </c>
      <c r="AB1088">
        <v>2</v>
      </c>
      <c r="AC1088">
        <v>3</v>
      </c>
      <c r="AD1088" s="14">
        <v>32</v>
      </c>
      <c r="AE1088" t="str">
        <f t="shared" si="33"/>
        <v>10+ years</v>
      </c>
      <c r="AF1088" s="14">
        <v>6</v>
      </c>
      <c r="AG1088" s="14">
        <v>13</v>
      </c>
      <c r="AH1088" s="14">
        <v>9</v>
      </c>
    </row>
    <row r="1089" spans="1:34" x14ac:dyDescent="0.3">
      <c r="A1089" s="14">
        <v>34</v>
      </c>
      <c r="B1089" s="17" t="s">
        <v>43</v>
      </c>
      <c r="C1089" t="s">
        <v>36</v>
      </c>
      <c r="D1089">
        <v>1440</v>
      </c>
      <c r="E1089" s="17" t="s">
        <v>37</v>
      </c>
      <c r="F1089">
        <v>7</v>
      </c>
      <c r="G1089">
        <v>2</v>
      </c>
      <c r="H1089" t="s">
        <v>60</v>
      </c>
      <c r="I1089">
        <v>1541</v>
      </c>
      <c r="J1089">
        <v>2</v>
      </c>
      <c r="K1089" s="17" t="s">
        <v>46</v>
      </c>
      <c r="L1089">
        <v>55</v>
      </c>
      <c r="M1089">
        <v>3</v>
      </c>
      <c r="N1089">
        <v>1</v>
      </c>
      <c r="O1089" s="17" t="s">
        <v>57</v>
      </c>
      <c r="P1089" s="14">
        <v>3</v>
      </c>
      <c r="Q1089" t="s">
        <v>48</v>
      </c>
      <c r="R1089" s="14">
        <v>2308</v>
      </c>
      <c r="S1089" s="17" t="str">
        <f t="shared" si="32"/>
        <v>low</v>
      </c>
      <c r="T1089">
        <v>4944</v>
      </c>
      <c r="U1089">
        <v>0</v>
      </c>
      <c r="V1089" s="17" t="s">
        <v>35</v>
      </c>
      <c r="W1089">
        <v>25</v>
      </c>
      <c r="X1089">
        <v>4</v>
      </c>
      <c r="Y1089">
        <v>2</v>
      </c>
      <c r="Z1089">
        <v>1</v>
      </c>
      <c r="AA1089">
        <v>12</v>
      </c>
      <c r="AB1089">
        <v>4</v>
      </c>
      <c r="AC1089">
        <v>3</v>
      </c>
      <c r="AD1089" s="14">
        <v>11</v>
      </c>
      <c r="AE1089" t="str">
        <f t="shared" si="33"/>
        <v>10+ years</v>
      </c>
      <c r="AF1089" s="14">
        <v>10</v>
      </c>
      <c r="AG1089" s="14">
        <v>5</v>
      </c>
      <c r="AH1089" s="14">
        <v>7</v>
      </c>
    </row>
    <row r="1090" spans="1:34" x14ac:dyDescent="0.3">
      <c r="A1090" s="14">
        <v>42</v>
      </c>
      <c r="B1090" s="17" t="s">
        <v>43</v>
      </c>
      <c r="C1090" t="s">
        <v>36</v>
      </c>
      <c r="D1090">
        <v>1210</v>
      </c>
      <c r="E1090" s="17" t="s">
        <v>45</v>
      </c>
      <c r="F1090">
        <v>2</v>
      </c>
      <c r="G1090">
        <v>3</v>
      </c>
      <c r="H1090" t="s">
        <v>51</v>
      </c>
      <c r="I1090">
        <v>1542</v>
      </c>
      <c r="J1090">
        <v>3</v>
      </c>
      <c r="K1090" s="17" t="s">
        <v>46</v>
      </c>
      <c r="L1090">
        <v>68</v>
      </c>
      <c r="M1090">
        <v>2</v>
      </c>
      <c r="N1090">
        <v>1</v>
      </c>
      <c r="O1090" s="17" t="s">
        <v>50</v>
      </c>
      <c r="P1090" s="14">
        <v>2</v>
      </c>
      <c r="Q1090" t="s">
        <v>48</v>
      </c>
      <c r="R1090" s="14">
        <v>4841</v>
      </c>
      <c r="S1090" s="17" t="str">
        <f t="shared" ref="S1090:S1153" si="34">IF(R1090&lt;=3000, "low",IF(R1090&lt;=7000,"medium","high"))</f>
        <v>medium</v>
      </c>
      <c r="T1090">
        <v>24052</v>
      </c>
      <c r="U1090">
        <v>4</v>
      </c>
      <c r="V1090" s="17" t="s">
        <v>43</v>
      </c>
      <c r="W1090">
        <v>14</v>
      </c>
      <c r="X1090">
        <v>3</v>
      </c>
      <c r="Y1090">
        <v>2</v>
      </c>
      <c r="Z1090">
        <v>1</v>
      </c>
      <c r="AA1090">
        <v>4</v>
      </c>
      <c r="AB1090">
        <v>3</v>
      </c>
      <c r="AC1090">
        <v>3</v>
      </c>
      <c r="AD1090" s="14">
        <v>1</v>
      </c>
      <c r="AE1090" t="str">
        <f t="shared" ref="AE1090:AE1153" si="35">IF(AD1090&lt;=2,"0-2 years", IF(AD1090&lt;=5,"3-5 years", IF(AD1090&lt;=10,"6-10 years","10+ years")))</f>
        <v>0-2 years</v>
      </c>
      <c r="AF1090" s="14">
        <v>0</v>
      </c>
      <c r="AG1090" s="14">
        <v>0</v>
      </c>
      <c r="AH1090" s="14">
        <v>0</v>
      </c>
    </row>
    <row r="1091" spans="1:34" x14ac:dyDescent="0.3">
      <c r="A1091" s="14">
        <v>37</v>
      </c>
      <c r="B1091" s="17" t="s">
        <v>43</v>
      </c>
      <c r="C1091" t="s">
        <v>36</v>
      </c>
      <c r="D1091">
        <v>674</v>
      </c>
      <c r="E1091" s="17" t="s">
        <v>45</v>
      </c>
      <c r="F1091">
        <v>13</v>
      </c>
      <c r="G1091">
        <v>3</v>
      </c>
      <c r="H1091" t="s">
        <v>51</v>
      </c>
      <c r="I1091">
        <v>1543</v>
      </c>
      <c r="J1091">
        <v>1</v>
      </c>
      <c r="K1091" s="17" t="s">
        <v>46</v>
      </c>
      <c r="L1091">
        <v>47</v>
      </c>
      <c r="M1091">
        <v>3</v>
      </c>
      <c r="N1091">
        <v>2</v>
      </c>
      <c r="O1091" s="17" t="s">
        <v>47</v>
      </c>
      <c r="P1091" s="14">
        <v>4</v>
      </c>
      <c r="Q1091" t="s">
        <v>48</v>
      </c>
      <c r="R1091" s="14">
        <v>4285</v>
      </c>
      <c r="S1091" s="17" t="str">
        <f t="shared" si="34"/>
        <v>medium</v>
      </c>
      <c r="T1091">
        <v>3031</v>
      </c>
      <c r="U1091">
        <v>1</v>
      </c>
      <c r="V1091" s="17" t="s">
        <v>43</v>
      </c>
      <c r="W1091">
        <v>17</v>
      </c>
      <c r="X1091">
        <v>3</v>
      </c>
      <c r="Y1091">
        <v>1</v>
      </c>
      <c r="Z1091">
        <v>0</v>
      </c>
      <c r="AA1091">
        <v>10</v>
      </c>
      <c r="AB1091">
        <v>2</v>
      </c>
      <c r="AC1091">
        <v>3</v>
      </c>
      <c r="AD1091" s="14">
        <v>10</v>
      </c>
      <c r="AE1091" t="str">
        <f t="shared" si="35"/>
        <v>6-10 years</v>
      </c>
      <c r="AF1091" s="14">
        <v>8</v>
      </c>
      <c r="AG1091" s="14">
        <v>3</v>
      </c>
      <c r="AH1091" s="14">
        <v>7</v>
      </c>
    </row>
    <row r="1092" spans="1:34" x14ac:dyDescent="0.3">
      <c r="A1092" s="14">
        <v>29</v>
      </c>
      <c r="B1092" s="17" t="s">
        <v>43</v>
      </c>
      <c r="C1092" t="s">
        <v>36</v>
      </c>
      <c r="D1092">
        <v>441</v>
      </c>
      <c r="E1092" s="17" t="s">
        <v>45</v>
      </c>
      <c r="F1092">
        <v>8</v>
      </c>
      <c r="G1092">
        <v>1</v>
      </c>
      <c r="H1092" t="s">
        <v>49</v>
      </c>
      <c r="I1092">
        <v>1544</v>
      </c>
      <c r="J1092">
        <v>3</v>
      </c>
      <c r="K1092" s="17" t="s">
        <v>39</v>
      </c>
      <c r="L1092">
        <v>39</v>
      </c>
      <c r="M1092">
        <v>1</v>
      </c>
      <c r="N1092">
        <v>2</v>
      </c>
      <c r="O1092" s="17" t="s">
        <v>54</v>
      </c>
      <c r="P1092" s="14">
        <v>1</v>
      </c>
      <c r="Q1092" t="s">
        <v>48</v>
      </c>
      <c r="R1092" s="14">
        <v>9715</v>
      </c>
      <c r="S1092" s="17" t="str">
        <f t="shared" si="34"/>
        <v>high</v>
      </c>
      <c r="T1092">
        <v>7288</v>
      </c>
      <c r="U1092">
        <v>3</v>
      </c>
      <c r="V1092" s="17" t="s">
        <v>43</v>
      </c>
      <c r="W1092">
        <v>13</v>
      </c>
      <c r="X1092">
        <v>3</v>
      </c>
      <c r="Y1092">
        <v>3</v>
      </c>
      <c r="Z1092">
        <v>1</v>
      </c>
      <c r="AA1092">
        <v>9</v>
      </c>
      <c r="AB1092">
        <v>3</v>
      </c>
      <c r="AC1092">
        <v>3</v>
      </c>
      <c r="AD1092" s="14">
        <v>7</v>
      </c>
      <c r="AE1092" t="str">
        <f t="shared" si="35"/>
        <v>6-10 years</v>
      </c>
      <c r="AF1092" s="14">
        <v>7</v>
      </c>
      <c r="AG1092" s="14">
        <v>0</v>
      </c>
      <c r="AH1092" s="14">
        <v>7</v>
      </c>
    </row>
    <row r="1093" spans="1:34" x14ac:dyDescent="0.3">
      <c r="A1093" s="14">
        <v>33</v>
      </c>
      <c r="B1093" s="17" t="s">
        <v>43</v>
      </c>
      <c r="C1093" t="s">
        <v>36</v>
      </c>
      <c r="D1093">
        <v>575</v>
      </c>
      <c r="E1093" s="17" t="s">
        <v>45</v>
      </c>
      <c r="F1093">
        <v>25</v>
      </c>
      <c r="G1093">
        <v>3</v>
      </c>
      <c r="H1093" t="s">
        <v>38</v>
      </c>
      <c r="I1093">
        <v>1545</v>
      </c>
      <c r="J1093">
        <v>4</v>
      </c>
      <c r="K1093" s="17" t="s">
        <v>46</v>
      </c>
      <c r="L1093">
        <v>44</v>
      </c>
      <c r="M1093">
        <v>2</v>
      </c>
      <c r="N1093">
        <v>2</v>
      </c>
      <c r="O1093" s="17" t="s">
        <v>53</v>
      </c>
      <c r="P1093" s="14">
        <v>2</v>
      </c>
      <c r="Q1093" t="s">
        <v>41</v>
      </c>
      <c r="R1093" s="14">
        <v>4320</v>
      </c>
      <c r="S1093" s="17" t="str">
        <f t="shared" si="34"/>
        <v>medium</v>
      </c>
      <c r="T1093">
        <v>24152</v>
      </c>
      <c r="U1093">
        <v>1</v>
      </c>
      <c r="V1093" s="17" t="s">
        <v>43</v>
      </c>
      <c r="W1093">
        <v>13</v>
      </c>
      <c r="X1093">
        <v>3</v>
      </c>
      <c r="Y1093">
        <v>4</v>
      </c>
      <c r="Z1093">
        <v>0</v>
      </c>
      <c r="AA1093">
        <v>5</v>
      </c>
      <c r="AB1093">
        <v>2</v>
      </c>
      <c r="AC1093">
        <v>3</v>
      </c>
      <c r="AD1093" s="14">
        <v>5</v>
      </c>
      <c r="AE1093" t="str">
        <f t="shared" si="35"/>
        <v>3-5 years</v>
      </c>
      <c r="AF1093" s="14">
        <v>3</v>
      </c>
      <c r="AG1093" s="14">
        <v>0</v>
      </c>
      <c r="AH1093" s="14">
        <v>2</v>
      </c>
    </row>
    <row r="1094" spans="1:34" x14ac:dyDescent="0.3">
      <c r="A1094" s="14">
        <v>45</v>
      </c>
      <c r="B1094" s="17" t="s">
        <v>43</v>
      </c>
      <c r="C1094" t="s">
        <v>36</v>
      </c>
      <c r="D1094">
        <v>950</v>
      </c>
      <c r="E1094" s="17" t="s">
        <v>45</v>
      </c>
      <c r="F1094">
        <v>28</v>
      </c>
      <c r="G1094">
        <v>3</v>
      </c>
      <c r="H1094" t="s">
        <v>60</v>
      </c>
      <c r="I1094">
        <v>1546</v>
      </c>
      <c r="J1094">
        <v>4</v>
      </c>
      <c r="K1094" s="17" t="s">
        <v>46</v>
      </c>
      <c r="L1094">
        <v>97</v>
      </c>
      <c r="M1094">
        <v>3</v>
      </c>
      <c r="N1094">
        <v>1</v>
      </c>
      <c r="O1094" s="17" t="s">
        <v>47</v>
      </c>
      <c r="P1094" s="14">
        <v>4</v>
      </c>
      <c r="Q1094" t="s">
        <v>48</v>
      </c>
      <c r="R1094" s="14">
        <v>2132</v>
      </c>
      <c r="S1094" s="17" t="str">
        <f t="shared" si="34"/>
        <v>low</v>
      </c>
      <c r="T1094">
        <v>4585</v>
      </c>
      <c r="U1094">
        <v>4</v>
      </c>
      <c r="V1094" s="17" t="s">
        <v>43</v>
      </c>
      <c r="W1094">
        <v>20</v>
      </c>
      <c r="X1094">
        <v>4</v>
      </c>
      <c r="Y1094">
        <v>4</v>
      </c>
      <c r="Z1094">
        <v>1</v>
      </c>
      <c r="AA1094">
        <v>8</v>
      </c>
      <c r="AB1094">
        <v>3</v>
      </c>
      <c r="AC1094">
        <v>3</v>
      </c>
      <c r="AD1094" s="14">
        <v>5</v>
      </c>
      <c r="AE1094" t="str">
        <f t="shared" si="35"/>
        <v>3-5 years</v>
      </c>
      <c r="AF1094" s="14">
        <v>4</v>
      </c>
      <c r="AG1094" s="14">
        <v>0</v>
      </c>
      <c r="AH1094" s="14">
        <v>3</v>
      </c>
    </row>
    <row r="1095" spans="1:34" x14ac:dyDescent="0.3">
      <c r="A1095" s="14">
        <v>42</v>
      </c>
      <c r="B1095" s="17" t="s">
        <v>43</v>
      </c>
      <c r="C1095" t="s">
        <v>44</v>
      </c>
      <c r="D1095">
        <v>288</v>
      </c>
      <c r="E1095" s="17" t="s">
        <v>45</v>
      </c>
      <c r="F1095">
        <v>2</v>
      </c>
      <c r="G1095">
        <v>3</v>
      </c>
      <c r="H1095" t="s">
        <v>38</v>
      </c>
      <c r="I1095">
        <v>1547</v>
      </c>
      <c r="J1095">
        <v>4</v>
      </c>
      <c r="K1095" s="17" t="s">
        <v>46</v>
      </c>
      <c r="L1095">
        <v>40</v>
      </c>
      <c r="M1095">
        <v>3</v>
      </c>
      <c r="N1095">
        <v>3</v>
      </c>
      <c r="O1095" s="17" t="s">
        <v>54</v>
      </c>
      <c r="P1095" s="14">
        <v>4</v>
      </c>
      <c r="Q1095" t="s">
        <v>48</v>
      </c>
      <c r="R1095" s="14">
        <v>10124</v>
      </c>
      <c r="S1095" s="17" t="str">
        <f t="shared" si="34"/>
        <v>high</v>
      </c>
      <c r="T1095">
        <v>18611</v>
      </c>
      <c r="U1095">
        <v>2</v>
      </c>
      <c r="V1095" s="17" t="s">
        <v>35</v>
      </c>
      <c r="W1095">
        <v>14</v>
      </c>
      <c r="X1095">
        <v>3</v>
      </c>
      <c r="Y1095">
        <v>3</v>
      </c>
      <c r="Z1095">
        <v>1</v>
      </c>
      <c r="AA1095">
        <v>24</v>
      </c>
      <c r="AB1095">
        <v>3</v>
      </c>
      <c r="AC1095">
        <v>1</v>
      </c>
      <c r="AD1095" s="14">
        <v>20</v>
      </c>
      <c r="AE1095" t="str">
        <f t="shared" si="35"/>
        <v>10+ years</v>
      </c>
      <c r="AF1095" s="14">
        <v>8</v>
      </c>
      <c r="AG1095" s="14">
        <v>13</v>
      </c>
      <c r="AH1095" s="14">
        <v>9</v>
      </c>
    </row>
    <row r="1096" spans="1:34" x14ac:dyDescent="0.3">
      <c r="A1096" s="14">
        <v>40</v>
      </c>
      <c r="B1096" s="17" t="s">
        <v>43</v>
      </c>
      <c r="C1096" t="s">
        <v>36</v>
      </c>
      <c r="D1096">
        <v>1342</v>
      </c>
      <c r="E1096" s="17" t="s">
        <v>37</v>
      </c>
      <c r="F1096">
        <v>9</v>
      </c>
      <c r="G1096">
        <v>2</v>
      </c>
      <c r="H1096" t="s">
        <v>51</v>
      </c>
      <c r="I1096">
        <v>1548</v>
      </c>
      <c r="J1096">
        <v>1</v>
      </c>
      <c r="K1096" s="17" t="s">
        <v>46</v>
      </c>
      <c r="L1096">
        <v>47</v>
      </c>
      <c r="M1096">
        <v>3</v>
      </c>
      <c r="N1096">
        <v>2</v>
      </c>
      <c r="O1096" s="17" t="s">
        <v>40</v>
      </c>
      <c r="P1096" s="14">
        <v>1</v>
      </c>
      <c r="Q1096" t="s">
        <v>48</v>
      </c>
      <c r="R1096" s="14">
        <v>5473</v>
      </c>
      <c r="S1096" s="17" t="str">
        <f t="shared" si="34"/>
        <v>medium</v>
      </c>
      <c r="T1096">
        <v>19345</v>
      </c>
      <c r="U1096">
        <v>0</v>
      </c>
      <c r="V1096" s="17" t="s">
        <v>43</v>
      </c>
      <c r="W1096">
        <v>12</v>
      </c>
      <c r="X1096">
        <v>3</v>
      </c>
      <c r="Y1096">
        <v>4</v>
      </c>
      <c r="Z1096">
        <v>0</v>
      </c>
      <c r="AA1096">
        <v>9</v>
      </c>
      <c r="AB1096">
        <v>5</v>
      </c>
      <c r="AC1096">
        <v>4</v>
      </c>
      <c r="AD1096" s="14">
        <v>8</v>
      </c>
      <c r="AE1096" t="str">
        <f t="shared" si="35"/>
        <v>6-10 years</v>
      </c>
      <c r="AF1096" s="14">
        <v>4</v>
      </c>
      <c r="AG1096" s="14">
        <v>7</v>
      </c>
      <c r="AH1096" s="14">
        <v>1</v>
      </c>
    </row>
    <row r="1097" spans="1:34" x14ac:dyDescent="0.3">
      <c r="A1097" s="14">
        <v>33</v>
      </c>
      <c r="B1097" s="17" t="s">
        <v>43</v>
      </c>
      <c r="C1097" t="s">
        <v>36</v>
      </c>
      <c r="D1097">
        <v>589</v>
      </c>
      <c r="E1097" s="17" t="s">
        <v>45</v>
      </c>
      <c r="F1097">
        <v>28</v>
      </c>
      <c r="G1097">
        <v>4</v>
      </c>
      <c r="H1097" t="s">
        <v>38</v>
      </c>
      <c r="I1097">
        <v>1549</v>
      </c>
      <c r="J1097">
        <v>2</v>
      </c>
      <c r="K1097" s="17" t="s">
        <v>46</v>
      </c>
      <c r="L1097">
        <v>79</v>
      </c>
      <c r="M1097">
        <v>3</v>
      </c>
      <c r="N1097">
        <v>2</v>
      </c>
      <c r="O1097" s="17" t="s">
        <v>50</v>
      </c>
      <c r="P1097" s="14">
        <v>3</v>
      </c>
      <c r="Q1097" t="s">
        <v>48</v>
      </c>
      <c r="R1097" s="14">
        <v>5207</v>
      </c>
      <c r="S1097" s="17" t="str">
        <f t="shared" si="34"/>
        <v>medium</v>
      </c>
      <c r="T1097">
        <v>22949</v>
      </c>
      <c r="U1097">
        <v>1</v>
      </c>
      <c r="V1097" s="17" t="s">
        <v>35</v>
      </c>
      <c r="W1097">
        <v>12</v>
      </c>
      <c r="X1097">
        <v>3</v>
      </c>
      <c r="Y1097">
        <v>2</v>
      </c>
      <c r="Z1097">
        <v>1</v>
      </c>
      <c r="AA1097">
        <v>15</v>
      </c>
      <c r="AB1097">
        <v>3</v>
      </c>
      <c r="AC1097">
        <v>3</v>
      </c>
      <c r="AD1097" s="14">
        <v>15</v>
      </c>
      <c r="AE1097" t="str">
        <f t="shared" si="35"/>
        <v>10+ years</v>
      </c>
      <c r="AF1097" s="14">
        <v>14</v>
      </c>
      <c r="AG1097" s="14">
        <v>5</v>
      </c>
      <c r="AH1097" s="14">
        <v>7</v>
      </c>
    </row>
    <row r="1098" spans="1:34" x14ac:dyDescent="0.3">
      <c r="A1098" s="14">
        <v>40</v>
      </c>
      <c r="B1098" s="17" t="s">
        <v>43</v>
      </c>
      <c r="C1098" t="s">
        <v>36</v>
      </c>
      <c r="D1098">
        <v>898</v>
      </c>
      <c r="E1098" s="17" t="s">
        <v>61</v>
      </c>
      <c r="F1098">
        <v>6</v>
      </c>
      <c r="G1098">
        <v>2</v>
      </c>
      <c r="H1098" t="s">
        <v>51</v>
      </c>
      <c r="I1098">
        <v>1550</v>
      </c>
      <c r="J1098">
        <v>3</v>
      </c>
      <c r="K1098" s="17" t="s">
        <v>46</v>
      </c>
      <c r="L1098">
        <v>38</v>
      </c>
      <c r="M1098">
        <v>3</v>
      </c>
      <c r="N1098">
        <v>4</v>
      </c>
      <c r="O1098" s="17" t="s">
        <v>56</v>
      </c>
      <c r="P1098" s="14">
        <v>4</v>
      </c>
      <c r="Q1098" t="s">
        <v>41</v>
      </c>
      <c r="R1098" s="14">
        <v>16437</v>
      </c>
      <c r="S1098" s="17" t="str">
        <f t="shared" si="34"/>
        <v>high</v>
      </c>
      <c r="T1098">
        <v>17381</v>
      </c>
      <c r="U1098">
        <v>1</v>
      </c>
      <c r="V1098" s="17" t="s">
        <v>35</v>
      </c>
      <c r="W1098">
        <v>21</v>
      </c>
      <c r="X1098">
        <v>4</v>
      </c>
      <c r="Y1098">
        <v>4</v>
      </c>
      <c r="Z1098">
        <v>0</v>
      </c>
      <c r="AA1098">
        <v>21</v>
      </c>
      <c r="AB1098">
        <v>2</v>
      </c>
      <c r="AC1098">
        <v>3</v>
      </c>
      <c r="AD1098" s="14">
        <v>21</v>
      </c>
      <c r="AE1098" t="str">
        <f t="shared" si="35"/>
        <v>10+ years</v>
      </c>
      <c r="AF1098" s="14">
        <v>7</v>
      </c>
      <c r="AG1098" s="14">
        <v>7</v>
      </c>
      <c r="AH1098" s="14">
        <v>7</v>
      </c>
    </row>
    <row r="1099" spans="1:34" x14ac:dyDescent="0.3">
      <c r="A1099" s="14">
        <v>24</v>
      </c>
      <c r="B1099" s="17" t="s">
        <v>43</v>
      </c>
      <c r="C1099" t="s">
        <v>36</v>
      </c>
      <c r="D1099">
        <v>350</v>
      </c>
      <c r="E1099" s="17" t="s">
        <v>45</v>
      </c>
      <c r="F1099">
        <v>21</v>
      </c>
      <c r="G1099">
        <v>2</v>
      </c>
      <c r="H1099" t="s">
        <v>60</v>
      </c>
      <c r="I1099">
        <v>1551</v>
      </c>
      <c r="J1099">
        <v>3</v>
      </c>
      <c r="K1099" s="17" t="s">
        <v>46</v>
      </c>
      <c r="L1099">
        <v>57</v>
      </c>
      <c r="M1099">
        <v>2</v>
      </c>
      <c r="N1099">
        <v>1</v>
      </c>
      <c r="O1099" s="17" t="s">
        <v>50</v>
      </c>
      <c r="P1099" s="14">
        <v>1</v>
      </c>
      <c r="Q1099" t="s">
        <v>52</v>
      </c>
      <c r="R1099" s="14">
        <v>2296</v>
      </c>
      <c r="S1099" s="17" t="str">
        <f t="shared" si="34"/>
        <v>low</v>
      </c>
      <c r="T1099">
        <v>10036</v>
      </c>
      <c r="U1099">
        <v>0</v>
      </c>
      <c r="V1099" s="17" t="s">
        <v>43</v>
      </c>
      <c r="W1099">
        <v>14</v>
      </c>
      <c r="X1099">
        <v>3</v>
      </c>
      <c r="Y1099">
        <v>2</v>
      </c>
      <c r="Z1099">
        <v>3</v>
      </c>
      <c r="AA1099">
        <v>2</v>
      </c>
      <c r="AB1099">
        <v>3</v>
      </c>
      <c r="AC1099">
        <v>3</v>
      </c>
      <c r="AD1099" s="14">
        <v>1</v>
      </c>
      <c r="AE1099" t="str">
        <f t="shared" si="35"/>
        <v>0-2 years</v>
      </c>
      <c r="AF1099" s="14">
        <v>1</v>
      </c>
      <c r="AG1099" s="14">
        <v>0</v>
      </c>
      <c r="AH1099" s="14">
        <v>0</v>
      </c>
    </row>
    <row r="1100" spans="1:34" x14ac:dyDescent="0.3">
      <c r="A1100" s="14">
        <v>40</v>
      </c>
      <c r="B1100" s="17" t="s">
        <v>43</v>
      </c>
      <c r="C1100" t="s">
        <v>55</v>
      </c>
      <c r="D1100">
        <v>1142</v>
      </c>
      <c r="E1100" s="17" t="s">
        <v>45</v>
      </c>
      <c r="F1100">
        <v>8</v>
      </c>
      <c r="G1100">
        <v>2</v>
      </c>
      <c r="H1100" t="s">
        <v>38</v>
      </c>
      <c r="I1100">
        <v>1552</v>
      </c>
      <c r="J1100">
        <v>4</v>
      </c>
      <c r="K1100" s="17" t="s">
        <v>46</v>
      </c>
      <c r="L1100">
        <v>72</v>
      </c>
      <c r="M1100">
        <v>3</v>
      </c>
      <c r="N1100">
        <v>2</v>
      </c>
      <c r="O1100" s="17" t="s">
        <v>54</v>
      </c>
      <c r="P1100" s="14">
        <v>4</v>
      </c>
      <c r="Q1100" t="s">
        <v>52</v>
      </c>
      <c r="R1100" s="14">
        <v>4069</v>
      </c>
      <c r="S1100" s="17" t="str">
        <f t="shared" si="34"/>
        <v>medium</v>
      </c>
      <c r="T1100">
        <v>8841</v>
      </c>
      <c r="U1100">
        <v>3</v>
      </c>
      <c r="V1100" s="17" t="s">
        <v>35</v>
      </c>
      <c r="W1100">
        <v>18</v>
      </c>
      <c r="X1100">
        <v>3</v>
      </c>
      <c r="Y1100">
        <v>3</v>
      </c>
      <c r="Z1100">
        <v>0</v>
      </c>
      <c r="AA1100">
        <v>8</v>
      </c>
      <c r="AB1100">
        <v>2</v>
      </c>
      <c r="AC1100">
        <v>3</v>
      </c>
      <c r="AD1100" s="14">
        <v>2</v>
      </c>
      <c r="AE1100" t="str">
        <f t="shared" si="35"/>
        <v>0-2 years</v>
      </c>
      <c r="AF1100" s="14">
        <v>2</v>
      </c>
      <c r="AG1100" s="14">
        <v>2</v>
      </c>
      <c r="AH1100" s="14">
        <v>2</v>
      </c>
    </row>
    <row r="1101" spans="1:34" x14ac:dyDescent="0.3">
      <c r="A1101" s="14">
        <v>45</v>
      </c>
      <c r="B1101" s="17" t="s">
        <v>43</v>
      </c>
      <c r="C1101" t="s">
        <v>36</v>
      </c>
      <c r="D1101">
        <v>538</v>
      </c>
      <c r="E1101" s="17" t="s">
        <v>45</v>
      </c>
      <c r="F1101">
        <v>1</v>
      </c>
      <c r="G1101">
        <v>4</v>
      </c>
      <c r="H1101" t="s">
        <v>60</v>
      </c>
      <c r="I1101">
        <v>1553</v>
      </c>
      <c r="J1101">
        <v>1</v>
      </c>
      <c r="K1101" s="17" t="s">
        <v>46</v>
      </c>
      <c r="L1101">
        <v>66</v>
      </c>
      <c r="M1101">
        <v>3</v>
      </c>
      <c r="N1101">
        <v>3</v>
      </c>
      <c r="O1101" s="17" t="s">
        <v>54</v>
      </c>
      <c r="P1101" s="14">
        <v>2</v>
      </c>
      <c r="Q1101" t="s">
        <v>52</v>
      </c>
      <c r="R1101" s="14">
        <v>7441</v>
      </c>
      <c r="S1101" s="17" t="str">
        <f t="shared" si="34"/>
        <v>high</v>
      </c>
      <c r="T1101">
        <v>20933</v>
      </c>
      <c r="U1101">
        <v>1</v>
      </c>
      <c r="V1101" s="17" t="s">
        <v>43</v>
      </c>
      <c r="W1101">
        <v>12</v>
      </c>
      <c r="X1101">
        <v>3</v>
      </c>
      <c r="Y1101">
        <v>1</v>
      </c>
      <c r="Z1101">
        <v>3</v>
      </c>
      <c r="AA1101">
        <v>10</v>
      </c>
      <c r="AB1101">
        <v>4</v>
      </c>
      <c r="AC1101">
        <v>3</v>
      </c>
      <c r="AD1101" s="14">
        <v>10</v>
      </c>
      <c r="AE1101" t="str">
        <f t="shared" si="35"/>
        <v>6-10 years</v>
      </c>
      <c r="AF1101" s="14">
        <v>8</v>
      </c>
      <c r="AG1101" s="14">
        <v>7</v>
      </c>
      <c r="AH1101" s="14">
        <v>7</v>
      </c>
    </row>
    <row r="1102" spans="1:34" x14ac:dyDescent="0.3">
      <c r="A1102" s="14">
        <v>35</v>
      </c>
      <c r="B1102" s="17" t="s">
        <v>43</v>
      </c>
      <c r="C1102" t="s">
        <v>36</v>
      </c>
      <c r="D1102">
        <v>1402</v>
      </c>
      <c r="E1102" s="17" t="s">
        <v>37</v>
      </c>
      <c r="F1102">
        <v>28</v>
      </c>
      <c r="G1102">
        <v>4</v>
      </c>
      <c r="H1102" t="s">
        <v>38</v>
      </c>
      <c r="I1102">
        <v>1554</v>
      </c>
      <c r="J1102">
        <v>2</v>
      </c>
      <c r="K1102" s="17" t="s">
        <v>39</v>
      </c>
      <c r="L1102">
        <v>98</v>
      </c>
      <c r="M1102">
        <v>2</v>
      </c>
      <c r="N1102">
        <v>1</v>
      </c>
      <c r="O1102" s="17" t="s">
        <v>57</v>
      </c>
      <c r="P1102" s="14">
        <v>3</v>
      </c>
      <c r="Q1102" t="s">
        <v>48</v>
      </c>
      <c r="R1102" s="14">
        <v>2430</v>
      </c>
      <c r="S1102" s="17" t="str">
        <f t="shared" si="34"/>
        <v>low</v>
      </c>
      <c r="T1102">
        <v>26204</v>
      </c>
      <c r="U1102">
        <v>0</v>
      </c>
      <c r="V1102" s="17" t="s">
        <v>43</v>
      </c>
      <c r="W1102">
        <v>23</v>
      </c>
      <c r="X1102">
        <v>4</v>
      </c>
      <c r="Y1102">
        <v>1</v>
      </c>
      <c r="Z1102">
        <v>2</v>
      </c>
      <c r="AA1102">
        <v>6</v>
      </c>
      <c r="AB1102">
        <v>5</v>
      </c>
      <c r="AC1102">
        <v>3</v>
      </c>
      <c r="AD1102" s="14">
        <v>5</v>
      </c>
      <c r="AE1102" t="str">
        <f t="shared" si="35"/>
        <v>3-5 years</v>
      </c>
      <c r="AF1102" s="14">
        <v>3</v>
      </c>
      <c r="AG1102" s="14">
        <v>4</v>
      </c>
      <c r="AH1102" s="14">
        <v>2</v>
      </c>
    </row>
    <row r="1103" spans="1:34" x14ac:dyDescent="0.3">
      <c r="A1103" s="14">
        <v>32</v>
      </c>
      <c r="B1103" s="17" t="s">
        <v>43</v>
      </c>
      <c r="C1103" t="s">
        <v>36</v>
      </c>
      <c r="D1103">
        <v>824</v>
      </c>
      <c r="E1103" s="17" t="s">
        <v>45</v>
      </c>
      <c r="F1103">
        <v>5</v>
      </c>
      <c r="G1103">
        <v>2</v>
      </c>
      <c r="H1103" t="s">
        <v>38</v>
      </c>
      <c r="I1103">
        <v>1555</v>
      </c>
      <c r="J1103">
        <v>4</v>
      </c>
      <c r="K1103" s="17" t="s">
        <v>39</v>
      </c>
      <c r="L1103">
        <v>67</v>
      </c>
      <c r="M1103">
        <v>2</v>
      </c>
      <c r="N1103">
        <v>2</v>
      </c>
      <c r="O1103" s="17" t="s">
        <v>47</v>
      </c>
      <c r="P1103" s="14">
        <v>2</v>
      </c>
      <c r="Q1103" t="s">
        <v>48</v>
      </c>
      <c r="R1103" s="14">
        <v>5878</v>
      </c>
      <c r="S1103" s="17" t="str">
        <f t="shared" si="34"/>
        <v>medium</v>
      </c>
      <c r="T1103">
        <v>15624</v>
      </c>
      <c r="U1103">
        <v>3</v>
      </c>
      <c r="V1103" s="17" t="s">
        <v>43</v>
      </c>
      <c r="W1103">
        <v>12</v>
      </c>
      <c r="X1103">
        <v>3</v>
      </c>
      <c r="Y1103">
        <v>1</v>
      </c>
      <c r="Z1103">
        <v>1</v>
      </c>
      <c r="AA1103">
        <v>12</v>
      </c>
      <c r="AB1103">
        <v>2</v>
      </c>
      <c r="AC1103">
        <v>3</v>
      </c>
      <c r="AD1103" s="14">
        <v>7</v>
      </c>
      <c r="AE1103" t="str">
        <f t="shared" si="35"/>
        <v>6-10 years</v>
      </c>
      <c r="AF1103" s="14">
        <v>1</v>
      </c>
      <c r="AG1103" s="14">
        <v>2</v>
      </c>
      <c r="AH1103" s="14">
        <v>5</v>
      </c>
    </row>
    <row r="1104" spans="1:34" x14ac:dyDescent="0.3">
      <c r="A1104" s="14">
        <v>36</v>
      </c>
      <c r="B1104" s="17" t="s">
        <v>43</v>
      </c>
      <c r="C1104" t="s">
        <v>36</v>
      </c>
      <c r="D1104">
        <v>1157</v>
      </c>
      <c r="E1104" s="17" t="s">
        <v>37</v>
      </c>
      <c r="F1104">
        <v>2</v>
      </c>
      <c r="G1104">
        <v>4</v>
      </c>
      <c r="H1104" t="s">
        <v>38</v>
      </c>
      <c r="I1104">
        <v>1556</v>
      </c>
      <c r="J1104">
        <v>3</v>
      </c>
      <c r="K1104" s="17" t="s">
        <v>46</v>
      </c>
      <c r="L1104">
        <v>70</v>
      </c>
      <c r="M1104">
        <v>3</v>
      </c>
      <c r="N1104">
        <v>1</v>
      </c>
      <c r="O1104" s="17" t="s">
        <v>57</v>
      </c>
      <c r="P1104" s="14">
        <v>4</v>
      </c>
      <c r="Q1104" t="s">
        <v>41</v>
      </c>
      <c r="R1104" s="14">
        <v>2644</v>
      </c>
      <c r="S1104" s="17" t="str">
        <f t="shared" si="34"/>
        <v>low</v>
      </c>
      <c r="T1104">
        <v>17001</v>
      </c>
      <c r="U1104">
        <v>3</v>
      </c>
      <c r="V1104" s="17" t="s">
        <v>35</v>
      </c>
      <c r="W1104">
        <v>21</v>
      </c>
      <c r="X1104">
        <v>4</v>
      </c>
      <c r="Y1104">
        <v>4</v>
      </c>
      <c r="Z1104">
        <v>0</v>
      </c>
      <c r="AA1104">
        <v>7</v>
      </c>
      <c r="AB1104">
        <v>3</v>
      </c>
      <c r="AC1104">
        <v>2</v>
      </c>
      <c r="AD1104" s="14">
        <v>3</v>
      </c>
      <c r="AE1104" t="str">
        <f t="shared" si="35"/>
        <v>3-5 years</v>
      </c>
      <c r="AF1104" s="14">
        <v>2</v>
      </c>
      <c r="AG1104" s="14">
        <v>1</v>
      </c>
      <c r="AH1104" s="14">
        <v>2</v>
      </c>
    </row>
    <row r="1105" spans="1:34" x14ac:dyDescent="0.3">
      <c r="A1105" s="14">
        <v>48</v>
      </c>
      <c r="B1105" s="17" t="s">
        <v>43</v>
      </c>
      <c r="C1105" t="s">
        <v>36</v>
      </c>
      <c r="D1105">
        <v>492</v>
      </c>
      <c r="E1105" s="17" t="s">
        <v>37</v>
      </c>
      <c r="F1105">
        <v>16</v>
      </c>
      <c r="G1105">
        <v>4</v>
      </c>
      <c r="H1105" t="s">
        <v>38</v>
      </c>
      <c r="I1105">
        <v>1557</v>
      </c>
      <c r="J1105">
        <v>3</v>
      </c>
      <c r="K1105" s="17" t="s">
        <v>39</v>
      </c>
      <c r="L1105">
        <v>96</v>
      </c>
      <c r="M1105">
        <v>3</v>
      </c>
      <c r="N1105">
        <v>2</v>
      </c>
      <c r="O1105" s="17" t="s">
        <v>40</v>
      </c>
      <c r="P1105" s="14">
        <v>3</v>
      </c>
      <c r="Q1105" t="s">
        <v>52</v>
      </c>
      <c r="R1105" s="14">
        <v>6439</v>
      </c>
      <c r="S1105" s="17" t="str">
        <f t="shared" si="34"/>
        <v>medium</v>
      </c>
      <c r="T1105">
        <v>13693</v>
      </c>
      <c r="U1105">
        <v>8</v>
      </c>
      <c r="V1105" s="17" t="s">
        <v>43</v>
      </c>
      <c r="W1105">
        <v>14</v>
      </c>
      <c r="X1105">
        <v>3</v>
      </c>
      <c r="Y1105">
        <v>3</v>
      </c>
      <c r="Z1105">
        <v>1</v>
      </c>
      <c r="AA1105">
        <v>18</v>
      </c>
      <c r="AB1105">
        <v>2</v>
      </c>
      <c r="AC1105">
        <v>3</v>
      </c>
      <c r="AD1105" s="14">
        <v>8</v>
      </c>
      <c r="AE1105" t="str">
        <f t="shared" si="35"/>
        <v>6-10 years</v>
      </c>
      <c r="AF1105" s="14">
        <v>7</v>
      </c>
      <c r="AG1105" s="14">
        <v>7</v>
      </c>
      <c r="AH1105" s="14">
        <v>7</v>
      </c>
    </row>
    <row r="1106" spans="1:34" x14ac:dyDescent="0.3">
      <c r="A1106" s="14">
        <v>29</v>
      </c>
      <c r="B1106" s="17" t="s">
        <v>43</v>
      </c>
      <c r="C1106" t="s">
        <v>36</v>
      </c>
      <c r="D1106">
        <v>598</v>
      </c>
      <c r="E1106" s="17" t="s">
        <v>45</v>
      </c>
      <c r="F1106">
        <v>9</v>
      </c>
      <c r="G1106">
        <v>3</v>
      </c>
      <c r="H1106" t="s">
        <v>38</v>
      </c>
      <c r="I1106">
        <v>1558</v>
      </c>
      <c r="J1106">
        <v>3</v>
      </c>
      <c r="K1106" s="17" t="s">
        <v>46</v>
      </c>
      <c r="L1106">
        <v>91</v>
      </c>
      <c r="M1106">
        <v>4</v>
      </c>
      <c r="N1106">
        <v>1</v>
      </c>
      <c r="O1106" s="17" t="s">
        <v>47</v>
      </c>
      <c r="P1106" s="14">
        <v>3</v>
      </c>
      <c r="Q1106" t="s">
        <v>48</v>
      </c>
      <c r="R1106" s="14">
        <v>2451</v>
      </c>
      <c r="S1106" s="17" t="str">
        <f t="shared" si="34"/>
        <v>low</v>
      </c>
      <c r="T1106">
        <v>22376</v>
      </c>
      <c r="U1106">
        <v>6</v>
      </c>
      <c r="V1106" s="17" t="s">
        <v>43</v>
      </c>
      <c r="W1106">
        <v>18</v>
      </c>
      <c r="X1106">
        <v>3</v>
      </c>
      <c r="Y1106">
        <v>1</v>
      </c>
      <c r="Z1106">
        <v>2</v>
      </c>
      <c r="AA1106">
        <v>5</v>
      </c>
      <c r="AB1106">
        <v>2</v>
      </c>
      <c r="AC1106">
        <v>2</v>
      </c>
      <c r="AD1106" s="14">
        <v>1</v>
      </c>
      <c r="AE1106" t="str">
        <f t="shared" si="35"/>
        <v>0-2 years</v>
      </c>
      <c r="AF1106" s="14">
        <v>0</v>
      </c>
      <c r="AG1106" s="14">
        <v>0</v>
      </c>
      <c r="AH1106" s="14">
        <v>0</v>
      </c>
    </row>
    <row r="1107" spans="1:34" x14ac:dyDescent="0.3">
      <c r="A1107" s="14">
        <v>33</v>
      </c>
      <c r="B1107" s="17" t="s">
        <v>43</v>
      </c>
      <c r="C1107" t="s">
        <v>36</v>
      </c>
      <c r="D1107">
        <v>1242</v>
      </c>
      <c r="E1107" s="17" t="s">
        <v>37</v>
      </c>
      <c r="F1107">
        <v>8</v>
      </c>
      <c r="G1107">
        <v>4</v>
      </c>
      <c r="H1107" t="s">
        <v>38</v>
      </c>
      <c r="I1107">
        <v>1560</v>
      </c>
      <c r="J1107">
        <v>1</v>
      </c>
      <c r="K1107" s="17" t="s">
        <v>46</v>
      </c>
      <c r="L1107">
        <v>46</v>
      </c>
      <c r="M1107">
        <v>3</v>
      </c>
      <c r="N1107">
        <v>2</v>
      </c>
      <c r="O1107" s="17" t="s">
        <v>40</v>
      </c>
      <c r="P1107" s="14">
        <v>1</v>
      </c>
      <c r="Q1107" t="s">
        <v>48</v>
      </c>
      <c r="R1107" s="14">
        <v>6392</v>
      </c>
      <c r="S1107" s="17" t="str">
        <f t="shared" si="34"/>
        <v>medium</v>
      </c>
      <c r="T1107">
        <v>10589</v>
      </c>
      <c r="U1107">
        <v>2</v>
      </c>
      <c r="V1107" s="17" t="s">
        <v>43</v>
      </c>
      <c r="W1107">
        <v>13</v>
      </c>
      <c r="X1107">
        <v>3</v>
      </c>
      <c r="Y1107">
        <v>4</v>
      </c>
      <c r="Z1107">
        <v>1</v>
      </c>
      <c r="AA1107">
        <v>8</v>
      </c>
      <c r="AB1107">
        <v>6</v>
      </c>
      <c r="AC1107">
        <v>1</v>
      </c>
      <c r="AD1107" s="14">
        <v>2</v>
      </c>
      <c r="AE1107" t="str">
        <f t="shared" si="35"/>
        <v>0-2 years</v>
      </c>
      <c r="AF1107" s="14">
        <v>2</v>
      </c>
      <c r="AG1107" s="14">
        <v>2</v>
      </c>
      <c r="AH1107" s="14">
        <v>2</v>
      </c>
    </row>
    <row r="1108" spans="1:34" x14ac:dyDescent="0.3">
      <c r="A1108" s="14">
        <v>30</v>
      </c>
      <c r="B1108" s="17" t="s">
        <v>35</v>
      </c>
      <c r="C1108" t="s">
        <v>36</v>
      </c>
      <c r="D1108">
        <v>740</v>
      </c>
      <c r="E1108" s="17" t="s">
        <v>37</v>
      </c>
      <c r="F1108">
        <v>1</v>
      </c>
      <c r="G1108">
        <v>3</v>
      </c>
      <c r="H1108" t="s">
        <v>38</v>
      </c>
      <c r="I1108">
        <v>1562</v>
      </c>
      <c r="J1108">
        <v>2</v>
      </c>
      <c r="K1108" s="17" t="s">
        <v>46</v>
      </c>
      <c r="L1108">
        <v>64</v>
      </c>
      <c r="M1108">
        <v>2</v>
      </c>
      <c r="N1108">
        <v>2</v>
      </c>
      <c r="O1108" s="17" t="s">
        <v>40</v>
      </c>
      <c r="P1108" s="14">
        <v>1</v>
      </c>
      <c r="Q1108" t="s">
        <v>48</v>
      </c>
      <c r="R1108" s="14">
        <v>9714</v>
      </c>
      <c r="S1108" s="17" t="str">
        <f t="shared" si="34"/>
        <v>high</v>
      </c>
      <c r="T1108">
        <v>5323</v>
      </c>
      <c r="U1108">
        <v>1</v>
      </c>
      <c r="V1108" s="17" t="s">
        <v>43</v>
      </c>
      <c r="W1108">
        <v>11</v>
      </c>
      <c r="X1108">
        <v>3</v>
      </c>
      <c r="Y1108">
        <v>4</v>
      </c>
      <c r="Z1108">
        <v>1</v>
      </c>
      <c r="AA1108">
        <v>10</v>
      </c>
      <c r="AB1108">
        <v>4</v>
      </c>
      <c r="AC1108">
        <v>3</v>
      </c>
      <c r="AD1108" s="14">
        <v>10</v>
      </c>
      <c r="AE1108" t="str">
        <f t="shared" si="35"/>
        <v>6-10 years</v>
      </c>
      <c r="AF1108" s="14">
        <v>8</v>
      </c>
      <c r="AG1108" s="14">
        <v>6</v>
      </c>
      <c r="AH1108" s="14">
        <v>7</v>
      </c>
    </row>
    <row r="1109" spans="1:34" x14ac:dyDescent="0.3">
      <c r="A1109" s="14">
        <v>38</v>
      </c>
      <c r="B1109" s="17" t="s">
        <v>43</v>
      </c>
      <c r="C1109" t="s">
        <v>44</v>
      </c>
      <c r="D1109">
        <v>888</v>
      </c>
      <c r="E1109" s="17" t="s">
        <v>61</v>
      </c>
      <c r="F1109">
        <v>10</v>
      </c>
      <c r="G1109">
        <v>4</v>
      </c>
      <c r="H1109" t="s">
        <v>61</v>
      </c>
      <c r="I1109">
        <v>1563</v>
      </c>
      <c r="J1109">
        <v>3</v>
      </c>
      <c r="K1109" s="17" t="s">
        <v>46</v>
      </c>
      <c r="L1109">
        <v>71</v>
      </c>
      <c r="M1109">
        <v>3</v>
      </c>
      <c r="N1109">
        <v>2</v>
      </c>
      <c r="O1109" s="17" t="s">
        <v>61</v>
      </c>
      <c r="P1109" s="14">
        <v>3</v>
      </c>
      <c r="Q1109" t="s">
        <v>48</v>
      </c>
      <c r="R1109" s="14">
        <v>6077</v>
      </c>
      <c r="S1109" s="17" t="str">
        <f t="shared" si="34"/>
        <v>medium</v>
      </c>
      <c r="T1109">
        <v>14814</v>
      </c>
      <c r="U1109">
        <v>3</v>
      </c>
      <c r="V1109" s="17" t="s">
        <v>43</v>
      </c>
      <c r="W1109">
        <v>11</v>
      </c>
      <c r="X1109">
        <v>3</v>
      </c>
      <c r="Y1109">
        <v>3</v>
      </c>
      <c r="Z1109">
        <v>0</v>
      </c>
      <c r="AA1109">
        <v>10</v>
      </c>
      <c r="AB1109">
        <v>2</v>
      </c>
      <c r="AC1109">
        <v>3</v>
      </c>
      <c r="AD1109" s="14">
        <v>6</v>
      </c>
      <c r="AE1109" t="str">
        <f t="shared" si="35"/>
        <v>6-10 years</v>
      </c>
      <c r="AF1109" s="14">
        <v>3</v>
      </c>
      <c r="AG1109" s="14">
        <v>1</v>
      </c>
      <c r="AH1109" s="14">
        <v>2</v>
      </c>
    </row>
    <row r="1110" spans="1:34" x14ac:dyDescent="0.3">
      <c r="A1110" s="14">
        <v>35</v>
      </c>
      <c r="B1110" s="17" t="s">
        <v>43</v>
      </c>
      <c r="C1110" t="s">
        <v>36</v>
      </c>
      <c r="D1110">
        <v>992</v>
      </c>
      <c r="E1110" s="17" t="s">
        <v>45</v>
      </c>
      <c r="F1110">
        <v>1</v>
      </c>
      <c r="G1110">
        <v>3</v>
      </c>
      <c r="H1110" t="s">
        <v>51</v>
      </c>
      <c r="I1110">
        <v>1564</v>
      </c>
      <c r="J1110">
        <v>4</v>
      </c>
      <c r="K1110" s="17" t="s">
        <v>46</v>
      </c>
      <c r="L1110">
        <v>68</v>
      </c>
      <c r="M1110">
        <v>2</v>
      </c>
      <c r="N1110">
        <v>1</v>
      </c>
      <c r="O1110" s="17" t="s">
        <v>50</v>
      </c>
      <c r="P1110" s="14">
        <v>1</v>
      </c>
      <c r="Q1110" t="s">
        <v>41</v>
      </c>
      <c r="R1110" s="14">
        <v>2450</v>
      </c>
      <c r="S1110" s="17" t="str">
        <f t="shared" si="34"/>
        <v>low</v>
      </c>
      <c r="T1110">
        <v>21731</v>
      </c>
      <c r="U1110">
        <v>1</v>
      </c>
      <c r="V1110" s="17" t="s">
        <v>43</v>
      </c>
      <c r="W1110">
        <v>19</v>
      </c>
      <c r="X1110">
        <v>3</v>
      </c>
      <c r="Y1110">
        <v>2</v>
      </c>
      <c r="Z1110">
        <v>0</v>
      </c>
      <c r="AA1110">
        <v>3</v>
      </c>
      <c r="AB1110">
        <v>3</v>
      </c>
      <c r="AC1110">
        <v>3</v>
      </c>
      <c r="AD1110" s="14">
        <v>3</v>
      </c>
      <c r="AE1110" t="str">
        <f t="shared" si="35"/>
        <v>3-5 years</v>
      </c>
      <c r="AF1110" s="14">
        <v>0</v>
      </c>
      <c r="AG1110" s="14">
        <v>1</v>
      </c>
      <c r="AH1110" s="14">
        <v>2</v>
      </c>
    </row>
    <row r="1111" spans="1:34" x14ac:dyDescent="0.3">
      <c r="A1111" s="14">
        <v>30</v>
      </c>
      <c r="B1111" s="17" t="s">
        <v>43</v>
      </c>
      <c r="C1111" t="s">
        <v>36</v>
      </c>
      <c r="D1111">
        <v>1288</v>
      </c>
      <c r="E1111" s="17" t="s">
        <v>37</v>
      </c>
      <c r="F1111">
        <v>29</v>
      </c>
      <c r="G1111">
        <v>4</v>
      </c>
      <c r="H1111" t="s">
        <v>60</v>
      </c>
      <c r="I1111">
        <v>1568</v>
      </c>
      <c r="J1111">
        <v>3</v>
      </c>
      <c r="K1111" s="17" t="s">
        <v>46</v>
      </c>
      <c r="L1111">
        <v>33</v>
      </c>
      <c r="M1111">
        <v>3</v>
      </c>
      <c r="N1111">
        <v>3</v>
      </c>
      <c r="O1111" s="17" t="s">
        <v>40</v>
      </c>
      <c r="P1111" s="14">
        <v>2</v>
      </c>
      <c r="Q1111" t="s">
        <v>48</v>
      </c>
      <c r="R1111" s="14">
        <v>9250</v>
      </c>
      <c r="S1111" s="17" t="str">
        <f t="shared" si="34"/>
        <v>high</v>
      </c>
      <c r="T1111">
        <v>17799</v>
      </c>
      <c r="U1111">
        <v>3</v>
      </c>
      <c r="V1111" s="17" t="s">
        <v>43</v>
      </c>
      <c r="W1111">
        <v>12</v>
      </c>
      <c r="X1111">
        <v>3</v>
      </c>
      <c r="Y1111">
        <v>2</v>
      </c>
      <c r="Z1111">
        <v>1</v>
      </c>
      <c r="AA1111">
        <v>9</v>
      </c>
      <c r="AB1111">
        <v>3</v>
      </c>
      <c r="AC1111">
        <v>3</v>
      </c>
      <c r="AD1111" s="14">
        <v>4</v>
      </c>
      <c r="AE1111" t="str">
        <f t="shared" si="35"/>
        <v>3-5 years</v>
      </c>
      <c r="AF1111" s="14">
        <v>2</v>
      </c>
      <c r="AG1111" s="14">
        <v>1</v>
      </c>
      <c r="AH1111" s="14">
        <v>3</v>
      </c>
    </row>
    <row r="1112" spans="1:34" x14ac:dyDescent="0.3">
      <c r="A1112" s="14">
        <v>35</v>
      </c>
      <c r="B1112" s="17" t="s">
        <v>35</v>
      </c>
      <c r="C1112" t="s">
        <v>36</v>
      </c>
      <c r="D1112">
        <v>104</v>
      </c>
      <c r="E1112" s="17" t="s">
        <v>45</v>
      </c>
      <c r="F1112">
        <v>2</v>
      </c>
      <c r="G1112">
        <v>3</v>
      </c>
      <c r="H1112" t="s">
        <v>38</v>
      </c>
      <c r="I1112">
        <v>1569</v>
      </c>
      <c r="J1112">
        <v>1</v>
      </c>
      <c r="K1112" s="17" t="s">
        <v>39</v>
      </c>
      <c r="L1112">
        <v>69</v>
      </c>
      <c r="M1112">
        <v>3</v>
      </c>
      <c r="N1112">
        <v>1</v>
      </c>
      <c r="O1112" s="17" t="s">
        <v>50</v>
      </c>
      <c r="P1112" s="14">
        <v>1</v>
      </c>
      <c r="Q1112" t="s">
        <v>52</v>
      </c>
      <c r="R1112" s="14">
        <v>2074</v>
      </c>
      <c r="S1112" s="17" t="str">
        <f t="shared" si="34"/>
        <v>low</v>
      </c>
      <c r="T1112">
        <v>26619</v>
      </c>
      <c r="U1112">
        <v>1</v>
      </c>
      <c r="V1112" s="17" t="s">
        <v>35</v>
      </c>
      <c r="W1112">
        <v>12</v>
      </c>
      <c r="X1112">
        <v>3</v>
      </c>
      <c r="Y1112">
        <v>4</v>
      </c>
      <c r="Z1112">
        <v>1</v>
      </c>
      <c r="AA1112">
        <v>1</v>
      </c>
      <c r="AB1112">
        <v>2</v>
      </c>
      <c r="AC1112">
        <v>3</v>
      </c>
      <c r="AD1112" s="14">
        <v>1</v>
      </c>
      <c r="AE1112" t="str">
        <f t="shared" si="35"/>
        <v>0-2 years</v>
      </c>
      <c r="AF1112" s="14">
        <v>0</v>
      </c>
      <c r="AG1112" s="14">
        <v>0</v>
      </c>
      <c r="AH1112" s="14">
        <v>0</v>
      </c>
    </row>
    <row r="1113" spans="1:34" x14ac:dyDescent="0.3">
      <c r="A1113" s="14">
        <v>53</v>
      </c>
      <c r="B1113" s="17" t="s">
        <v>35</v>
      </c>
      <c r="C1113" t="s">
        <v>36</v>
      </c>
      <c r="D1113">
        <v>607</v>
      </c>
      <c r="E1113" s="17" t="s">
        <v>45</v>
      </c>
      <c r="F1113">
        <v>2</v>
      </c>
      <c r="G1113">
        <v>5</v>
      </c>
      <c r="H1113" t="s">
        <v>60</v>
      </c>
      <c r="I1113">
        <v>1572</v>
      </c>
      <c r="J1113">
        <v>3</v>
      </c>
      <c r="K1113" s="17" t="s">
        <v>39</v>
      </c>
      <c r="L1113">
        <v>78</v>
      </c>
      <c r="M1113">
        <v>2</v>
      </c>
      <c r="N1113">
        <v>3</v>
      </c>
      <c r="O1113" s="17" t="s">
        <v>53</v>
      </c>
      <c r="P1113" s="14">
        <v>4</v>
      </c>
      <c r="Q1113" t="s">
        <v>48</v>
      </c>
      <c r="R1113" s="14">
        <v>10169</v>
      </c>
      <c r="S1113" s="17" t="str">
        <f t="shared" si="34"/>
        <v>high</v>
      </c>
      <c r="T1113">
        <v>14618</v>
      </c>
      <c r="U1113">
        <v>0</v>
      </c>
      <c r="V1113" s="17" t="s">
        <v>43</v>
      </c>
      <c r="W1113">
        <v>16</v>
      </c>
      <c r="X1113">
        <v>3</v>
      </c>
      <c r="Y1113">
        <v>2</v>
      </c>
      <c r="Z1113">
        <v>1</v>
      </c>
      <c r="AA1113">
        <v>34</v>
      </c>
      <c r="AB1113">
        <v>4</v>
      </c>
      <c r="AC1113">
        <v>3</v>
      </c>
      <c r="AD1113" s="14">
        <v>33</v>
      </c>
      <c r="AE1113" t="str">
        <f t="shared" si="35"/>
        <v>10+ years</v>
      </c>
      <c r="AF1113" s="14">
        <v>7</v>
      </c>
      <c r="AG1113" s="14">
        <v>1</v>
      </c>
      <c r="AH1113" s="14">
        <v>9</v>
      </c>
    </row>
    <row r="1114" spans="1:34" x14ac:dyDescent="0.3">
      <c r="A1114" s="14">
        <v>38</v>
      </c>
      <c r="B1114" s="17" t="s">
        <v>35</v>
      </c>
      <c r="C1114" t="s">
        <v>36</v>
      </c>
      <c r="D1114">
        <v>903</v>
      </c>
      <c r="E1114" s="17" t="s">
        <v>45</v>
      </c>
      <c r="F1114">
        <v>2</v>
      </c>
      <c r="G1114">
        <v>3</v>
      </c>
      <c r="H1114" t="s">
        <v>51</v>
      </c>
      <c r="I1114">
        <v>1573</v>
      </c>
      <c r="J1114">
        <v>3</v>
      </c>
      <c r="K1114" s="17" t="s">
        <v>46</v>
      </c>
      <c r="L1114">
        <v>81</v>
      </c>
      <c r="M1114">
        <v>3</v>
      </c>
      <c r="N1114">
        <v>2</v>
      </c>
      <c r="O1114" s="17" t="s">
        <v>53</v>
      </c>
      <c r="P1114" s="14">
        <v>2</v>
      </c>
      <c r="Q1114" t="s">
        <v>48</v>
      </c>
      <c r="R1114" s="14">
        <v>4855</v>
      </c>
      <c r="S1114" s="17" t="str">
        <f t="shared" si="34"/>
        <v>medium</v>
      </c>
      <c r="T1114">
        <v>7653</v>
      </c>
      <c r="U1114">
        <v>4</v>
      </c>
      <c r="V1114" s="17" t="s">
        <v>43</v>
      </c>
      <c r="W1114">
        <v>11</v>
      </c>
      <c r="X1114">
        <v>3</v>
      </c>
      <c r="Y1114">
        <v>1</v>
      </c>
      <c r="Z1114">
        <v>2</v>
      </c>
      <c r="AA1114">
        <v>7</v>
      </c>
      <c r="AB1114">
        <v>2</v>
      </c>
      <c r="AC1114">
        <v>3</v>
      </c>
      <c r="AD1114" s="14">
        <v>5</v>
      </c>
      <c r="AE1114" t="str">
        <f t="shared" si="35"/>
        <v>3-5 years</v>
      </c>
      <c r="AF1114" s="14">
        <v>2</v>
      </c>
      <c r="AG1114" s="14">
        <v>1</v>
      </c>
      <c r="AH1114" s="14">
        <v>4</v>
      </c>
    </row>
    <row r="1115" spans="1:34" x14ac:dyDescent="0.3">
      <c r="A1115" s="14">
        <v>32</v>
      </c>
      <c r="B1115" s="17" t="s">
        <v>43</v>
      </c>
      <c r="C1115" t="s">
        <v>55</v>
      </c>
      <c r="D1115">
        <v>1200</v>
      </c>
      <c r="E1115" s="17" t="s">
        <v>45</v>
      </c>
      <c r="F1115">
        <v>1</v>
      </c>
      <c r="G1115">
        <v>4</v>
      </c>
      <c r="H1115" t="s">
        <v>60</v>
      </c>
      <c r="I1115">
        <v>1574</v>
      </c>
      <c r="J1115">
        <v>4</v>
      </c>
      <c r="K1115" s="17" t="s">
        <v>46</v>
      </c>
      <c r="L1115">
        <v>62</v>
      </c>
      <c r="M1115">
        <v>3</v>
      </c>
      <c r="N1115">
        <v>2</v>
      </c>
      <c r="O1115" s="17" t="s">
        <v>47</v>
      </c>
      <c r="P1115" s="14">
        <v>1</v>
      </c>
      <c r="Q1115" t="s">
        <v>48</v>
      </c>
      <c r="R1115" s="14">
        <v>4087</v>
      </c>
      <c r="S1115" s="17" t="str">
        <f t="shared" si="34"/>
        <v>medium</v>
      </c>
      <c r="T1115">
        <v>25174</v>
      </c>
      <c r="U1115">
        <v>4</v>
      </c>
      <c r="V1115" s="17" t="s">
        <v>43</v>
      </c>
      <c r="W1115">
        <v>14</v>
      </c>
      <c r="X1115">
        <v>3</v>
      </c>
      <c r="Y1115">
        <v>2</v>
      </c>
      <c r="Z1115">
        <v>1</v>
      </c>
      <c r="AA1115">
        <v>9</v>
      </c>
      <c r="AB1115">
        <v>3</v>
      </c>
      <c r="AC1115">
        <v>2</v>
      </c>
      <c r="AD1115" s="14">
        <v>6</v>
      </c>
      <c r="AE1115" t="str">
        <f t="shared" si="35"/>
        <v>6-10 years</v>
      </c>
      <c r="AF1115" s="14">
        <v>5</v>
      </c>
      <c r="AG1115" s="14">
        <v>1</v>
      </c>
      <c r="AH1115" s="14">
        <v>2</v>
      </c>
    </row>
    <row r="1116" spans="1:34" x14ac:dyDescent="0.3">
      <c r="A1116" s="14">
        <v>48</v>
      </c>
      <c r="B1116" s="17" t="s">
        <v>43</v>
      </c>
      <c r="C1116" t="s">
        <v>36</v>
      </c>
      <c r="D1116">
        <v>1108</v>
      </c>
      <c r="E1116" s="17" t="s">
        <v>45</v>
      </c>
      <c r="F1116">
        <v>15</v>
      </c>
      <c r="G1116">
        <v>4</v>
      </c>
      <c r="H1116" t="s">
        <v>49</v>
      </c>
      <c r="I1116">
        <v>1576</v>
      </c>
      <c r="J1116">
        <v>3</v>
      </c>
      <c r="K1116" s="17" t="s">
        <v>39</v>
      </c>
      <c r="L1116">
        <v>65</v>
      </c>
      <c r="M1116">
        <v>3</v>
      </c>
      <c r="N1116">
        <v>1</v>
      </c>
      <c r="O1116" s="17" t="s">
        <v>47</v>
      </c>
      <c r="P1116" s="14">
        <v>1</v>
      </c>
      <c r="Q1116" t="s">
        <v>48</v>
      </c>
      <c r="R1116" s="14">
        <v>2367</v>
      </c>
      <c r="S1116" s="17" t="str">
        <f t="shared" si="34"/>
        <v>low</v>
      </c>
      <c r="T1116">
        <v>16530</v>
      </c>
      <c r="U1116">
        <v>8</v>
      </c>
      <c r="V1116" s="17" t="s">
        <v>43</v>
      </c>
      <c r="W1116">
        <v>12</v>
      </c>
      <c r="X1116">
        <v>3</v>
      </c>
      <c r="Y1116">
        <v>4</v>
      </c>
      <c r="Z1116">
        <v>1</v>
      </c>
      <c r="AA1116">
        <v>10</v>
      </c>
      <c r="AB1116">
        <v>3</v>
      </c>
      <c r="AC1116">
        <v>2</v>
      </c>
      <c r="AD1116" s="14">
        <v>8</v>
      </c>
      <c r="AE1116" t="str">
        <f t="shared" si="35"/>
        <v>6-10 years</v>
      </c>
      <c r="AF1116" s="14">
        <v>2</v>
      </c>
      <c r="AG1116" s="14">
        <v>7</v>
      </c>
      <c r="AH1116" s="14">
        <v>6</v>
      </c>
    </row>
    <row r="1117" spans="1:34" x14ac:dyDescent="0.3">
      <c r="A1117" s="14">
        <v>34</v>
      </c>
      <c r="B1117" s="17" t="s">
        <v>43</v>
      </c>
      <c r="C1117" t="s">
        <v>36</v>
      </c>
      <c r="D1117">
        <v>479</v>
      </c>
      <c r="E1117" s="17" t="s">
        <v>45</v>
      </c>
      <c r="F1117">
        <v>7</v>
      </c>
      <c r="G1117">
        <v>4</v>
      </c>
      <c r="H1117" t="s">
        <v>51</v>
      </c>
      <c r="I1117">
        <v>1577</v>
      </c>
      <c r="J1117">
        <v>1</v>
      </c>
      <c r="K1117" s="17" t="s">
        <v>46</v>
      </c>
      <c r="L1117">
        <v>35</v>
      </c>
      <c r="M1117">
        <v>3</v>
      </c>
      <c r="N1117">
        <v>1</v>
      </c>
      <c r="O1117" s="17" t="s">
        <v>47</v>
      </c>
      <c r="P1117" s="14">
        <v>4</v>
      </c>
      <c r="Q1117" t="s">
        <v>41</v>
      </c>
      <c r="R1117" s="14">
        <v>2972</v>
      </c>
      <c r="S1117" s="17" t="str">
        <f t="shared" si="34"/>
        <v>low</v>
      </c>
      <c r="T1117">
        <v>22061</v>
      </c>
      <c r="U1117">
        <v>1</v>
      </c>
      <c r="V1117" s="17" t="s">
        <v>43</v>
      </c>
      <c r="W1117">
        <v>13</v>
      </c>
      <c r="X1117">
        <v>3</v>
      </c>
      <c r="Y1117">
        <v>3</v>
      </c>
      <c r="Z1117">
        <v>0</v>
      </c>
      <c r="AA1117">
        <v>1</v>
      </c>
      <c r="AB1117">
        <v>4</v>
      </c>
      <c r="AC1117">
        <v>1</v>
      </c>
      <c r="AD1117" s="14">
        <v>1</v>
      </c>
      <c r="AE1117" t="str">
        <f t="shared" si="35"/>
        <v>0-2 years</v>
      </c>
      <c r="AF1117" s="14">
        <v>0</v>
      </c>
      <c r="AG1117" s="14">
        <v>0</v>
      </c>
      <c r="AH1117" s="14">
        <v>0</v>
      </c>
    </row>
    <row r="1118" spans="1:34" x14ac:dyDescent="0.3">
      <c r="A1118" s="14">
        <v>55</v>
      </c>
      <c r="B1118" s="17" t="s">
        <v>43</v>
      </c>
      <c r="C1118" t="s">
        <v>36</v>
      </c>
      <c r="D1118">
        <v>685</v>
      </c>
      <c r="E1118" s="17" t="s">
        <v>37</v>
      </c>
      <c r="F1118">
        <v>26</v>
      </c>
      <c r="G1118">
        <v>5</v>
      </c>
      <c r="H1118" t="s">
        <v>59</v>
      </c>
      <c r="I1118">
        <v>1578</v>
      </c>
      <c r="J1118">
        <v>3</v>
      </c>
      <c r="K1118" s="17" t="s">
        <v>46</v>
      </c>
      <c r="L1118">
        <v>60</v>
      </c>
      <c r="M1118">
        <v>2</v>
      </c>
      <c r="N1118">
        <v>5</v>
      </c>
      <c r="O1118" s="17" t="s">
        <v>56</v>
      </c>
      <c r="P1118" s="14">
        <v>4</v>
      </c>
      <c r="Q1118" t="s">
        <v>48</v>
      </c>
      <c r="R1118" s="14">
        <v>19586</v>
      </c>
      <c r="S1118" s="17" t="str">
        <f t="shared" si="34"/>
        <v>high</v>
      </c>
      <c r="T1118">
        <v>23037</v>
      </c>
      <c r="U1118">
        <v>1</v>
      </c>
      <c r="V1118" s="17" t="s">
        <v>43</v>
      </c>
      <c r="W1118">
        <v>21</v>
      </c>
      <c r="X1118">
        <v>4</v>
      </c>
      <c r="Y1118">
        <v>3</v>
      </c>
      <c r="Z1118">
        <v>1</v>
      </c>
      <c r="AA1118">
        <v>36</v>
      </c>
      <c r="AB1118">
        <v>3</v>
      </c>
      <c r="AC1118">
        <v>3</v>
      </c>
      <c r="AD1118" s="14">
        <v>36</v>
      </c>
      <c r="AE1118" t="str">
        <f t="shared" si="35"/>
        <v>10+ years</v>
      </c>
      <c r="AF1118" s="14">
        <v>6</v>
      </c>
      <c r="AG1118" s="14">
        <v>2</v>
      </c>
      <c r="AH1118" s="14">
        <v>13</v>
      </c>
    </row>
    <row r="1119" spans="1:34" x14ac:dyDescent="0.3">
      <c r="A1119" s="14">
        <v>34</v>
      </c>
      <c r="B1119" s="17" t="s">
        <v>43</v>
      </c>
      <c r="C1119" t="s">
        <v>36</v>
      </c>
      <c r="D1119">
        <v>1351</v>
      </c>
      <c r="E1119" s="17" t="s">
        <v>45</v>
      </c>
      <c r="F1119">
        <v>1</v>
      </c>
      <c r="G1119">
        <v>4</v>
      </c>
      <c r="H1119" t="s">
        <v>38</v>
      </c>
      <c r="I1119">
        <v>1580</v>
      </c>
      <c r="J1119">
        <v>2</v>
      </c>
      <c r="K1119" s="17" t="s">
        <v>46</v>
      </c>
      <c r="L1119">
        <v>45</v>
      </c>
      <c r="M1119">
        <v>3</v>
      </c>
      <c r="N1119">
        <v>2</v>
      </c>
      <c r="O1119" s="17" t="s">
        <v>47</v>
      </c>
      <c r="P1119" s="14">
        <v>4</v>
      </c>
      <c r="Q1119" t="s">
        <v>48</v>
      </c>
      <c r="R1119" s="14">
        <v>5484</v>
      </c>
      <c r="S1119" s="17" t="str">
        <f t="shared" si="34"/>
        <v>medium</v>
      </c>
      <c r="T1119">
        <v>13008</v>
      </c>
      <c r="U1119">
        <v>9</v>
      </c>
      <c r="V1119" s="17" t="s">
        <v>43</v>
      </c>
      <c r="W1119">
        <v>17</v>
      </c>
      <c r="X1119">
        <v>3</v>
      </c>
      <c r="Y1119">
        <v>2</v>
      </c>
      <c r="Z1119">
        <v>1</v>
      </c>
      <c r="AA1119">
        <v>9</v>
      </c>
      <c r="AB1119">
        <v>3</v>
      </c>
      <c r="AC1119">
        <v>2</v>
      </c>
      <c r="AD1119" s="14">
        <v>2</v>
      </c>
      <c r="AE1119" t="str">
        <f t="shared" si="35"/>
        <v>0-2 years</v>
      </c>
      <c r="AF1119" s="14">
        <v>2</v>
      </c>
      <c r="AG1119" s="14">
        <v>2</v>
      </c>
      <c r="AH1119" s="14">
        <v>1</v>
      </c>
    </row>
    <row r="1120" spans="1:34" x14ac:dyDescent="0.3">
      <c r="A1120" s="14">
        <v>26</v>
      </c>
      <c r="B1120" s="17" t="s">
        <v>43</v>
      </c>
      <c r="C1120" t="s">
        <v>36</v>
      </c>
      <c r="D1120">
        <v>474</v>
      </c>
      <c r="E1120" s="17" t="s">
        <v>45</v>
      </c>
      <c r="F1120">
        <v>3</v>
      </c>
      <c r="G1120">
        <v>3</v>
      </c>
      <c r="H1120" t="s">
        <v>38</v>
      </c>
      <c r="I1120">
        <v>1581</v>
      </c>
      <c r="J1120">
        <v>1</v>
      </c>
      <c r="K1120" s="17" t="s">
        <v>39</v>
      </c>
      <c r="L1120">
        <v>89</v>
      </c>
      <c r="M1120">
        <v>3</v>
      </c>
      <c r="N1120">
        <v>1</v>
      </c>
      <c r="O1120" s="17" t="s">
        <v>47</v>
      </c>
      <c r="P1120" s="14">
        <v>4</v>
      </c>
      <c r="Q1120" t="s">
        <v>48</v>
      </c>
      <c r="R1120" s="14">
        <v>2061</v>
      </c>
      <c r="S1120" s="17" t="str">
        <f t="shared" si="34"/>
        <v>low</v>
      </c>
      <c r="T1120">
        <v>11133</v>
      </c>
      <c r="U1120">
        <v>1</v>
      </c>
      <c r="V1120" s="17" t="s">
        <v>43</v>
      </c>
      <c r="W1120">
        <v>21</v>
      </c>
      <c r="X1120">
        <v>4</v>
      </c>
      <c r="Y1120">
        <v>1</v>
      </c>
      <c r="Z1120">
        <v>0</v>
      </c>
      <c r="AA1120">
        <v>1</v>
      </c>
      <c r="AB1120">
        <v>5</v>
      </c>
      <c r="AC1120">
        <v>3</v>
      </c>
      <c r="AD1120" s="14">
        <v>1</v>
      </c>
      <c r="AE1120" t="str">
        <f t="shared" si="35"/>
        <v>0-2 years</v>
      </c>
      <c r="AF1120" s="14">
        <v>0</v>
      </c>
      <c r="AG1120" s="14">
        <v>0</v>
      </c>
      <c r="AH1120" s="14">
        <v>0</v>
      </c>
    </row>
    <row r="1121" spans="1:34" x14ac:dyDescent="0.3">
      <c r="A1121" s="14">
        <v>38</v>
      </c>
      <c r="B1121" s="17" t="s">
        <v>43</v>
      </c>
      <c r="C1121" t="s">
        <v>36</v>
      </c>
      <c r="D1121">
        <v>1245</v>
      </c>
      <c r="E1121" s="17" t="s">
        <v>37</v>
      </c>
      <c r="F1121">
        <v>14</v>
      </c>
      <c r="G1121">
        <v>3</v>
      </c>
      <c r="H1121" t="s">
        <v>38</v>
      </c>
      <c r="I1121">
        <v>1582</v>
      </c>
      <c r="J1121">
        <v>3</v>
      </c>
      <c r="K1121" s="17" t="s">
        <v>46</v>
      </c>
      <c r="L1121">
        <v>80</v>
      </c>
      <c r="M1121">
        <v>3</v>
      </c>
      <c r="N1121">
        <v>2</v>
      </c>
      <c r="O1121" s="17" t="s">
        <v>40</v>
      </c>
      <c r="P1121" s="14">
        <v>2</v>
      </c>
      <c r="Q1121" t="s">
        <v>48</v>
      </c>
      <c r="R1121" s="14">
        <v>9924</v>
      </c>
      <c r="S1121" s="17" t="str">
        <f t="shared" si="34"/>
        <v>high</v>
      </c>
      <c r="T1121">
        <v>12355</v>
      </c>
      <c r="U1121">
        <v>0</v>
      </c>
      <c r="V1121" s="17" t="s">
        <v>43</v>
      </c>
      <c r="W1121">
        <v>11</v>
      </c>
      <c r="X1121">
        <v>3</v>
      </c>
      <c r="Y1121">
        <v>4</v>
      </c>
      <c r="Z1121">
        <v>1</v>
      </c>
      <c r="AA1121">
        <v>10</v>
      </c>
      <c r="AB1121">
        <v>3</v>
      </c>
      <c r="AC1121">
        <v>3</v>
      </c>
      <c r="AD1121" s="14">
        <v>9</v>
      </c>
      <c r="AE1121" t="str">
        <f t="shared" si="35"/>
        <v>6-10 years</v>
      </c>
      <c r="AF1121" s="14">
        <v>8</v>
      </c>
      <c r="AG1121" s="14">
        <v>7</v>
      </c>
      <c r="AH1121" s="14">
        <v>7</v>
      </c>
    </row>
    <row r="1122" spans="1:34" x14ac:dyDescent="0.3">
      <c r="A1122" s="14">
        <v>38</v>
      </c>
      <c r="B1122" s="17" t="s">
        <v>43</v>
      </c>
      <c r="C1122" t="s">
        <v>36</v>
      </c>
      <c r="D1122">
        <v>437</v>
      </c>
      <c r="E1122" s="17" t="s">
        <v>37</v>
      </c>
      <c r="F1122">
        <v>16</v>
      </c>
      <c r="G1122">
        <v>3</v>
      </c>
      <c r="H1122" t="s">
        <v>38</v>
      </c>
      <c r="I1122">
        <v>1583</v>
      </c>
      <c r="J1122">
        <v>2</v>
      </c>
      <c r="K1122" s="17" t="s">
        <v>39</v>
      </c>
      <c r="L1122">
        <v>90</v>
      </c>
      <c r="M1122">
        <v>3</v>
      </c>
      <c r="N1122">
        <v>2</v>
      </c>
      <c r="O1122" s="17" t="s">
        <v>40</v>
      </c>
      <c r="P1122" s="14">
        <v>2</v>
      </c>
      <c r="Q1122" t="s">
        <v>41</v>
      </c>
      <c r="R1122" s="14">
        <v>4198</v>
      </c>
      <c r="S1122" s="17" t="str">
        <f t="shared" si="34"/>
        <v>medium</v>
      </c>
      <c r="T1122">
        <v>16379</v>
      </c>
      <c r="U1122">
        <v>2</v>
      </c>
      <c r="V1122" s="17" t="s">
        <v>43</v>
      </c>
      <c r="W1122">
        <v>12</v>
      </c>
      <c r="X1122">
        <v>3</v>
      </c>
      <c r="Y1122">
        <v>2</v>
      </c>
      <c r="Z1122">
        <v>0</v>
      </c>
      <c r="AA1122">
        <v>8</v>
      </c>
      <c r="AB1122">
        <v>5</v>
      </c>
      <c r="AC1122">
        <v>4</v>
      </c>
      <c r="AD1122" s="14">
        <v>3</v>
      </c>
      <c r="AE1122" t="str">
        <f t="shared" si="35"/>
        <v>3-5 years</v>
      </c>
      <c r="AF1122" s="14">
        <v>2</v>
      </c>
      <c r="AG1122" s="14">
        <v>1</v>
      </c>
      <c r="AH1122" s="14">
        <v>2</v>
      </c>
    </row>
    <row r="1123" spans="1:34" x14ac:dyDescent="0.3">
      <c r="A1123" s="14">
        <v>36</v>
      </c>
      <c r="B1123" s="17" t="s">
        <v>43</v>
      </c>
      <c r="C1123" t="s">
        <v>36</v>
      </c>
      <c r="D1123">
        <v>884</v>
      </c>
      <c r="E1123" s="17" t="s">
        <v>37</v>
      </c>
      <c r="F1123">
        <v>1</v>
      </c>
      <c r="G1123">
        <v>4</v>
      </c>
      <c r="H1123" t="s">
        <v>38</v>
      </c>
      <c r="I1123">
        <v>1585</v>
      </c>
      <c r="J1123">
        <v>2</v>
      </c>
      <c r="K1123" s="17" t="s">
        <v>39</v>
      </c>
      <c r="L1123">
        <v>73</v>
      </c>
      <c r="M1123">
        <v>3</v>
      </c>
      <c r="N1123">
        <v>2</v>
      </c>
      <c r="O1123" s="17" t="s">
        <v>40</v>
      </c>
      <c r="P1123" s="14">
        <v>3</v>
      </c>
      <c r="Q1123" t="s">
        <v>41</v>
      </c>
      <c r="R1123" s="14">
        <v>6815</v>
      </c>
      <c r="S1123" s="17" t="str">
        <f t="shared" si="34"/>
        <v>medium</v>
      </c>
      <c r="T1123">
        <v>21447</v>
      </c>
      <c r="U1123">
        <v>6</v>
      </c>
      <c r="V1123" s="17" t="s">
        <v>43</v>
      </c>
      <c r="W1123">
        <v>13</v>
      </c>
      <c r="X1123">
        <v>3</v>
      </c>
      <c r="Y1123">
        <v>1</v>
      </c>
      <c r="Z1123">
        <v>0</v>
      </c>
      <c r="AA1123">
        <v>15</v>
      </c>
      <c r="AB1123">
        <v>5</v>
      </c>
      <c r="AC1123">
        <v>3</v>
      </c>
      <c r="AD1123" s="14">
        <v>1</v>
      </c>
      <c r="AE1123" t="str">
        <f t="shared" si="35"/>
        <v>0-2 years</v>
      </c>
      <c r="AF1123" s="14">
        <v>0</v>
      </c>
      <c r="AG1123" s="14">
        <v>0</v>
      </c>
      <c r="AH1123" s="14">
        <v>0</v>
      </c>
    </row>
    <row r="1124" spans="1:34" x14ac:dyDescent="0.3">
      <c r="A1124" s="14">
        <v>29</v>
      </c>
      <c r="B1124" s="17" t="s">
        <v>43</v>
      </c>
      <c r="C1124" t="s">
        <v>36</v>
      </c>
      <c r="D1124">
        <v>1370</v>
      </c>
      <c r="E1124" s="17" t="s">
        <v>45</v>
      </c>
      <c r="F1124">
        <v>3</v>
      </c>
      <c r="G1124">
        <v>1</v>
      </c>
      <c r="H1124" t="s">
        <v>51</v>
      </c>
      <c r="I1124">
        <v>1586</v>
      </c>
      <c r="J1124">
        <v>2</v>
      </c>
      <c r="K1124" s="17" t="s">
        <v>46</v>
      </c>
      <c r="L1124">
        <v>87</v>
      </c>
      <c r="M1124">
        <v>3</v>
      </c>
      <c r="N1124">
        <v>1</v>
      </c>
      <c r="O1124" s="17" t="s">
        <v>50</v>
      </c>
      <c r="P1124" s="14">
        <v>1</v>
      </c>
      <c r="Q1124" t="s">
        <v>41</v>
      </c>
      <c r="R1124" s="14">
        <v>4723</v>
      </c>
      <c r="S1124" s="17" t="str">
        <f t="shared" si="34"/>
        <v>medium</v>
      </c>
      <c r="T1124">
        <v>16213</v>
      </c>
      <c r="U1124">
        <v>1</v>
      </c>
      <c r="V1124" s="17" t="s">
        <v>35</v>
      </c>
      <c r="W1124">
        <v>18</v>
      </c>
      <c r="X1124">
        <v>3</v>
      </c>
      <c r="Y1124">
        <v>4</v>
      </c>
      <c r="Z1124">
        <v>0</v>
      </c>
      <c r="AA1124">
        <v>10</v>
      </c>
      <c r="AB1124">
        <v>3</v>
      </c>
      <c r="AC1124">
        <v>3</v>
      </c>
      <c r="AD1124" s="14">
        <v>10</v>
      </c>
      <c r="AE1124" t="str">
        <f t="shared" si="35"/>
        <v>6-10 years</v>
      </c>
      <c r="AF1124" s="14">
        <v>9</v>
      </c>
      <c r="AG1124" s="14">
        <v>1</v>
      </c>
      <c r="AH1124" s="14">
        <v>5</v>
      </c>
    </row>
    <row r="1125" spans="1:34" x14ac:dyDescent="0.3">
      <c r="A1125" s="14">
        <v>35</v>
      </c>
      <c r="B1125" s="17" t="s">
        <v>43</v>
      </c>
      <c r="C1125" t="s">
        <v>36</v>
      </c>
      <c r="D1125">
        <v>670</v>
      </c>
      <c r="E1125" s="17" t="s">
        <v>45</v>
      </c>
      <c r="F1125">
        <v>10</v>
      </c>
      <c r="G1125">
        <v>4</v>
      </c>
      <c r="H1125" t="s">
        <v>51</v>
      </c>
      <c r="I1125">
        <v>1587</v>
      </c>
      <c r="J1125">
        <v>1</v>
      </c>
      <c r="K1125" s="17" t="s">
        <v>39</v>
      </c>
      <c r="L1125">
        <v>51</v>
      </c>
      <c r="M1125">
        <v>3</v>
      </c>
      <c r="N1125">
        <v>2</v>
      </c>
      <c r="O1125" s="17" t="s">
        <v>54</v>
      </c>
      <c r="P1125" s="14">
        <v>3</v>
      </c>
      <c r="Q1125" t="s">
        <v>41</v>
      </c>
      <c r="R1125" s="14">
        <v>6142</v>
      </c>
      <c r="S1125" s="17" t="str">
        <f t="shared" si="34"/>
        <v>medium</v>
      </c>
      <c r="T1125">
        <v>4223</v>
      </c>
      <c r="U1125">
        <v>3</v>
      </c>
      <c r="V1125" s="17" t="s">
        <v>35</v>
      </c>
      <c r="W1125">
        <v>16</v>
      </c>
      <c r="X1125">
        <v>3</v>
      </c>
      <c r="Y1125">
        <v>3</v>
      </c>
      <c r="Z1125">
        <v>0</v>
      </c>
      <c r="AA1125">
        <v>10</v>
      </c>
      <c r="AB1125">
        <v>4</v>
      </c>
      <c r="AC1125">
        <v>3</v>
      </c>
      <c r="AD1125" s="14">
        <v>5</v>
      </c>
      <c r="AE1125" t="str">
        <f t="shared" si="35"/>
        <v>3-5 years</v>
      </c>
      <c r="AF1125" s="14">
        <v>2</v>
      </c>
      <c r="AG1125" s="14">
        <v>0</v>
      </c>
      <c r="AH1125" s="14">
        <v>4</v>
      </c>
    </row>
    <row r="1126" spans="1:34" x14ac:dyDescent="0.3">
      <c r="A1126" s="14">
        <v>39</v>
      </c>
      <c r="B1126" s="17" t="s">
        <v>43</v>
      </c>
      <c r="C1126" t="s">
        <v>36</v>
      </c>
      <c r="D1126">
        <v>1462</v>
      </c>
      <c r="E1126" s="17" t="s">
        <v>37</v>
      </c>
      <c r="F1126">
        <v>6</v>
      </c>
      <c r="G1126">
        <v>3</v>
      </c>
      <c r="H1126" t="s">
        <v>51</v>
      </c>
      <c r="I1126">
        <v>1588</v>
      </c>
      <c r="J1126">
        <v>4</v>
      </c>
      <c r="K1126" s="17" t="s">
        <v>46</v>
      </c>
      <c r="L1126">
        <v>38</v>
      </c>
      <c r="M1126">
        <v>4</v>
      </c>
      <c r="N1126">
        <v>3</v>
      </c>
      <c r="O1126" s="17" t="s">
        <v>40</v>
      </c>
      <c r="P1126" s="14">
        <v>3</v>
      </c>
      <c r="Q1126" t="s">
        <v>48</v>
      </c>
      <c r="R1126" s="14">
        <v>8237</v>
      </c>
      <c r="S1126" s="17" t="str">
        <f t="shared" si="34"/>
        <v>high</v>
      </c>
      <c r="T1126">
        <v>4658</v>
      </c>
      <c r="U1126">
        <v>2</v>
      </c>
      <c r="V1126" s="17" t="s">
        <v>43</v>
      </c>
      <c r="W1126">
        <v>11</v>
      </c>
      <c r="X1126">
        <v>3</v>
      </c>
      <c r="Y1126">
        <v>1</v>
      </c>
      <c r="Z1126">
        <v>1</v>
      </c>
      <c r="AA1126">
        <v>11</v>
      </c>
      <c r="AB1126">
        <v>3</v>
      </c>
      <c r="AC1126">
        <v>3</v>
      </c>
      <c r="AD1126" s="14">
        <v>7</v>
      </c>
      <c r="AE1126" t="str">
        <f t="shared" si="35"/>
        <v>6-10 years</v>
      </c>
      <c r="AF1126" s="14">
        <v>6</v>
      </c>
      <c r="AG1126" s="14">
        <v>7</v>
      </c>
      <c r="AH1126" s="14">
        <v>6</v>
      </c>
    </row>
    <row r="1127" spans="1:34" x14ac:dyDescent="0.3">
      <c r="A1127" s="14">
        <v>29</v>
      </c>
      <c r="B1127" s="17" t="s">
        <v>43</v>
      </c>
      <c r="C1127" t="s">
        <v>44</v>
      </c>
      <c r="D1127">
        <v>995</v>
      </c>
      <c r="E1127" s="17" t="s">
        <v>45</v>
      </c>
      <c r="F1127">
        <v>2</v>
      </c>
      <c r="G1127">
        <v>1</v>
      </c>
      <c r="H1127" t="s">
        <v>38</v>
      </c>
      <c r="I1127">
        <v>1590</v>
      </c>
      <c r="J1127">
        <v>1</v>
      </c>
      <c r="K1127" s="17" t="s">
        <v>46</v>
      </c>
      <c r="L1127">
        <v>87</v>
      </c>
      <c r="M1127">
        <v>3</v>
      </c>
      <c r="N1127">
        <v>2</v>
      </c>
      <c r="O1127" s="17" t="s">
        <v>54</v>
      </c>
      <c r="P1127" s="14">
        <v>4</v>
      </c>
      <c r="Q1127" t="s">
        <v>52</v>
      </c>
      <c r="R1127" s="14">
        <v>8853</v>
      </c>
      <c r="S1127" s="17" t="str">
        <f t="shared" si="34"/>
        <v>high</v>
      </c>
      <c r="T1127">
        <v>24483</v>
      </c>
      <c r="U1127">
        <v>1</v>
      </c>
      <c r="V1127" s="17" t="s">
        <v>43</v>
      </c>
      <c r="W1127">
        <v>19</v>
      </c>
      <c r="X1127">
        <v>3</v>
      </c>
      <c r="Y1127">
        <v>4</v>
      </c>
      <c r="Z1127">
        <v>1</v>
      </c>
      <c r="AA1127">
        <v>6</v>
      </c>
      <c r="AB1127">
        <v>0</v>
      </c>
      <c r="AC1127">
        <v>4</v>
      </c>
      <c r="AD1127" s="14">
        <v>6</v>
      </c>
      <c r="AE1127" t="str">
        <f t="shared" si="35"/>
        <v>6-10 years</v>
      </c>
      <c r="AF1127" s="14">
        <v>4</v>
      </c>
      <c r="AG1127" s="14">
        <v>1</v>
      </c>
      <c r="AH1127" s="14">
        <v>3</v>
      </c>
    </row>
    <row r="1128" spans="1:34" x14ac:dyDescent="0.3">
      <c r="A1128" s="14">
        <v>50</v>
      </c>
      <c r="B1128" s="17" t="s">
        <v>43</v>
      </c>
      <c r="C1128" t="s">
        <v>36</v>
      </c>
      <c r="D1128">
        <v>264</v>
      </c>
      <c r="E1128" s="17" t="s">
        <v>37</v>
      </c>
      <c r="F1128">
        <v>9</v>
      </c>
      <c r="G1128">
        <v>3</v>
      </c>
      <c r="H1128" t="s">
        <v>59</v>
      </c>
      <c r="I1128">
        <v>1591</v>
      </c>
      <c r="J1128">
        <v>3</v>
      </c>
      <c r="K1128" s="17" t="s">
        <v>46</v>
      </c>
      <c r="L1128">
        <v>59</v>
      </c>
      <c r="M1128">
        <v>3</v>
      </c>
      <c r="N1128">
        <v>5</v>
      </c>
      <c r="O1128" s="17" t="s">
        <v>56</v>
      </c>
      <c r="P1128" s="14">
        <v>3</v>
      </c>
      <c r="Q1128" t="s">
        <v>48</v>
      </c>
      <c r="R1128" s="14">
        <v>19331</v>
      </c>
      <c r="S1128" s="17" t="str">
        <f t="shared" si="34"/>
        <v>high</v>
      </c>
      <c r="T1128">
        <v>19519</v>
      </c>
      <c r="U1128">
        <v>4</v>
      </c>
      <c r="V1128" s="17" t="s">
        <v>35</v>
      </c>
      <c r="W1128">
        <v>16</v>
      </c>
      <c r="X1128">
        <v>3</v>
      </c>
      <c r="Y1128">
        <v>3</v>
      </c>
      <c r="Z1128">
        <v>1</v>
      </c>
      <c r="AA1128">
        <v>27</v>
      </c>
      <c r="AB1128">
        <v>2</v>
      </c>
      <c r="AC1128">
        <v>3</v>
      </c>
      <c r="AD1128" s="14">
        <v>1</v>
      </c>
      <c r="AE1128" t="str">
        <f t="shared" si="35"/>
        <v>0-2 years</v>
      </c>
      <c r="AF1128" s="14">
        <v>0</v>
      </c>
      <c r="AG1128" s="14">
        <v>0</v>
      </c>
      <c r="AH1128" s="14">
        <v>0</v>
      </c>
    </row>
    <row r="1129" spans="1:34" x14ac:dyDescent="0.3">
      <c r="A1129" s="14">
        <v>23</v>
      </c>
      <c r="B1129" s="17" t="s">
        <v>43</v>
      </c>
      <c r="C1129" t="s">
        <v>36</v>
      </c>
      <c r="D1129">
        <v>977</v>
      </c>
      <c r="E1129" s="17" t="s">
        <v>45</v>
      </c>
      <c r="F1129">
        <v>10</v>
      </c>
      <c r="G1129">
        <v>3</v>
      </c>
      <c r="H1129" t="s">
        <v>60</v>
      </c>
      <c r="I1129">
        <v>1592</v>
      </c>
      <c r="J1129">
        <v>4</v>
      </c>
      <c r="K1129" s="17" t="s">
        <v>46</v>
      </c>
      <c r="L1129">
        <v>45</v>
      </c>
      <c r="M1129">
        <v>4</v>
      </c>
      <c r="N1129">
        <v>1</v>
      </c>
      <c r="O1129" s="17" t="s">
        <v>47</v>
      </c>
      <c r="P1129" s="14">
        <v>3</v>
      </c>
      <c r="Q1129" t="s">
        <v>48</v>
      </c>
      <c r="R1129" s="14">
        <v>2073</v>
      </c>
      <c r="S1129" s="17" t="str">
        <f t="shared" si="34"/>
        <v>low</v>
      </c>
      <c r="T1129">
        <v>12826</v>
      </c>
      <c r="U1129">
        <v>2</v>
      </c>
      <c r="V1129" s="17" t="s">
        <v>43</v>
      </c>
      <c r="W1129">
        <v>16</v>
      </c>
      <c r="X1129">
        <v>3</v>
      </c>
      <c r="Y1129">
        <v>4</v>
      </c>
      <c r="Z1129">
        <v>1</v>
      </c>
      <c r="AA1129">
        <v>4</v>
      </c>
      <c r="AB1129">
        <v>2</v>
      </c>
      <c r="AC1129">
        <v>3</v>
      </c>
      <c r="AD1129" s="14">
        <v>2</v>
      </c>
      <c r="AE1129" t="str">
        <f t="shared" si="35"/>
        <v>0-2 years</v>
      </c>
      <c r="AF1129" s="14">
        <v>2</v>
      </c>
      <c r="AG1129" s="14">
        <v>2</v>
      </c>
      <c r="AH1129" s="14">
        <v>2</v>
      </c>
    </row>
    <row r="1130" spans="1:34" x14ac:dyDescent="0.3">
      <c r="A1130" s="14">
        <v>36</v>
      </c>
      <c r="B1130" s="17" t="s">
        <v>43</v>
      </c>
      <c r="C1130" t="s">
        <v>44</v>
      </c>
      <c r="D1130">
        <v>1302</v>
      </c>
      <c r="E1130" s="17" t="s">
        <v>45</v>
      </c>
      <c r="F1130">
        <v>6</v>
      </c>
      <c r="G1130">
        <v>4</v>
      </c>
      <c r="H1130" t="s">
        <v>38</v>
      </c>
      <c r="I1130">
        <v>1594</v>
      </c>
      <c r="J1130">
        <v>1</v>
      </c>
      <c r="K1130" s="17" t="s">
        <v>46</v>
      </c>
      <c r="L1130">
        <v>80</v>
      </c>
      <c r="M1130">
        <v>4</v>
      </c>
      <c r="N1130">
        <v>2</v>
      </c>
      <c r="O1130" s="17" t="s">
        <v>50</v>
      </c>
      <c r="P1130" s="14">
        <v>1</v>
      </c>
      <c r="Q1130" t="s">
        <v>48</v>
      </c>
      <c r="R1130" s="14">
        <v>5562</v>
      </c>
      <c r="S1130" s="17" t="str">
        <f t="shared" si="34"/>
        <v>medium</v>
      </c>
      <c r="T1130">
        <v>19711</v>
      </c>
      <c r="U1130">
        <v>3</v>
      </c>
      <c r="V1130" s="17" t="s">
        <v>35</v>
      </c>
      <c r="W1130">
        <v>13</v>
      </c>
      <c r="X1130">
        <v>3</v>
      </c>
      <c r="Y1130">
        <v>4</v>
      </c>
      <c r="Z1130">
        <v>1</v>
      </c>
      <c r="AA1130">
        <v>9</v>
      </c>
      <c r="AB1130">
        <v>3</v>
      </c>
      <c r="AC1130">
        <v>3</v>
      </c>
      <c r="AD1130" s="14">
        <v>3</v>
      </c>
      <c r="AE1130" t="str">
        <f t="shared" si="35"/>
        <v>3-5 years</v>
      </c>
      <c r="AF1130" s="14">
        <v>2</v>
      </c>
      <c r="AG1130" s="14">
        <v>0</v>
      </c>
      <c r="AH1130" s="14">
        <v>2</v>
      </c>
    </row>
    <row r="1131" spans="1:34" x14ac:dyDescent="0.3">
      <c r="A1131" s="14">
        <v>42</v>
      </c>
      <c r="B1131" s="17" t="s">
        <v>43</v>
      </c>
      <c r="C1131" t="s">
        <v>36</v>
      </c>
      <c r="D1131">
        <v>1059</v>
      </c>
      <c r="E1131" s="17" t="s">
        <v>45</v>
      </c>
      <c r="F1131">
        <v>9</v>
      </c>
      <c r="G1131">
        <v>2</v>
      </c>
      <c r="H1131" t="s">
        <v>49</v>
      </c>
      <c r="I1131">
        <v>1595</v>
      </c>
      <c r="J1131">
        <v>4</v>
      </c>
      <c r="K1131" s="17" t="s">
        <v>46</v>
      </c>
      <c r="L1131">
        <v>93</v>
      </c>
      <c r="M1131">
        <v>2</v>
      </c>
      <c r="N1131">
        <v>5</v>
      </c>
      <c r="O1131" s="17" t="s">
        <v>56</v>
      </c>
      <c r="P1131" s="14">
        <v>4</v>
      </c>
      <c r="Q1131" t="s">
        <v>41</v>
      </c>
      <c r="R1131" s="14">
        <v>19613</v>
      </c>
      <c r="S1131" s="17" t="str">
        <f t="shared" si="34"/>
        <v>high</v>
      </c>
      <c r="T1131">
        <v>26362</v>
      </c>
      <c r="U1131">
        <v>8</v>
      </c>
      <c r="V1131" s="17" t="s">
        <v>43</v>
      </c>
      <c r="W1131">
        <v>22</v>
      </c>
      <c r="X1131">
        <v>4</v>
      </c>
      <c r="Y1131">
        <v>4</v>
      </c>
      <c r="Z1131">
        <v>0</v>
      </c>
      <c r="AA1131">
        <v>24</v>
      </c>
      <c r="AB1131">
        <v>2</v>
      </c>
      <c r="AC1131">
        <v>3</v>
      </c>
      <c r="AD1131" s="14">
        <v>1</v>
      </c>
      <c r="AE1131" t="str">
        <f t="shared" si="35"/>
        <v>0-2 years</v>
      </c>
      <c r="AF1131" s="14">
        <v>0</v>
      </c>
      <c r="AG1131" s="14">
        <v>0</v>
      </c>
      <c r="AH1131" s="14">
        <v>1</v>
      </c>
    </row>
    <row r="1132" spans="1:34" x14ac:dyDescent="0.3">
      <c r="A1132" s="14">
        <v>35</v>
      </c>
      <c r="B1132" s="17" t="s">
        <v>43</v>
      </c>
      <c r="C1132" t="s">
        <v>36</v>
      </c>
      <c r="D1132">
        <v>750</v>
      </c>
      <c r="E1132" s="17" t="s">
        <v>45</v>
      </c>
      <c r="F1132">
        <v>28</v>
      </c>
      <c r="G1132">
        <v>3</v>
      </c>
      <c r="H1132" t="s">
        <v>38</v>
      </c>
      <c r="I1132">
        <v>1596</v>
      </c>
      <c r="J1132">
        <v>2</v>
      </c>
      <c r="K1132" s="17" t="s">
        <v>46</v>
      </c>
      <c r="L1132">
        <v>46</v>
      </c>
      <c r="M1132">
        <v>4</v>
      </c>
      <c r="N1132">
        <v>2</v>
      </c>
      <c r="O1132" s="17" t="s">
        <v>50</v>
      </c>
      <c r="P1132" s="14">
        <v>3</v>
      </c>
      <c r="Q1132" t="s">
        <v>48</v>
      </c>
      <c r="R1132" s="14">
        <v>3407</v>
      </c>
      <c r="S1132" s="17" t="str">
        <f t="shared" si="34"/>
        <v>medium</v>
      </c>
      <c r="T1132">
        <v>25348</v>
      </c>
      <c r="U1132">
        <v>1</v>
      </c>
      <c r="V1132" s="17" t="s">
        <v>43</v>
      </c>
      <c r="W1132">
        <v>17</v>
      </c>
      <c r="X1132">
        <v>3</v>
      </c>
      <c r="Y1132">
        <v>4</v>
      </c>
      <c r="Z1132">
        <v>2</v>
      </c>
      <c r="AA1132">
        <v>10</v>
      </c>
      <c r="AB1132">
        <v>3</v>
      </c>
      <c r="AC1132">
        <v>2</v>
      </c>
      <c r="AD1132" s="14">
        <v>10</v>
      </c>
      <c r="AE1132" t="str">
        <f t="shared" si="35"/>
        <v>6-10 years</v>
      </c>
      <c r="AF1132" s="14">
        <v>9</v>
      </c>
      <c r="AG1132" s="14">
        <v>6</v>
      </c>
      <c r="AH1132" s="14">
        <v>8</v>
      </c>
    </row>
    <row r="1133" spans="1:34" x14ac:dyDescent="0.3">
      <c r="A1133" s="14">
        <v>34</v>
      </c>
      <c r="B1133" s="17" t="s">
        <v>43</v>
      </c>
      <c r="C1133" t="s">
        <v>44</v>
      </c>
      <c r="D1133">
        <v>653</v>
      </c>
      <c r="E1133" s="17" t="s">
        <v>45</v>
      </c>
      <c r="F1133">
        <v>10</v>
      </c>
      <c r="G1133">
        <v>4</v>
      </c>
      <c r="H1133" t="s">
        <v>60</v>
      </c>
      <c r="I1133">
        <v>1597</v>
      </c>
      <c r="J1133">
        <v>4</v>
      </c>
      <c r="K1133" s="17" t="s">
        <v>46</v>
      </c>
      <c r="L1133">
        <v>92</v>
      </c>
      <c r="M1133">
        <v>2</v>
      </c>
      <c r="N1133">
        <v>2</v>
      </c>
      <c r="O1133" s="17" t="s">
        <v>54</v>
      </c>
      <c r="P1133" s="14">
        <v>3</v>
      </c>
      <c r="Q1133" t="s">
        <v>48</v>
      </c>
      <c r="R1133" s="14">
        <v>5063</v>
      </c>
      <c r="S1133" s="17" t="str">
        <f t="shared" si="34"/>
        <v>medium</v>
      </c>
      <c r="T1133">
        <v>15332</v>
      </c>
      <c r="U1133">
        <v>1</v>
      </c>
      <c r="V1133" s="17" t="s">
        <v>43</v>
      </c>
      <c r="W1133">
        <v>14</v>
      </c>
      <c r="X1133">
        <v>3</v>
      </c>
      <c r="Y1133">
        <v>2</v>
      </c>
      <c r="Z1133">
        <v>1</v>
      </c>
      <c r="AA1133">
        <v>8</v>
      </c>
      <c r="AB1133">
        <v>3</v>
      </c>
      <c r="AC1133">
        <v>2</v>
      </c>
      <c r="AD1133" s="14">
        <v>8</v>
      </c>
      <c r="AE1133" t="str">
        <f t="shared" si="35"/>
        <v>6-10 years</v>
      </c>
      <c r="AF1133" s="14">
        <v>2</v>
      </c>
      <c r="AG1133" s="14">
        <v>7</v>
      </c>
      <c r="AH1133" s="14">
        <v>7</v>
      </c>
    </row>
    <row r="1134" spans="1:34" x14ac:dyDescent="0.3">
      <c r="A1134" s="14">
        <v>40</v>
      </c>
      <c r="B1134" s="17" t="s">
        <v>43</v>
      </c>
      <c r="C1134" t="s">
        <v>36</v>
      </c>
      <c r="D1134">
        <v>118</v>
      </c>
      <c r="E1134" s="17" t="s">
        <v>37</v>
      </c>
      <c r="F1134">
        <v>14</v>
      </c>
      <c r="G1134">
        <v>2</v>
      </c>
      <c r="H1134" t="s">
        <v>38</v>
      </c>
      <c r="I1134">
        <v>1598</v>
      </c>
      <c r="J1134">
        <v>4</v>
      </c>
      <c r="K1134" s="17" t="s">
        <v>39</v>
      </c>
      <c r="L1134">
        <v>84</v>
      </c>
      <c r="M1134">
        <v>3</v>
      </c>
      <c r="N1134">
        <v>2</v>
      </c>
      <c r="O1134" s="17" t="s">
        <v>40</v>
      </c>
      <c r="P1134" s="14">
        <v>1</v>
      </c>
      <c r="Q1134" t="s">
        <v>48</v>
      </c>
      <c r="R1134" s="14">
        <v>4639</v>
      </c>
      <c r="S1134" s="17" t="str">
        <f t="shared" si="34"/>
        <v>medium</v>
      </c>
      <c r="T1134">
        <v>11262</v>
      </c>
      <c r="U1134">
        <v>1</v>
      </c>
      <c r="V1134" s="17" t="s">
        <v>43</v>
      </c>
      <c r="W1134">
        <v>15</v>
      </c>
      <c r="X1134">
        <v>3</v>
      </c>
      <c r="Y1134">
        <v>3</v>
      </c>
      <c r="Z1134">
        <v>1</v>
      </c>
      <c r="AA1134">
        <v>5</v>
      </c>
      <c r="AB1134">
        <v>2</v>
      </c>
      <c r="AC1134">
        <v>3</v>
      </c>
      <c r="AD1134" s="14">
        <v>5</v>
      </c>
      <c r="AE1134" t="str">
        <f t="shared" si="35"/>
        <v>3-5 years</v>
      </c>
      <c r="AF1134" s="14">
        <v>4</v>
      </c>
      <c r="AG1134" s="14">
        <v>1</v>
      </c>
      <c r="AH1134" s="14">
        <v>2</v>
      </c>
    </row>
    <row r="1135" spans="1:34" x14ac:dyDescent="0.3">
      <c r="A1135" s="14">
        <v>43</v>
      </c>
      <c r="B1135" s="17" t="s">
        <v>43</v>
      </c>
      <c r="C1135" t="s">
        <v>36</v>
      </c>
      <c r="D1135">
        <v>990</v>
      </c>
      <c r="E1135" s="17" t="s">
        <v>45</v>
      </c>
      <c r="F1135">
        <v>27</v>
      </c>
      <c r="G1135">
        <v>3</v>
      </c>
      <c r="H1135" t="s">
        <v>60</v>
      </c>
      <c r="I1135">
        <v>1599</v>
      </c>
      <c r="J1135">
        <v>4</v>
      </c>
      <c r="K1135" s="17" t="s">
        <v>46</v>
      </c>
      <c r="L1135">
        <v>87</v>
      </c>
      <c r="M1135">
        <v>4</v>
      </c>
      <c r="N1135">
        <v>1</v>
      </c>
      <c r="O1135" s="17" t="s">
        <v>50</v>
      </c>
      <c r="P1135" s="14">
        <v>2</v>
      </c>
      <c r="Q1135" t="s">
        <v>52</v>
      </c>
      <c r="R1135" s="14">
        <v>4876</v>
      </c>
      <c r="S1135" s="17" t="str">
        <f t="shared" si="34"/>
        <v>medium</v>
      </c>
      <c r="T1135">
        <v>5855</v>
      </c>
      <c r="U1135">
        <v>5</v>
      </c>
      <c r="V1135" s="17" t="s">
        <v>43</v>
      </c>
      <c r="W1135">
        <v>12</v>
      </c>
      <c r="X1135">
        <v>3</v>
      </c>
      <c r="Y1135">
        <v>3</v>
      </c>
      <c r="Z1135">
        <v>1</v>
      </c>
      <c r="AA1135">
        <v>8</v>
      </c>
      <c r="AB1135">
        <v>0</v>
      </c>
      <c r="AC1135">
        <v>3</v>
      </c>
      <c r="AD1135" s="14">
        <v>6</v>
      </c>
      <c r="AE1135" t="str">
        <f t="shared" si="35"/>
        <v>6-10 years</v>
      </c>
      <c r="AF1135" s="14">
        <v>4</v>
      </c>
      <c r="AG1135" s="14">
        <v>0</v>
      </c>
      <c r="AH1135" s="14">
        <v>2</v>
      </c>
    </row>
    <row r="1136" spans="1:34" x14ac:dyDescent="0.3">
      <c r="A1136" s="14">
        <v>35</v>
      </c>
      <c r="B1136" s="17" t="s">
        <v>43</v>
      </c>
      <c r="C1136" t="s">
        <v>36</v>
      </c>
      <c r="D1136">
        <v>1349</v>
      </c>
      <c r="E1136" s="17" t="s">
        <v>45</v>
      </c>
      <c r="F1136">
        <v>7</v>
      </c>
      <c r="G1136">
        <v>2</v>
      </c>
      <c r="H1136" t="s">
        <v>38</v>
      </c>
      <c r="I1136">
        <v>1601</v>
      </c>
      <c r="J1136">
        <v>3</v>
      </c>
      <c r="K1136" s="17" t="s">
        <v>46</v>
      </c>
      <c r="L1136">
        <v>63</v>
      </c>
      <c r="M1136">
        <v>2</v>
      </c>
      <c r="N1136">
        <v>1</v>
      </c>
      <c r="O1136" s="17" t="s">
        <v>50</v>
      </c>
      <c r="P1136" s="14">
        <v>4</v>
      </c>
      <c r="Q1136" t="s">
        <v>48</v>
      </c>
      <c r="R1136" s="14">
        <v>2690</v>
      </c>
      <c r="S1136" s="17" t="str">
        <f t="shared" si="34"/>
        <v>low</v>
      </c>
      <c r="T1136">
        <v>7713</v>
      </c>
      <c r="U1136">
        <v>1</v>
      </c>
      <c r="V1136" s="17" t="s">
        <v>43</v>
      </c>
      <c r="W1136">
        <v>18</v>
      </c>
      <c r="X1136">
        <v>3</v>
      </c>
      <c r="Y1136">
        <v>4</v>
      </c>
      <c r="Z1136">
        <v>1</v>
      </c>
      <c r="AA1136">
        <v>1</v>
      </c>
      <c r="AB1136">
        <v>5</v>
      </c>
      <c r="AC1136">
        <v>2</v>
      </c>
      <c r="AD1136" s="14">
        <v>1</v>
      </c>
      <c r="AE1136" t="str">
        <f t="shared" si="35"/>
        <v>0-2 years</v>
      </c>
      <c r="AF1136" s="14">
        <v>0</v>
      </c>
      <c r="AG1136" s="14">
        <v>0</v>
      </c>
      <c r="AH1136" s="14">
        <v>1</v>
      </c>
    </row>
    <row r="1137" spans="1:34" x14ac:dyDescent="0.3">
      <c r="A1137" s="14">
        <v>46</v>
      </c>
      <c r="B1137" s="17" t="s">
        <v>43</v>
      </c>
      <c r="C1137" t="s">
        <v>36</v>
      </c>
      <c r="D1137">
        <v>563</v>
      </c>
      <c r="E1137" s="17" t="s">
        <v>37</v>
      </c>
      <c r="F1137">
        <v>1</v>
      </c>
      <c r="G1137">
        <v>4</v>
      </c>
      <c r="H1137" t="s">
        <v>38</v>
      </c>
      <c r="I1137">
        <v>1602</v>
      </c>
      <c r="J1137">
        <v>4</v>
      </c>
      <c r="K1137" s="17" t="s">
        <v>46</v>
      </c>
      <c r="L1137">
        <v>56</v>
      </c>
      <c r="M1137">
        <v>4</v>
      </c>
      <c r="N1137">
        <v>4</v>
      </c>
      <c r="O1137" s="17" t="s">
        <v>56</v>
      </c>
      <c r="P1137" s="14">
        <v>1</v>
      </c>
      <c r="Q1137" t="s">
        <v>41</v>
      </c>
      <c r="R1137" s="14">
        <v>17567</v>
      </c>
      <c r="S1137" s="17" t="str">
        <f t="shared" si="34"/>
        <v>high</v>
      </c>
      <c r="T1137">
        <v>3156</v>
      </c>
      <c r="U1137">
        <v>1</v>
      </c>
      <c r="V1137" s="17" t="s">
        <v>43</v>
      </c>
      <c r="W1137">
        <v>15</v>
      </c>
      <c r="X1137">
        <v>3</v>
      </c>
      <c r="Y1137">
        <v>2</v>
      </c>
      <c r="Z1137">
        <v>0</v>
      </c>
      <c r="AA1137">
        <v>27</v>
      </c>
      <c r="AB1137">
        <v>5</v>
      </c>
      <c r="AC1137">
        <v>1</v>
      </c>
      <c r="AD1137" s="14">
        <v>26</v>
      </c>
      <c r="AE1137" t="str">
        <f t="shared" si="35"/>
        <v>10+ years</v>
      </c>
      <c r="AF1137" s="14">
        <v>0</v>
      </c>
      <c r="AG1137" s="14">
        <v>0</v>
      </c>
      <c r="AH1137" s="14">
        <v>12</v>
      </c>
    </row>
    <row r="1138" spans="1:34" x14ac:dyDescent="0.3">
      <c r="A1138" s="14">
        <v>28</v>
      </c>
      <c r="B1138" s="17" t="s">
        <v>35</v>
      </c>
      <c r="C1138" t="s">
        <v>36</v>
      </c>
      <c r="D1138">
        <v>329</v>
      </c>
      <c r="E1138" s="17" t="s">
        <v>45</v>
      </c>
      <c r="F1138">
        <v>24</v>
      </c>
      <c r="G1138">
        <v>3</v>
      </c>
      <c r="H1138" t="s">
        <v>51</v>
      </c>
      <c r="I1138">
        <v>1604</v>
      </c>
      <c r="J1138">
        <v>3</v>
      </c>
      <c r="K1138" s="17" t="s">
        <v>46</v>
      </c>
      <c r="L1138">
        <v>51</v>
      </c>
      <c r="M1138">
        <v>3</v>
      </c>
      <c r="N1138">
        <v>1</v>
      </c>
      <c r="O1138" s="17" t="s">
        <v>50</v>
      </c>
      <c r="P1138" s="14">
        <v>2</v>
      </c>
      <c r="Q1138" t="s">
        <v>48</v>
      </c>
      <c r="R1138" s="14">
        <v>2408</v>
      </c>
      <c r="S1138" s="17" t="str">
        <f t="shared" si="34"/>
        <v>low</v>
      </c>
      <c r="T1138">
        <v>7324</v>
      </c>
      <c r="U1138">
        <v>1</v>
      </c>
      <c r="V1138" s="17" t="s">
        <v>35</v>
      </c>
      <c r="W1138">
        <v>17</v>
      </c>
      <c r="X1138">
        <v>3</v>
      </c>
      <c r="Y1138">
        <v>3</v>
      </c>
      <c r="Z1138">
        <v>3</v>
      </c>
      <c r="AA1138">
        <v>1</v>
      </c>
      <c r="AB1138">
        <v>3</v>
      </c>
      <c r="AC1138">
        <v>3</v>
      </c>
      <c r="AD1138" s="14">
        <v>1</v>
      </c>
      <c r="AE1138" t="str">
        <f t="shared" si="35"/>
        <v>0-2 years</v>
      </c>
      <c r="AF1138" s="14">
        <v>1</v>
      </c>
      <c r="AG1138" s="14">
        <v>0</v>
      </c>
      <c r="AH1138" s="14">
        <v>0</v>
      </c>
    </row>
    <row r="1139" spans="1:34" x14ac:dyDescent="0.3">
      <c r="A1139" s="14">
        <v>22</v>
      </c>
      <c r="B1139" s="17" t="s">
        <v>43</v>
      </c>
      <c r="C1139" t="s">
        <v>55</v>
      </c>
      <c r="D1139">
        <v>457</v>
      </c>
      <c r="E1139" s="17" t="s">
        <v>45</v>
      </c>
      <c r="F1139">
        <v>26</v>
      </c>
      <c r="G1139">
        <v>2</v>
      </c>
      <c r="H1139" t="s">
        <v>49</v>
      </c>
      <c r="I1139">
        <v>1605</v>
      </c>
      <c r="J1139">
        <v>2</v>
      </c>
      <c r="K1139" s="17" t="s">
        <v>39</v>
      </c>
      <c r="L1139">
        <v>85</v>
      </c>
      <c r="M1139">
        <v>2</v>
      </c>
      <c r="N1139">
        <v>1</v>
      </c>
      <c r="O1139" s="17" t="s">
        <v>47</v>
      </c>
      <c r="P1139" s="14">
        <v>3</v>
      </c>
      <c r="Q1139" t="s">
        <v>48</v>
      </c>
      <c r="R1139" s="14">
        <v>2814</v>
      </c>
      <c r="S1139" s="17" t="str">
        <f t="shared" si="34"/>
        <v>low</v>
      </c>
      <c r="T1139">
        <v>10293</v>
      </c>
      <c r="U1139">
        <v>1</v>
      </c>
      <c r="V1139" s="17" t="s">
        <v>35</v>
      </c>
      <c r="W1139">
        <v>14</v>
      </c>
      <c r="X1139">
        <v>3</v>
      </c>
      <c r="Y1139">
        <v>2</v>
      </c>
      <c r="Z1139">
        <v>0</v>
      </c>
      <c r="AA1139">
        <v>4</v>
      </c>
      <c r="AB1139">
        <v>2</v>
      </c>
      <c r="AC1139">
        <v>2</v>
      </c>
      <c r="AD1139" s="14">
        <v>4</v>
      </c>
      <c r="AE1139" t="str">
        <f t="shared" si="35"/>
        <v>3-5 years</v>
      </c>
      <c r="AF1139" s="14">
        <v>2</v>
      </c>
      <c r="AG1139" s="14">
        <v>1</v>
      </c>
      <c r="AH1139" s="14">
        <v>3</v>
      </c>
    </row>
    <row r="1140" spans="1:34" x14ac:dyDescent="0.3">
      <c r="A1140" s="14">
        <v>50</v>
      </c>
      <c r="B1140" s="17" t="s">
        <v>43</v>
      </c>
      <c r="C1140" t="s">
        <v>44</v>
      </c>
      <c r="D1140">
        <v>1234</v>
      </c>
      <c r="E1140" s="17" t="s">
        <v>45</v>
      </c>
      <c r="F1140">
        <v>20</v>
      </c>
      <c r="G1140">
        <v>5</v>
      </c>
      <c r="H1140" t="s">
        <v>51</v>
      </c>
      <c r="I1140">
        <v>1606</v>
      </c>
      <c r="J1140">
        <v>2</v>
      </c>
      <c r="K1140" s="17" t="s">
        <v>46</v>
      </c>
      <c r="L1140">
        <v>41</v>
      </c>
      <c r="M1140">
        <v>3</v>
      </c>
      <c r="N1140">
        <v>4</v>
      </c>
      <c r="O1140" s="17" t="s">
        <v>54</v>
      </c>
      <c r="P1140" s="14">
        <v>3</v>
      </c>
      <c r="Q1140" t="s">
        <v>48</v>
      </c>
      <c r="R1140" s="14">
        <v>11245</v>
      </c>
      <c r="S1140" s="17" t="str">
        <f t="shared" si="34"/>
        <v>high</v>
      </c>
      <c r="T1140">
        <v>20689</v>
      </c>
      <c r="U1140">
        <v>2</v>
      </c>
      <c r="V1140" s="17" t="s">
        <v>35</v>
      </c>
      <c r="W1140">
        <v>15</v>
      </c>
      <c r="X1140">
        <v>3</v>
      </c>
      <c r="Y1140">
        <v>3</v>
      </c>
      <c r="Z1140">
        <v>1</v>
      </c>
      <c r="AA1140">
        <v>32</v>
      </c>
      <c r="AB1140">
        <v>3</v>
      </c>
      <c r="AC1140">
        <v>3</v>
      </c>
      <c r="AD1140" s="14">
        <v>30</v>
      </c>
      <c r="AE1140" t="str">
        <f t="shared" si="35"/>
        <v>10+ years</v>
      </c>
      <c r="AF1140" s="14">
        <v>8</v>
      </c>
      <c r="AG1140" s="14">
        <v>12</v>
      </c>
      <c r="AH1140" s="14">
        <v>13</v>
      </c>
    </row>
    <row r="1141" spans="1:34" x14ac:dyDescent="0.3">
      <c r="A1141" s="14">
        <v>32</v>
      </c>
      <c r="B1141" s="17" t="s">
        <v>43</v>
      </c>
      <c r="C1141" t="s">
        <v>36</v>
      </c>
      <c r="D1141">
        <v>634</v>
      </c>
      <c r="E1141" s="17" t="s">
        <v>45</v>
      </c>
      <c r="F1141">
        <v>5</v>
      </c>
      <c r="G1141">
        <v>4</v>
      </c>
      <c r="H1141" t="s">
        <v>49</v>
      </c>
      <c r="I1141">
        <v>1607</v>
      </c>
      <c r="J1141">
        <v>2</v>
      </c>
      <c r="K1141" s="17" t="s">
        <v>39</v>
      </c>
      <c r="L1141">
        <v>35</v>
      </c>
      <c r="M1141">
        <v>4</v>
      </c>
      <c r="N1141">
        <v>1</v>
      </c>
      <c r="O1141" s="17" t="s">
        <v>47</v>
      </c>
      <c r="P1141" s="14">
        <v>4</v>
      </c>
      <c r="Q1141" t="s">
        <v>48</v>
      </c>
      <c r="R1141" s="14">
        <v>3312</v>
      </c>
      <c r="S1141" s="17" t="str">
        <f t="shared" si="34"/>
        <v>medium</v>
      </c>
      <c r="T1141">
        <v>18783</v>
      </c>
      <c r="U1141">
        <v>3</v>
      </c>
      <c r="V1141" s="17" t="s">
        <v>43</v>
      </c>
      <c r="W1141">
        <v>17</v>
      </c>
      <c r="X1141">
        <v>3</v>
      </c>
      <c r="Y1141">
        <v>4</v>
      </c>
      <c r="Z1141">
        <v>2</v>
      </c>
      <c r="AA1141">
        <v>6</v>
      </c>
      <c r="AB1141">
        <v>3</v>
      </c>
      <c r="AC1141">
        <v>3</v>
      </c>
      <c r="AD1141" s="14">
        <v>3</v>
      </c>
      <c r="AE1141" t="str">
        <f t="shared" si="35"/>
        <v>3-5 years</v>
      </c>
      <c r="AF1141" s="14">
        <v>2</v>
      </c>
      <c r="AG1141" s="14">
        <v>0</v>
      </c>
      <c r="AH1141" s="14">
        <v>2</v>
      </c>
    </row>
    <row r="1142" spans="1:34" x14ac:dyDescent="0.3">
      <c r="A1142" s="14">
        <v>44</v>
      </c>
      <c r="B1142" s="17" t="s">
        <v>43</v>
      </c>
      <c r="C1142" t="s">
        <v>36</v>
      </c>
      <c r="D1142">
        <v>1313</v>
      </c>
      <c r="E1142" s="17" t="s">
        <v>45</v>
      </c>
      <c r="F1142">
        <v>7</v>
      </c>
      <c r="G1142">
        <v>3</v>
      </c>
      <c r="H1142" t="s">
        <v>51</v>
      </c>
      <c r="I1142">
        <v>1608</v>
      </c>
      <c r="J1142">
        <v>2</v>
      </c>
      <c r="K1142" s="17" t="s">
        <v>39</v>
      </c>
      <c r="L1142">
        <v>31</v>
      </c>
      <c r="M1142">
        <v>3</v>
      </c>
      <c r="N1142">
        <v>5</v>
      </c>
      <c r="O1142" s="17" t="s">
        <v>58</v>
      </c>
      <c r="P1142" s="14">
        <v>4</v>
      </c>
      <c r="Q1142" t="s">
        <v>52</v>
      </c>
      <c r="R1142" s="14">
        <v>19049</v>
      </c>
      <c r="S1142" s="17" t="str">
        <f t="shared" si="34"/>
        <v>high</v>
      </c>
      <c r="T1142">
        <v>3549</v>
      </c>
      <c r="U1142">
        <v>0</v>
      </c>
      <c r="V1142" s="17" t="s">
        <v>35</v>
      </c>
      <c r="W1142">
        <v>14</v>
      </c>
      <c r="X1142">
        <v>3</v>
      </c>
      <c r="Y1142">
        <v>4</v>
      </c>
      <c r="Z1142">
        <v>1</v>
      </c>
      <c r="AA1142">
        <v>23</v>
      </c>
      <c r="AB1142">
        <v>4</v>
      </c>
      <c r="AC1142">
        <v>2</v>
      </c>
      <c r="AD1142" s="14">
        <v>22</v>
      </c>
      <c r="AE1142" t="str">
        <f t="shared" si="35"/>
        <v>10+ years</v>
      </c>
      <c r="AF1142" s="14">
        <v>7</v>
      </c>
      <c r="AG1142" s="14">
        <v>1</v>
      </c>
      <c r="AH1142" s="14">
        <v>10</v>
      </c>
    </row>
    <row r="1143" spans="1:34" x14ac:dyDescent="0.3">
      <c r="A1143" s="14">
        <v>30</v>
      </c>
      <c r="B1143" s="17" t="s">
        <v>43</v>
      </c>
      <c r="C1143" t="s">
        <v>36</v>
      </c>
      <c r="D1143">
        <v>241</v>
      </c>
      <c r="E1143" s="17" t="s">
        <v>45</v>
      </c>
      <c r="F1143">
        <v>7</v>
      </c>
      <c r="G1143">
        <v>3</v>
      </c>
      <c r="H1143" t="s">
        <v>51</v>
      </c>
      <c r="I1143">
        <v>1609</v>
      </c>
      <c r="J1143">
        <v>2</v>
      </c>
      <c r="K1143" s="17" t="s">
        <v>46</v>
      </c>
      <c r="L1143">
        <v>48</v>
      </c>
      <c r="M1143">
        <v>2</v>
      </c>
      <c r="N1143">
        <v>1</v>
      </c>
      <c r="O1143" s="17" t="s">
        <v>47</v>
      </c>
      <c r="P1143" s="14">
        <v>2</v>
      </c>
      <c r="Q1143" t="s">
        <v>48</v>
      </c>
      <c r="R1143" s="14">
        <v>2141</v>
      </c>
      <c r="S1143" s="17" t="str">
        <f t="shared" si="34"/>
        <v>low</v>
      </c>
      <c r="T1143">
        <v>5348</v>
      </c>
      <c r="U1143">
        <v>1</v>
      </c>
      <c r="V1143" s="17" t="s">
        <v>43</v>
      </c>
      <c r="W1143">
        <v>12</v>
      </c>
      <c r="X1143">
        <v>3</v>
      </c>
      <c r="Y1143">
        <v>2</v>
      </c>
      <c r="Z1143">
        <v>1</v>
      </c>
      <c r="AA1143">
        <v>6</v>
      </c>
      <c r="AB1143">
        <v>3</v>
      </c>
      <c r="AC1143">
        <v>2</v>
      </c>
      <c r="AD1143" s="14">
        <v>6</v>
      </c>
      <c r="AE1143" t="str">
        <f t="shared" si="35"/>
        <v>6-10 years</v>
      </c>
      <c r="AF1143" s="14">
        <v>4</v>
      </c>
      <c r="AG1143" s="14">
        <v>1</v>
      </c>
      <c r="AH1143" s="14">
        <v>1</v>
      </c>
    </row>
    <row r="1144" spans="1:34" x14ac:dyDescent="0.3">
      <c r="A1144" s="14">
        <v>45</v>
      </c>
      <c r="B1144" s="17" t="s">
        <v>43</v>
      </c>
      <c r="C1144" t="s">
        <v>36</v>
      </c>
      <c r="D1144">
        <v>1015</v>
      </c>
      <c r="E1144" s="17" t="s">
        <v>45</v>
      </c>
      <c r="F1144">
        <v>5</v>
      </c>
      <c r="G1144">
        <v>5</v>
      </c>
      <c r="H1144" t="s">
        <v>51</v>
      </c>
      <c r="I1144">
        <v>1611</v>
      </c>
      <c r="J1144">
        <v>3</v>
      </c>
      <c r="K1144" s="17" t="s">
        <v>39</v>
      </c>
      <c r="L1144">
        <v>50</v>
      </c>
      <c r="M1144">
        <v>1</v>
      </c>
      <c r="N1144">
        <v>2</v>
      </c>
      <c r="O1144" s="17" t="s">
        <v>50</v>
      </c>
      <c r="P1144" s="14">
        <v>1</v>
      </c>
      <c r="Q1144" t="s">
        <v>41</v>
      </c>
      <c r="R1144" s="14">
        <v>5769</v>
      </c>
      <c r="S1144" s="17" t="str">
        <f t="shared" si="34"/>
        <v>medium</v>
      </c>
      <c r="T1144">
        <v>23447</v>
      </c>
      <c r="U1144">
        <v>1</v>
      </c>
      <c r="V1144" s="17" t="s">
        <v>35</v>
      </c>
      <c r="W1144">
        <v>14</v>
      </c>
      <c r="X1144">
        <v>3</v>
      </c>
      <c r="Y1144">
        <v>1</v>
      </c>
      <c r="Z1144">
        <v>0</v>
      </c>
      <c r="AA1144">
        <v>10</v>
      </c>
      <c r="AB1144">
        <v>3</v>
      </c>
      <c r="AC1144">
        <v>3</v>
      </c>
      <c r="AD1144" s="14">
        <v>10</v>
      </c>
      <c r="AE1144" t="str">
        <f t="shared" si="35"/>
        <v>6-10 years</v>
      </c>
      <c r="AF1144" s="14">
        <v>7</v>
      </c>
      <c r="AG1144" s="14">
        <v>1</v>
      </c>
      <c r="AH1144" s="14">
        <v>4</v>
      </c>
    </row>
    <row r="1145" spans="1:34" x14ac:dyDescent="0.3">
      <c r="A1145" s="14">
        <v>45</v>
      </c>
      <c r="B1145" s="17" t="s">
        <v>43</v>
      </c>
      <c r="C1145" t="s">
        <v>55</v>
      </c>
      <c r="D1145">
        <v>336</v>
      </c>
      <c r="E1145" s="17" t="s">
        <v>37</v>
      </c>
      <c r="F1145">
        <v>26</v>
      </c>
      <c r="G1145">
        <v>3</v>
      </c>
      <c r="H1145" t="s">
        <v>59</v>
      </c>
      <c r="I1145">
        <v>1612</v>
      </c>
      <c r="J1145">
        <v>1</v>
      </c>
      <c r="K1145" s="17" t="s">
        <v>46</v>
      </c>
      <c r="L1145">
        <v>52</v>
      </c>
      <c r="M1145">
        <v>2</v>
      </c>
      <c r="N1145">
        <v>2</v>
      </c>
      <c r="O1145" s="17" t="s">
        <v>40</v>
      </c>
      <c r="P1145" s="14">
        <v>1</v>
      </c>
      <c r="Q1145" t="s">
        <v>48</v>
      </c>
      <c r="R1145" s="14">
        <v>4385</v>
      </c>
      <c r="S1145" s="17" t="str">
        <f t="shared" si="34"/>
        <v>medium</v>
      </c>
      <c r="T1145">
        <v>24162</v>
      </c>
      <c r="U1145">
        <v>1</v>
      </c>
      <c r="V1145" s="17" t="s">
        <v>43</v>
      </c>
      <c r="W1145">
        <v>15</v>
      </c>
      <c r="X1145">
        <v>3</v>
      </c>
      <c r="Y1145">
        <v>1</v>
      </c>
      <c r="Z1145">
        <v>1</v>
      </c>
      <c r="AA1145">
        <v>10</v>
      </c>
      <c r="AB1145">
        <v>2</v>
      </c>
      <c r="AC1145">
        <v>3</v>
      </c>
      <c r="AD1145" s="14">
        <v>10</v>
      </c>
      <c r="AE1145" t="str">
        <f t="shared" si="35"/>
        <v>6-10 years</v>
      </c>
      <c r="AF1145" s="14">
        <v>7</v>
      </c>
      <c r="AG1145" s="14">
        <v>4</v>
      </c>
      <c r="AH1145" s="14">
        <v>5</v>
      </c>
    </row>
    <row r="1146" spans="1:34" x14ac:dyDescent="0.3">
      <c r="A1146" s="14">
        <v>31</v>
      </c>
      <c r="B1146" s="17" t="s">
        <v>43</v>
      </c>
      <c r="C1146" t="s">
        <v>44</v>
      </c>
      <c r="D1146">
        <v>715</v>
      </c>
      <c r="E1146" s="17" t="s">
        <v>37</v>
      </c>
      <c r="F1146">
        <v>2</v>
      </c>
      <c r="G1146">
        <v>4</v>
      </c>
      <c r="H1146" t="s">
        <v>49</v>
      </c>
      <c r="I1146">
        <v>1613</v>
      </c>
      <c r="J1146">
        <v>4</v>
      </c>
      <c r="K1146" s="17" t="s">
        <v>46</v>
      </c>
      <c r="L1146">
        <v>54</v>
      </c>
      <c r="M1146">
        <v>3</v>
      </c>
      <c r="N1146">
        <v>2</v>
      </c>
      <c r="O1146" s="17" t="s">
        <v>40</v>
      </c>
      <c r="P1146" s="14">
        <v>1</v>
      </c>
      <c r="Q1146" t="s">
        <v>41</v>
      </c>
      <c r="R1146" s="14">
        <v>5332</v>
      </c>
      <c r="S1146" s="17" t="str">
        <f t="shared" si="34"/>
        <v>medium</v>
      </c>
      <c r="T1146">
        <v>21602</v>
      </c>
      <c r="U1146">
        <v>7</v>
      </c>
      <c r="V1146" s="17" t="s">
        <v>43</v>
      </c>
      <c r="W1146">
        <v>13</v>
      </c>
      <c r="X1146">
        <v>3</v>
      </c>
      <c r="Y1146">
        <v>4</v>
      </c>
      <c r="Z1146">
        <v>0</v>
      </c>
      <c r="AA1146">
        <v>10</v>
      </c>
      <c r="AB1146">
        <v>3</v>
      </c>
      <c r="AC1146">
        <v>3</v>
      </c>
      <c r="AD1146" s="14">
        <v>5</v>
      </c>
      <c r="AE1146" t="str">
        <f t="shared" si="35"/>
        <v>3-5 years</v>
      </c>
      <c r="AF1146" s="14">
        <v>2</v>
      </c>
      <c r="AG1146" s="14">
        <v>0</v>
      </c>
      <c r="AH1146" s="14">
        <v>3</v>
      </c>
    </row>
    <row r="1147" spans="1:34" x14ac:dyDescent="0.3">
      <c r="A1147" s="14">
        <v>36</v>
      </c>
      <c r="B1147" s="17" t="s">
        <v>43</v>
      </c>
      <c r="C1147" t="s">
        <v>36</v>
      </c>
      <c r="D1147">
        <v>559</v>
      </c>
      <c r="E1147" s="17" t="s">
        <v>45</v>
      </c>
      <c r="F1147">
        <v>12</v>
      </c>
      <c r="G1147">
        <v>4</v>
      </c>
      <c r="H1147" t="s">
        <v>38</v>
      </c>
      <c r="I1147">
        <v>1614</v>
      </c>
      <c r="J1147">
        <v>3</v>
      </c>
      <c r="K1147" s="17" t="s">
        <v>39</v>
      </c>
      <c r="L1147">
        <v>76</v>
      </c>
      <c r="M1147">
        <v>3</v>
      </c>
      <c r="N1147">
        <v>2</v>
      </c>
      <c r="O1147" s="17" t="s">
        <v>53</v>
      </c>
      <c r="P1147" s="14">
        <v>3</v>
      </c>
      <c r="Q1147" t="s">
        <v>48</v>
      </c>
      <c r="R1147" s="14">
        <v>4663</v>
      </c>
      <c r="S1147" s="17" t="str">
        <f t="shared" si="34"/>
        <v>medium</v>
      </c>
      <c r="T1147">
        <v>12421</v>
      </c>
      <c r="U1147">
        <v>9</v>
      </c>
      <c r="V1147" s="17" t="s">
        <v>35</v>
      </c>
      <c r="W1147">
        <v>12</v>
      </c>
      <c r="X1147">
        <v>3</v>
      </c>
      <c r="Y1147">
        <v>2</v>
      </c>
      <c r="Z1147">
        <v>2</v>
      </c>
      <c r="AA1147">
        <v>7</v>
      </c>
      <c r="AB1147">
        <v>2</v>
      </c>
      <c r="AC1147">
        <v>3</v>
      </c>
      <c r="AD1147" s="14">
        <v>3</v>
      </c>
      <c r="AE1147" t="str">
        <f t="shared" si="35"/>
        <v>3-5 years</v>
      </c>
      <c r="AF1147" s="14">
        <v>2</v>
      </c>
      <c r="AG1147" s="14">
        <v>1</v>
      </c>
      <c r="AH1147" s="14">
        <v>1</v>
      </c>
    </row>
    <row r="1148" spans="1:34" x14ac:dyDescent="0.3">
      <c r="A1148" s="14">
        <v>34</v>
      </c>
      <c r="B1148" s="17" t="s">
        <v>43</v>
      </c>
      <c r="C1148" t="s">
        <v>44</v>
      </c>
      <c r="D1148">
        <v>426</v>
      </c>
      <c r="E1148" s="17" t="s">
        <v>45</v>
      </c>
      <c r="F1148">
        <v>10</v>
      </c>
      <c r="G1148">
        <v>4</v>
      </c>
      <c r="H1148" t="s">
        <v>38</v>
      </c>
      <c r="I1148">
        <v>1615</v>
      </c>
      <c r="J1148">
        <v>3</v>
      </c>
      <c r="K1148" s="17" t="s">
        <v>46</v>
      </c>
      <c r="L1148">
        <v>42</v>
      </c>
      <c r="M1148">
        <v>4</v>
      </c>
      <c r="N1148">
        <v>2</v>
      </c>
      <c r="O1148" s="17" t="s">
        <v>53</v>
      </c>
      <c r="P1148" s="14">
        <v>4</v>
      </c>
      <c r="Q1148" t="s">
        <v>52</v>
      </c>
      <c r="R1148" s="14">
        <v>4724</v>
      </c>
      <c r="S1148" s="17" t="str">
        <f t="shared" si="34"/>
        <v>medium</v>
      </c>
      <c r="T1148">
        <v>17000</v>
      </c>
      <c r="U1148">
        <v>1</v>
      </c>
      <c r="V1148" s="17" t="s">
        <v>43</v>
      </c>
      <c r="W1148">
        <v>13</v>
      </c>
      <c r="X1148">
        <v>3</v>
      </c>
      <c r="Y1148">
        <v>1</v>
      </c>
      <c r="Z1148">
        <v>1</v>
      </c>
      <c r="AA1148">
        <v>9</v>
      </c>
      <c r="AB1148">
        <v>3</v>
      </c>
      <c r="AC1148">
        <v>3</v>
      </c>
      <c r="AD1148" s="14">
        <v>9</v>
      </c>
      <c r="AE1148" t="str">
        <f t="shared" si="35"/>
        <v>6-10 years</v>
      </c>
      <c r="AF1148" s="14">
        <v>7</v>
      </c>
      <c r="AG1148" s="14">
        <v>7</v>
      </c>
      <c r="AH1148" s="14">
        <v>2</v>
      </c>
    </row>
    <row r="1149" spans="1:34" x14ac:dyDescent="0.3">
      <c r="A1149" s="14">
        <v>49</v>
      </c>
      <c r="B1149" s="17" t="s">
        <v>43</v>
      </c>
      <c r="C1149" t="s">
        <v>36</v>
      </c>
      <c r="D1149">
        <v>722</v>
      </c>
      <c r="E1149" s="17" t="s">
        <v>45</v>
      </c>
      <c r="F1149">
        <v>25</v>
      </c>
      <c r="G1149">
        <v>4</v>
      </c>
      <c r="H1149" t="s">
        <v>38</v>
      </c>
      <c r="I1149">
        <v>1617</v>
      </c>
      <c r="J1149">
        <v>3</v>
      </c>
      <c r="K1149" s="17" t="s">
        <v>39</v>
      </c>
      <c r="L1149">
        <v>84</v>
      </c>
      <c r="M1149">
        <v>3</v>
      </c>
      <c r="N1149">
        <v>1</v>
      </c>
      <c r="O1149" s="17" t="s">
        <v>50</v>
      </c>
      <c r="P1149" s="14">
        <v>1</v>
      </c>
      <c r="Q1149" t="s">
        <v>48</v>
      </c>
      <c r="R1149" s="14">
        <v>3211</v>
      </c>
      <c r="S1149" s="17" t="str">
        <f t="shared" si="34"/>
        <v>medium</v>
      </c>
      <c r="T1149">
        <v>22102</v>
      </c>
      <c r="U1149">
        <v>1</v>
      </c>
      <c r="V1149" s="17" t="s">
        <v>43</v>
      </c>
      <c r="W1149">
        <v>14</v>
      </c>
      <c r="X1149">
        <v>3</v>
      </c>
      <c r="Y1149">
        <v>4</v>
      </c>
      <c r="Z1149">
        <v>1</v>
      </c>
      <c r="AA1149">
        <v>10</v>
      </c>
      <c r="AB1149">
        <v>3</v>
      </c>
      <c r="AC1149">
        <v>2</v>
      </c>
      <c r="AD1149" s="14">
        <v>9</v>
      </c>
      <c r="AE1149" t="str">
        <f t="shared" si="35"/>
        <v>6-10 years</v>
      </c>
      <c r="AF1149" s="14">
        <v>6</v>
      </c>
      <c r="AG1149" s="14">
        <v>1</v>
      </c>
      <c r="AH1149" s="14">
        <v>4</v>
      </c>
    </row>
    <row r="1150" spans="1:34" x14ac:dyDescent="0.3">
      <c r="A1150" s="14">
        <v>39</v>
      </c>
      <c r="B1150" s="17" t="s">
        <v>43</v>
      </c>
      <c r="C1150" t="s">
        <v>36</v>
      </c>
      <c r="D1150">
        <v>1387</v>
      </c>
      <c r="E1150" s="17" t="s">
        <v>45</v>
      </c>
      <c r="F1150">
        <v>10</v>
      </c>
      <c r="G1150">
        <v>5</v>
      </c>
      <c r="H1150" t="s">
        <v>51</v>
      </c>
      <c r="I1150">
        <v>1618</v>
      </c>
      <c r="J1150">
        <v>2</v>
      </c>
      <c r="K1150" s="17" t="s">
        <v>46</v>
      </c>
      <c r="L1150">
        <v>76</v>
      </c>
      <c r="M1150">
        <v>3</v>
      </c>
      <c r="N1150">
        <v>2</v>
      </c>
      <c r="O1150" s="17" t="s">
        <v>53</v>
      </c>
      <c r="P1150" s="14">
        <v>1</v>
      </c>
      <c r="Q1150" t="s">
        <v>48</v>
      </c>
      <c r="R1150" s="14">
        <v>5377</v>
      </c>
      <c r="S1150" s="17" t="str">
        <f t="shared" si="34"/>
        <v>medium</v>
      </c>
      <c r="T1150">
        <v>3835</v>
      </c>
      <c r="U1150">
        <v>2</v>
      </c>
      <c r="V1150" s="17" t="s">
        <v>43</v>
      </c>
      <c r="W1150">
        <v>13</v>
      </c>
      <c r="X1150">
        <v>3</v>
      </c>
      <c r="Y1150">
        <v>4</v>
      </c>
      <c r="Z1150">
        <v>3</v>
      </c>
      <c r="AA1150">
        <v>10</v>
      </c>
      <c r="AB1150">
        <v>3</v>
      </c>
      <c r="AC1150">
        <v>3</v>
      </c>
      <c r="AD1150" s="14">
        <v>7</v>
      </c>
      <c r="AE1150" t="str">
        <f t="shared" si="35"/>
        <v>6-10 years</v>
      </c>
      <c r="AF1150" s="14">
        <v>7</v>
      </c>
      <c r="AG1150" s="14">
        <v>7</v>
      </c>
      <c r="AH1150" s="14">
        <v>7</v>
      </c>
    </row>
    <row r="1151" spans="1:34" x14ac:dyDescent="0.3">
      <c r="A1151" s="14">
        <v>27</v>
      </c>
      <c r="B1151" s="17" t="s">
        <v>43</v>
      </c>
      <c r="C1151" t="s">
        <v>36</v>
      </c>
      <c r="D1151">
        <v>1302</v>
      </c>
      <c r="E1151" s="17" t="s">
        <v>45</v>
      </c>
      <c r="F1151">
        <v>19</v>
      </c>
      <c r="G1151">
        <v>3</v>
      </c>
      <c r="H1151" t="s">
        <v>49</v>
      </c>
      <c r="I1151">
        <v>1619</v>
      </c>
      <c r="J1151">
        <v>4</v>
      </c>
      <c r="K1151" s="17" t="s">
        <v>46</v>
      </c>
      <c r="L1151">
        <v>67</v>
      </c>
      <c r="M1151">
        <v>2</v>
      </c>
      <c r="N1151">
        <v>1</v>
      </c>
      <c r="O1151" s="17" t="s">
        <v>50</v>
      </c>
      <c r="P1151" s="14">
        <v>1</v>
      </c>
      <c r="Q1151" t="s">
        <v>52</v>
      </c>
      <c r="R1151" s="14">
        <v>4066</v>
      </c>
      <c r="S1151" s="17" t="str">
        <f t="shared" si="34"/>
        <v>medium</v>
      </c>
      <c r="T1151">
        <v>16290</v>
      </c>
      <c r="U1151">
        <v>1</v>
      </c>
      <c r="V1151" s="17" t="s">
        <v>43</v>
      </c>
      <c r="W1151">
        <v>11</v>
      </c>
      <c r="X1151">
        <v>3</v>
      </c>
      <c r="Y1151">
        <v>1</v>
      </c>
      <c r="Z1151">
        <v>2</v>
      </c>
      <c r="AA1151">
        <v>7</v>
      </c>
      <c r="AB1151">
        <v>3</v>
      </c>
      <c r="AC1151">
        <v>3</v>
      </c>
      <c r="AD1151" s="14">
        <v>7</v>
      </c>
      <c r="AE1151" t="str">
        <f t="shared" si="35"/>
        <v>6-10 years</v>
      </c>
      <c r="AF1151" s="14">
        <v>7</v>
      </c>
      <c r="AG1151" s="14">
        <v>0</v>
      </c>
      <c r="AH1151" s="14">
        <v>7</v>
      </c>
    </row>
    <row r="1152" spans="1:34" x14ac:dyDescent="0.3">
      <c r="A1152" s="14">
        <v>35</v>
      </c>
      <c r="B1152" s="17" t="s">
        <v>43</v>
      </c>
      <c r="C1152" t="s">
        <v>36</v>
      </c>
      <c r="D1152">
        <v>819</v>
      </c>
      <c r="E1152" s="17" t="s">
        <v>45</v>
      </c>
      <c r="F1152">
        <v>18</v>
      </c>
      <c r="G1152">
        <v>5</v>
      </c>
      <c r="H1152" t="s">
        <v>38</v>
      </c>
      <c r="I1152">
        <v>1621</v>
      </c>
      <c r="J1152">
        <v>2</v>
      </c>
      <c r="K1152" s="17" t="s">
        <v>46</v>
      </c>
      <c r="L1152">
        <v>48</v>
      </c>
      <c r="M1152">
        <v>4</v>
      </c>
      <c r="N1152">
        <v>2</v>
      </c>
      <c r="O1152" s="17" t="s">
        <v>47</v>
      </c>
      <c r="P1152" s="14">
        <v>1</v>
      </c>
      <c r="Q1152" t="s">
        <v>48</v>
      </c>
      <c r="R1152" s="14">
        <v>5208</v>
      </c>
      <c r="S1152" s="17" t="str">
        <f t="shared" si="34"/>
        <v>medium</v>
      </c>
      <c r="T1152">
        <v>26312</v>
      </c>
      <c r="U1152">
        <v>1</v>
      </c>
      <c r="V1152" s="17" t="s">
        <v>43</v>
      </c>
      <c r="W1152">
        <v>11</v>
      </c>
      <c r="X1152">
        <v>3</v>
      </c>
      <c r="Y1152">
        <v>4</v>
      </c>
      <c r="Z1152">
        <v>0</v>
      </c>
      <c r="AA1152">
        <v>16</v>
      </c>
      <c r="AB1152">
        <v>2</v>
      </c>
      <c r="AC1152">
        <v>3</v>
      </c>
      <c r="AD1152" s="14">
        <v>16</v>
      </c>
      <c r="AE1152" t="str">
        <f t="shared" si="35"/>
        <v>10+ years</v>
      </c>
      <c r="AF1152" s="14">
        <v>15</v>
      </c>
      <c r="AG1152" s="14">
        <v>1</v>
      </c>
      <c r="AH1152" s="14">
        <v>10</v>
      </c>
    </row>
    <row r="1153" spans="1:34" x14ac:dyDescent="0.3">
      <c r="A1153" s="14">
        <v>28</v>
      </c>
      <c r="B1153" s="17" t="s">
        <v>43</v>
      </c>
      <c r="C1153" t="s">
        <v>36</v>
      </c>
      <c r="D1153">
        <v>580</v>
      </c>
      <c r="E1153" s="17" t="s">
        <v>45</v>
      </c>
      <c r="F1153">
        <v>27</v>
      </c>
      <c r="G1153">
        <v>3</v>
      </c>
      <c r="H1153" t="s">
        <v>51</v>
      </c>
      <c r="I1153">
        <v>1622</v>
      </c>
      <c r="J1153">
        <v>2</v>
      </c>
      <c r="K1153" s="17" t="s">
        <v>39</v>
      </c>
      <c r="L1153">
        <v>39</v>
      </c>
      <c r="M1153">
        <v>1</v>
      </c>
      <c r="N1153">
        <v>2</v>
      </c>
      <c r="O1153" s="17" t="s">
        <v>53</v>
      </c>
      <c r="P1153" s="14">
        <v>1</v>
      </c>
      <c r="Q1153" t="s">
        <v>52</v>
      </c>
      <c r="R1153" s="14">
        <v>4877</v>
      </c>
      <c r="S1153" s="17" t="str">
        <f t="shared" si="34"/>
        <v>medium</v>
      </c>
      <c r="T1153">
        <v>20460</v>
      </c>
      <c r="U1153">
        <v>0</v>
      </c>
      <c r="V1153" s="17" t="s">
        <v>43</v>
      </c>
      <c r="W1153">
        <v>21</v>
      </c>
      <c r="X1153">
        <v>4</v>
      </c>
      <c r="Y1153">
        <v>2</v>
      </c>
      <c r="Z1153">
        <v>1</v>
      </c>
      <c r="AA1153">
        <v>6</v>
      </c>
      <c r="AB1153">
        <v>5</v>
      </c>
      <c r="AC1153">
        <v>2</v>
      </c>
      <c r="AD1153" s="14">
        <v>5</v>
      </c>
      <c r="AE1153" t="str">
        <f t="shared" si="35"/>
        <v>3-5 years</v>
      </c>
      <c r="AF1153" s="14">
        <v>3</v>
      </c>
      <c r="AG1153" s="14">
        <v>0</v>
      </c>
      <c r="AH1153" s="14">
        <v>0</v>
      </c>
    </row>
    <row r="1154" spans="1:34" x14ac:dyDescent="0.3">
      <c r="A1154" s="14">
        <v>21</v>
      </c>
      <c r="B1154" s="17" t="s">
        <v>43</v>
      </c>
      <c r="C1154" t="s">
        <v>36</v>
      </c>
      <c r="D1154">
        <v>546</v>
      </c>
      <c r="E1154" s="17" t="s">
        <v>45</v>
      </c>
      <c r="F1154">
        <v>5</v>
      </c>
      <c r="G1154">
        <v>1</v>
      </c>
      <c r="H1154" t="s">
        <v>51</v>
      </c>
      <c r="I1154">
        <v>1623</v>
      </c>
      <c r="J1154">
        <v>3</v>
      </c>
      <c r="K1154" s="17" t="s">
        <v>46</v>
      </c>
      <c r="L1154">
        <v>97</v>
      </c>
      <c r="M1154">
        <v>3</v>
      </c>
      <c r="N1154">
        <v>1</v>
      </c>
      <c r="O1154" s="17" t="s">
        <v>47</v>
      </c>
      <c r="P1154" s="14">
        <v>4</v>
      </c>
      <c r="Q1154" t="s">
        <v>41</v>
      </c>
      <c r="R1154" s="14">
        <v>3117</v>
      </c>
      <c r="S1154" s="17" t="str">
        <f t="shared" ref="S1154:S1217" si="36">IF(R1154&lt;=3000, "low",IF(R1154&lt;=7000,"medium","high"))</f>
        <v>medium</v>
      </c>
      <c r="T1154">
        <v>26009</v>
      </c>
      <c r="U1154">
        <v>1</v>
      </c>
      <c r="V1154" s="17" t="s">
        <v>43</v>
      </c>
      <c r="W1154">
        <v>18</v>
      </c>
      <c r="X1154">
        <v>3</v>
      </c>
      <c r="Y1154">
        <v>3</v>
      </c>
      <c r="Z1154">
        <v>0</v>
      </c>
      <c r="AA1154">
        <v>3</v>
      </c>
      <c r="AB1154">
        <v>2</v>
      </c>
      <c r="AC1154">
        <v>3</v>
      </c>
      <c r="AD1154" s="14">
        <v>2</v>
      </c>
      <c r="AE1154" t="str">
        <f t="shared" ref="AE1154:AE1217" si="37">IF(AD1154&lt;=2,"0-2 years", IF(AD1154&lt;=5,"3-5 years", IF(AD1154&lt;=10,"6-10 years","10+ years")))</f>
        <v>0-2 years</v>
      </c>
      <c r="AF1154" s="14">
        <v>2</v>
      </c>
      <c r="AG1154" s="14">
        <v>2</v>
      </c>
      <c r="AH1154" s="14">
        <v>2</v>
      </c>
    </row>
    <row r="1155" spans="1:34" x14ac:dyDescent="0.3">
      <c r="A1155" s="14">
        <v>18</v>
      </c>
      <c r="B1155" s="17" t="s">
        <v>35</v>
      </c>
      <c r="C1155" t="s">
        <v>44</v>
      </c>
      <c r="D1155">
        <v>544</v>
      </c>
      <c r="E1155" s="17" t="s">
        <v>37</v>
      </c>
      <c r="F1155">
        <v>3</v>
      </c>
      <c r="G1155">
        <v>2</v>
      </c>
      <c r="H1155" t="s">
        <v>51</v>
      </c>
      <c r="I1155">
        <v>1624</v>
      </c>
      <c r="J1155">
        <v>2</v>
      </c>
      <c r="K1155" s="17" t="s">
        <v>39</v>
      </c>
      <c r="L1155">
        <v>70</v>
      </c>
      <c r="M1155">
        <v>3</v>
      </c>
      <c r="N1155">
        <v>1</v>
      </c>
      <c r="O1155" s="17" t="s">
        <v>57</v>
      </c>
      <c r="P1155" s="14">
        <v>4</v>
      </c>
      <c r="Q1155" t="s">
        <v>41</v>
      </c>
      <c r="R1155" s="14">
        <v>1569</v>
      </c>
      <c r="S1155" s="17" t="str">
        <f t="shared" si="36"/>
        <v>low</v>
      </c>
      <c r="T1155">
        <v>18420</v>
      </c>
      <c r="U1155">
        <v>1</v>
      </c>
      <c r="V1155" s="17" t="s">
        <v>35</v>
      </c>
      <c r="W1155">
        <v>12</v>
      </c>
      <c r="X1155">
        <v>3</v>
      </c>
      <c r="Y1155">
        <v>3</v>
      </c>
      <c r="Z1155">
        <v>0</v>
      </c>
      <c r="AA1155">
        <v>0</v>
      </c>
      <c r="AB1155">
        <v>2</v>
      </c>
      <c r="AC1155">
        <v>4</v>
      </c>
      <c r="AD1155" s="14">
        <v>0</v>
      </c>
      <c r="AE1155" t="str">
        <f t="shared" si="37"/>
        <v>0-2 years</v>
      </c>
      <c r="AF1155" s="14">
        <v>0</v>
      </c>
      <c r="AG1155" s="14">
        <v>0</v>
      </c>
      <c r="AH1155" s="14">
        <v>0</v>
      </c>
    </row>
    <row r="1156" spans="1:34" x14ac:dyDescent="0.3">
      <c r="A1156" s="14">
        <v>47</v>
      </c>
      <c r="B1156" s="17" t="s">
        <v>43</v>
      </c>
      <c r="C1156" t="s">
        <v>36</v>
      </c>
      <c r="D1156">
        <v>1176</v>
      </c>
      <c r="E1156" s="17" t="s">
        <v>61</v>
      </c>
      <c r="F1156">
        <v>26</v>
      </c>
      <c r="G1156">
        <v>4</v>
      </c>
      <c r="H1156" t="s">
        <v>38</v>
      </c>
      <c r="I1156">
        <v>1625</v>
      </c>
      <c r="J1156">
        <v>4</v>
      </c>
      <c r="K1156" s="17" t="s">
        <v>39</v>
      </c>
      <c r="L1156">
        <v>98</v>
      </c>
      <c r="M1156">
        <v>3</v>
      </c>
      <c r="N1156">
        <v>5</v>
      </c>
      <c r="O1156" s="17" t="s">
        <v>56</v>
      </c>
      <c r="P1156" s="14">
        <v>3</v>
      </c>
      <c r="Q1156" t="s">
        <v>48</v>
      </c>
      <c r="R1156" s="14">
        <v>19658</v>
      </c>
      <c r="S1156" s="17" t="str">
        <f t="shared" si="36"/>
        <v>high</v>
      </c>
      <c r="T1156">
        <v>5220</v>
      </c>
      <c r="U1156">
        <v>3</v>
      </c>
      <c r="V1156" s="17" t="s">
        <v>43</v>
      </c>
      <c r="W1156">
        <v>11</v>
      </c>
      <c r="X1156">
        <v>3</v>
      </c>
      <c r="Y1156">
        <v>3</v>
      </c>
      <c r="Z1156">
        <v>1</v>
      </c>
      <c r="AA1156">
        <v>27</v>
      </c>
      <c r="AB1156">
        <v>2</v>
      </c>
      <c r="AC1156">
        <v>3</v>
      </c>
      <c r="AD1156" s="14">
        <v>5</v>
      </c>
      <c r="AE1156" t="str">
        <f t="shared" si="37"/>
        <v>3-5 years</v>
      </c>
      <c r="AF1156" s="14">
        <v>2</v>
      </c>
      <c r="AG1156" s="14">
        <v>1</v>
      </c>
      <c r="AH1156" s="14">
        <v>0</v>
      </c>
    </row>
    <row r="1157" spans="1:34" x14ac:dyDescent="0.3">
      <c r="A1157" s="14">
        <v>39</v>
      </c>
      <c r="B1157" s="17" t="s">
        <v>43</v>
      </c>
      <c r="C1157" t="s">
        <v>36</v>
      </c>
      <c r="D1157">
        <v>170</v>
      </c>
      <c r="E1157" s="17" t="s">
        <v>45</v>
      </c>
      <c r="F1157">
        <v>3</v>
      </c>
      <c r="G1157">
        <v>2</v>
      </c>
      <c r="H1157" t="s">
        <v>51</v>
      </c>
      <c r="I1157">
        <v>1627</v>
      </c>
      <c r="J1157">
        <v>3</v>
      </c>
      <c r="K1157" s="17" t="s">
        <v>46</v>
      </c>
      <c r="L1157">
        <v>76</v>
      </c>
      <c r="M1157">
        <v>2</v>
      </c>
      <c r="N1157">
        <v>2</v>
      </c>
      <c r="O1157" s="17" t="s">
        <v>50</v>
      </c>
      <c r="P1157" s="14">
        <v>3</v>
      </c>
      <c r="Q1157" t="s">
        <v>52</v>
      </c>
      <c r="R1157" s="14">
        <v>3069</v>
      </c>
      <c r="S1157" s="17" t="str">
        <f t="shared" si="36"/>
        <v>medium</v>
      </c>
      <c r="T1157">
        <v>10302</v>
      </c>
      <c r="U1157">
        <v>0</v>
      </c>
      <c r="V1157" s="17" t="s">
        <v>43</v>
      </c>
      <c r="W1157">
        <v>15</v>
      </c>
      <c r="X1157">
        <v>3</v>
      </c>
      <c r="Y1157">
        <v>4</v>
      </c>
      <c r="Z1157">
        <v>1</v>
      </c>
      <c r="AA1157">
        <v>11</v>
      </c>
      <c r="AB1157">
        <v>3</v>
      </c>
      <c r="AC1157">
        <v>3</v>
      </c>
      <c r="AD1157" s="14">
        <v>10</v>
      </c>
      <c r="AE1157" t="str">
        <f t="shared" si="37"/>
        <v>6-10 years</v>
      </c>
      <c r="AF1157" s="14">
        <v>8</v>
      </c>
      <c r="AG1157" s="14">
        <v>0</v>
      </c>
      <c r="AH1157" s="14">
        <v>7</v>
      </c>
    </row>
    <row r="1158" spans="1:34" x14ac:dyDescent="0.3">
      <c r="A1158" s="14">
        <v>40</v>
      </c>
      <c r="B1158" s="17" t="s">
        <v>43</v>
      </c>
      <c r="C1158" t="s">
        <v>36</v>
      </c>
      <c r="D1158">
        <v>884</v>
      </c>
      <c r="E1158" s="17" t="s">
        <v>45</v>
      </c>
      <c r="F1158">
        <v>15</v>
      </c>
      <c r="G1158">
        <v>3</v>
      </c>
      <c r="H1158" t="s">
        <v>38</v>
      </c>
      <c r="I1158">
        <v>1628</v>
      </c>
      <c r="J1158">
        <v>1</v>
      </c>
      <c r="K1158" s="17" t="s">
        <v>39</v>
      </c>
      <c r="L1158">
        <v>80</v>
      </c>
      <c r="M1158">
        <v>2</v>
      </c>
      <c r="N1158">
        <v>3</v>
      </c>
      <c r="O1158" s="17" t="s">
        <v>53</v>
      </c>
      <c r="P1158" s="14">
        <v>3</v>
      </c>
      <c r="Q1158" t="s">
        <v>48</v>
      </c>
      <c r="R1158" s="14">
        <v>10435</v>
      </c>
      <c r="S1158" s="17" t="str">
        <f t="shared" si="36"/>
        <v>high</v>
      </c>
      <c r="T1158">
        <v>25800</v>
      </c>
      <c r="U1158">
        <v>1</v>
      </c>
      <c r="V1158" s="17" t="s">
        <v>43</v>
      </c>
      <c r="W1158">
        <v>13</v>
      </c>
      <c r="X1158">
        <v>3</v>
      </c>
      <c r="Y1158">
        <v>4</v>
      </c>
      <c r="Z1158">
        <v>2</v>
      </c>
      <c r="AA1158">
        <v>18</v>
      </c>
      <c r="AB1158">
        <v>2</v>
      </c>
      <c r="AC1158">
        <v>3</v>
      </c>
      <c r="AD1158" s="14">
        <v>18</v>
      </c>
      <c r="AE1158" t="str">
        <f t="shared" si="37"/>
        <v>10+ years</v>
      </c>
      <c r="AF1158" s="14">
        <v>15</v>
      </c>
      <c r="AG1158" s="14">
        <v>14</v>
      </c>
      <c r="AH1158" s="14">
        <v>12</v>
      </c>
    </row>
    <row r="1159" spans="1:34" x14ac:dyDescent="0.3">
      <c r="A1159" s="14">
        <v>35</v>
      </c>
      <c r="B1159" s="17" t="s">
        <v>43</v>
      </c>
      <c r="C1159" t="s">
        <v>55</v>
      </c>
      <c r="D1159">
        <v>208</v>
      </c>
      <c r="E1159" s="17" t="s">
        <v>45</v>
      </c>
      <c r="F1159">
        <v>8</v>
      </c>
      <c r="G1159">
        <v>4</v>
      </c>
      <c r="H1159" t="s">
        <v>38</v>
      </c>
      <c r="I1159">
        <v>1630</v>
      </c>
      <c r="J1159">
        <v>3</v>
      </c>
      <c r="K1159" s="17" t="s">
        <v>39</v>
      </c>
      <c r="L1159">
        <v>52</v>
      </c>
      <c r="M1159">
        <v>3</v>
      </c>
      <c r="N1159">
        <v>2</v>
      </c>
      <c r="O1159" s="17" t="s">
        <v>54</v>
      </c>
      <c r="P1159" s="14">
        <v>3</v>
      </c>
      <c r="Q1159" t="s">
        <v>48</v>
      </c>
      <c r="R1159" s="14">
        <v>4148</v>
      </c>
      <c r="S1159" s="17" t="str">
        <f t="shared" si="36"/>
        <v>medium</v>
      </c>
      <c r="T1159">
        <v>12250</v>
      </c>
      <c r="U1159">
        <v>1</v>
      </c>
      <c r="V1159" s="17" t="s">
        <v>43</v>
      </c>
      <c r="W1159">
        <v>12</v>
      </c>
      <c r="X1159">
        <v>3</v>
      </c>
      <c r="Y1159">
        <v>4</v>
      </c>
      <c r="Z1159">
        <v>1</v>
      </c>
      <c r="AA1159">
        <v>15</v>
      </c>
      <c r="AB1159">
        <v>5</v>
      </c>
      <c r="AC1159">
        <v>3</v>
      </c>
      <c r="AD1159" s="14">
        <v>14</v>
      </c>
      <c r="AE1159" t="str">
        <f t="shared" si="37"/>
        <v>10+ years</v>
      </c>
      <c r="AF1159" s="14">
        <v>11</v>
      </c>
      <c r="AG1159" s="14">
        <v>2</v>
      </c>
      <c r="AH1159" s="14">
        <v>9</v>
      </c>
    </row>
    <row r="1160" spans="1:34" x14ac:dyDescent="0.3">
      <c r="A1160" s="14">
        <v>37</v>
      </c>
      <c r="B1160" s="17" t="s">
        <v>43</v>
      </c>
      <c r="C1160" t="s">
        <v>36</v>
      </c>
      <c r="D1160">
        <v>671</v>
      </c>
      <c r="E1160" s="17" t="s">
        <v>45</v>
      </c>
      <c r="F1160">
        <v>19</v>
      </c>
      <c r="G1160">
        <v>3</v>
      </c>
      <c r="H1160" t="s">
        <v>38</v>
      </c>
      <c r="I1160">
        <v>1631</v>
      </c>
      <c r="J1160">
        <v>3</v>
      </c>
      <c r="K1160" s="17" t="s">
        <v>46</v>
      </c>
      <c r="L1160">
        <v>85</v>
      </c>
      <c r="M1160">
        <v>3</v>
      </c>
      <c r="N1160">
        <v>2</v>
      </c>
      <c r="O1160" s="17" t="s">
        <v>53</v>
      </c>
      <c r="P1160" s="14">
        <v>3</v>
      </c>
      <c r="Q1160" t="s">
        <v>48</v>
      </c>
      <c r="R1160" s="14">
        <v>5768</v>
      </c>
      <c r="S1160" s="17" t="str">
        <f t="shared" si="36"/>
        <v>medium</v>
      </c>
      <c r="T1160">
        <v>26493</v>
      </c>
      <c r="U1160">
        <v>3</v>
      </c>
      <c r="V1160" s="17" t="s">
        <v>43</v>
      </c>
      <c r="W1160">
        <v>17</v>
      </c>
      <c r="X1160">
        <v>3</v>
      </c>
      <c r="Y1160">
        <v>1</v>
      </c>
      <c r="Z1160">
        <v>3</v>
      </c>
      <c r="AA1160">
        <v>9</v>
      </c>
      <c r="AB1160">
        <v>2</v>
      </c>
      <c r="AC1160">
        <v>2</v>
      </c>
      <c r="AD1160" s="14">
        <v>4</v>
      </c>
      <c r="AE1160" t="str">
        <f t="shared" si="37"/>
        <v>3-5 years</v>
      </c>
      <c r="AF1160" s="14">
        <v>3</v>
      </c>
      <c r="AG1160" s="14">
        <v>0</v>
      </c>
      <c r="AH1160" s="14">
        <v>2</v>
      </c>
    </row>
    <row r="1161" spans="1:34" x14ac:dyDescent="0.3">
      <c r="A1161" s="14">
        <v>39</v>
      </c>
      <c r="B1161" s="17" t="s">
        <v>43</v>
      </c>
      <c r="C1161" t="s">
        <v>44</v>
      </c>
      <c r="D1161">
        <v>711</v>
      </c>
      <c r="E1161" s="17" t="s">
        <v>45</v>
      </c>
      <c r="F1161">
        <v>4</v>
      </c>
      <c r="G1161">
        <v>3</v>
      </c>
      <c r="H1161" t="s">
        <v>51</v>
      </c>
      <c r="I1161">
        <v>1633</v>
      </c>
      <c r="J1161">
        <v>1</v>
      </c>
      <c r="K1161" s="17" t="s">
        <v>39</v>
      </c>
      <c r="L1161">
        <v>81</v>
      </c>
      <c r="M1161">
        <v>3</v>
      </c>
      <c r="N1161">
        <v>2</v>
      </c>
      <c r="O1161" s="17" t="s">
        <v>53</v>
      </c>
      <c r="P1161" s="14">
        <v>3</v>
      </c>
      <c r="Q1161" t="s">
        <v>41</v>
      </c>
      <c r="R1161" s="14">
        <v>5042</v>
      </c>
      <c r="S1161" s="17" t="str">
        <f t="shared" si="36"/>
        <v>medium</v>
      </c>
      <c r="T1161">
        <v>3140</v>
      </c>
      <c r="U1161">
        <v>0</v>
      </c>
      <c r="V1161" s="17" t="s">
        <v>43</v>
      </c>
      <c r="W1161">
        <v>13</v>
      </c>
      <c r="X1161">
        <v>3</v>
      </c>
      <c r="Y1161">
        <v>4</v>
      </c>
      <c r="Z1161">
        <v>0</v>
      </c>
      <c r="AA1161">
        <v>10</v>
      </c>
      <c r="AB1161">
        <v>2</v>
      </c>
      <c r="AC1161">
        <v>1</v>
      </c>
      <c r="AD1161" s="14">
        <v>9</v>
      </c>
      <c r="AE1161" t="str">
        <f t="shared" si="37"/>
        <v>6-10 years</v>
      </c>
      <c r="AF1161" s="14">
        <v>2</v>
      </c>
      <c r="AG1161" s="14">
        <v>3</v>
      </c>
      <c r="AH1161" s="14">
        <v>8</v>
      </c>
    </row>
    <row r="1162" spans="1:34" x14ac:dyDescent="0.3">
      <c r="A1162" s="14">
        <v>45</v>
      </c>
      <c r="B1162" s="17" t="s">
        <v>43</v>
      </c>
      <c r="C1162" t="s">
        <v>36</v>
      </c>
      <c r="D1162">
        <v>1329</v>
      </c>
      <c r="E1162" s="17" t="s">
        <v>45</v>
      </c>
      <c r="F1162">
        <v>2</v>
      </c>
      <c r="G1162">
        <v>2</v>
      </c>
      <c r="H1162" t="s">
        <v>49</v>
      </c>
      <c r="I1162">
        <v>1635</v>
      </c>
      <c r="J1162">
        <v>4</v>
      </c>
      <c r="K1162" s="17" t="s">
        <v>39</v>
      </c>
      <c r="L1162">
        <v>59</v>
      </c>
      <c r="M1162">
        <v>2</v>
      </c>
      <c r="N1162">
        <v>2</v>
      </c>
      <c r="O1162" s="17" t="s">
        <v>53</v>
      </c>
      <c r="P1162" s="14">
        <v>4</v>
      </c>
      <c r="Q1162" t="s">
        <v>52</v>
      </c>
      <c r="R1162" s="14">
        <v>5770</v>
      </c>
      <c r="S1162" s="17" t="str">
        <f t="shared" si="36"/>
        <v>medium</v>
      </c>
      <c r="T1162">
        <v>5388</v>
      </c>
      <c r="U1162">
        <v>1</v>
      </c>
      <c r="V1162" s="17" t="s">
        <v>43</v>
      </c>
      <c r="W1162">
        <v>19</v>
      </c>
      <c r="X1162">
        <v>3</v>
      </c>
      <c r="Y1162">
        <v>1</v>
      </c>
      <c r="Z1162">
        <v>2</v>
      </c>
      <c r="AA1162">
        <v>10</v>
      </c>
      <c r="AB1162">
        <v>3</v>
      </c>
      <c r="AC1162">
        <v>3</v>
      </c>
      <c r="AD1162" s="14">
        <v>10</v>
      </c>
      <c r="AE1162" t="str">
        <f t="shared" si="37"/>
        <v>6-10 years</v>
      </c>
      <c r="AF1162" s="14">
        <v>7</v>
      </c>
      <c r="AG1162" s="14">
        <v>3</v>
      </c>
      <c r="AH1162" s="14">
        <v>9</v>
      </c>
    </row>
    <row r="1163" spans="1:34" x14ac:dyDescent="0.3">
      <c r="A1163" s="14">
        <v>38</v>
      </c>
      <c r="B1163" s="17" t="s">
        <v>43</v>
      </c>
      <c r="C1163" t="s">
        <v>36</v>
      </c>
      <c r="D1163">
        <v>397</v>
      </c>
      <c r="E1163" s="17" t="s">
        <v>45</v>
      </c>
      <c r="F1163">
        <v>2</v>
      </c>
      <c r="G1163">
        <v>2</v>
      </c>
      <c r="H1163" t="s">
        <v>51</v>
      </c>
      <c r="I1163">
        <v>1638</v>
      </c>
      <c r="J1163">
        <v>4</v>
      </c>
      <c r="K1163" s="17" t="s">
        <v>39</v>
      </c>
      <c r="L1163">
        <v>54</v>
      </c>
      <c r="M1163">
        <v>2</v>
      </c>
      <c r="N1163">
        <v>3</v>
      </c>
      <c r="O1163" s="17" t="s">
        <v>53</v>
      </c>
      <c r="P1163" s="14">
        <v>3</v>
      </c>
      <c r="Q1163" t="s">
        <v>48</v>
      </c>
      <c r="R1163" s="14">
        <v>7756</v>
      </c>
      <c r="S1163" s="17" t="str">
        <f t="shared" si="36"/>
        <v>high</v>
      </c>
      <c r="T1163">
        <v>14199</v>
      </c>
      <c r="U1163">
        <v>3</v>
      </c>
      <c r="V1163" s="17" t="s">
        <v>35</v>
      </c>
      <c r="W1163">
        <v>19</v>
      </c>
      <c r="X1163">
        <v>3</v>
      </c>
      <c r="Y1163">
        <v>4</v>
      </c>
      <c r="Z1163">
        <v>1</v>
      </c>
      <c r="AA1163">
        <v>10</v>
      </c>
      <c r="AB1163">
        <v>6</v>
      </c>
      <c r="AC1163">
        <v>4</v>
      </c>
      <c r="AD1163" s="14">
        <v>5</v>
      </c>
      <c r="AE1163" t="str">
        <f t="shared" si="37"/>
        <v>3-5 years</v>
      </c>
      <c r="AF1163" s="14">
        <v>4</v>
      </c>
      <c r="AG1163" s="14">
        <v>0</v>
      </c>
      <c r="AH1163" s="14">
        <v>2</v>
      </c>
    </row>
    <row r="1164" spans="1:34" x14ac:dyDescent="0.3">
      <c r="A1164" s="14">
        <v>35</v>
      </c>
      <c r="B1164" s="17" t="s">
        <v>35</v>
      </c>
      <c r="C1164" t="s">
        <v>36</v>
      </c>
      <c r="D1164">
        <v>737</v>
      </c>
      <c r="E1164" s="17" t="s">
        <v>37</v>
      </c>
      <c r="F1164">
        <v>10</v>
      </c>
      <c r="G1164">
        <v>3</v>
      </c>
      <c r="H1164" t="s">
        <v>51</v>
      </c>
      <c r="I1164">
        <v>1639</v>
      </c>
      <c r="J1164">
        <v>4</v>
      </c>
      <c r="K1164" s="17" t="s">
        <v>46</v>
      </c>
      <c r="L1164">
        <v>55</v>
      </c>
      <c r="M1164">
        <v>2</v>
      </c>
      <c r="N1164">
        <v>3</v>
      </c>
      <c r="O1164" s="17" t="s">
        <v>40</v>
      </c>
      <c r="P1164" s="14">
        <v>1</v>
      </c>
      <c r="Q1164" t="s">
        <v>48</v>
      </c>
      <c r="R1164" s="14">
        <v>10306</v>
      </c>
      <c r="S1164" s="17" t="str">
        <f t="shared" si="36"/>
        <v>high</v>
      </c>
      <c r="T1164">
        <v>21530</v>
      </c>
      <c r="U1164">
        <v>9</v>
      </c>
      <c r="V1164" s="17" t="s">
        <v>43</v>
      </c>
      <c r="W1164">
        <v>17</v>
      </c>
      <c r="X1164">
        <v>3</v>
      </c>
      <c r="Y1164">
        <v>3</v>
      </c>
      <c r="Z1164">
        <v>0</v>
      </c>
      <c r="AA1164">
        <v>15</v>
      </c>
      <c r="AB1164">
        <v>3</v>
      </c>
      <c r="AC1164">
        <v>3</v>
      </c>
      <c r="AD1164" s="14">
        <v>13</v>
      </c>
      <c r="AE1164" t="str">
        <f t="shared" si="37"/>
        <v>10+ years</v>
      </c>
      <c r="AF1164" s="14">
        <v>12</v>
      </c>
      <c r="AG1164" s="14">
        <v>6</v>
      </c>
      <c r="AH1164" s="14">
        <v>0</v>
      </c>
    </row>
    <row r="1165" spans="1:34" x14ac:dyDescent="0.3">
      <c r="A1165" s="14">
        <v>37</v>
      </c>
      <c r="B1165" s="17" t="s">
        <v>43</v>
      </c>
      <c r="C1165" t="s">
        <v>36</v>
      </c>
      <c r="D1165">
        <v>1470</v>
      </c>
      <c r="E1165" s="17" t="s">
        <v>45</v>
      </c>
      <c r="F1165">
        <v>10</v>
      </c>
      <c r="G1165">
        <v>3</v>
      </c>
      <c r="H1165" t="s">
        <v>51</v>
      </c>
      <c r="I1165">
        <v>1640</v>
      </c>
      <c r="J1165">
        <v>2</v>
      </c>
      <c r="K1165" s="17" t="s">
        <v>39</v>
      </c>
      <c r="L1165">
        <v>71</v>
      </c>
      <c r="M1165">
        <v>3</v>
      </c>
      <c r="N1165">
        <v>1</v>
      </c>
      <c r="O1165" s="17" t="s">
        <v>47</v>
      </c>
      <c r="P1165" s="14">
        <v>2</v>
      </c>
      <c r="Q1165" t="s">
        <v>48</v>
      </c>
      <c r="R1165" s="14">
        <v>3936</v>
      </c>
      <c r="S1165" s="17" t="str">
        <f t="shared" si="36"/>
        <v>medium</v>
      </c>
      <c r="T1165">
        <v>9953</v>
      </c>
      <c r="U1165">
        <v>1</v>
      </c>
      <c r="V1165" s="17" t="s">
        <v>43</v>
      </c>
      <c r="W1165">
        <v>11</v>
      </c>
      <c r="X1165">
        <v>3</v>
      </c>
      <c r="Y1165">
        <v>1</v>
      </c>
      <c r="Z1165">
        <v>1</v>
      </c>
      <c r="AA1165">
        <v>8</v>
      </c>
      <c r="AB1165">
        <v>2</v>
      </c>
      <c r="AC1165">
        <v>1</v>
      </c>
      <c r="AD1165" s="14">
        <v>8</v>
      </c>
      <c r="AE1165" t="str">
        <f t="shared" si="37"/>
        <v>6-10 years</v>
      </c>
      <c r="AF1165" s="14">
        <v>4</v>
      </c>
      <c r="AG1165" s="14">
        <v>7</v>
      </c>
      <c r="AH1165" s="14">
        <v>7</v>
      </c>
    </row>
    <row r="1166" spans="1:34" x14ac:dyDescent="0.3">
      <c r="A1166" s="14">
        <v>40</v>
      </c>
      <c r="B1166" s="17" t="s">
        <v>43</v>
      </c>
      <c r="C1166" t="s">
        <v>36</v>
      </c>
      <c r="D1166">
        <v>448</v>
      </c>
      <c r="E1166" s="17" t="s">
        <v>45</v>
      </c>
      <c r="F1166">
        <v>16</v>
      </c>
      <c r="G1166">
        <v>3</v>
      </c>
      <c r="H1166" t="s">
        <v>38</v>
      </c>
      <c r="I1166">
        <v>1641</v>
      </c>
      <c r="J1166">
        <v>3</v>
      </c>
      <c r="K1166" s="17" t="s">
        <v>39</v>
      </c>
      <c r="L1166">
        <v>84</v>
      </c>
      <c r="M1166">
        <v>3</v>
      </c>
      <c r="N1166">
        <v>3</v>
      </c>
      <c r="O1166" s="17" t="s">
        <v>53</v>
      </c>
      <c r="P1166" s="14">
        <v>4</v>
      </c>
      <c r="Q1166" t="s">
        <v>41</v>
      </c>
      <c r="R1166" s="14">
        <v>7945</v>
      </c>
      <c r="S1166" s="17" t="str">
        <f t="shared" si="36"/>
        <v>high</v>
      </c>
      <c r="T1166">
        <v>19948</v>
      </c>
      <c r="U1166">
        <v>6</v>
      </c>
      <c r="V1166" s="17" t="s">
        <v>35</v>
      </c>
      <c r="W1166">
        <v>15</v>
      </c>
      <c r="X1166">
        <v>3</v>
      </c>
      <c r="Y1166">
        <v>4</v>
      </c>
      <c r="Z1166">
        <v>0</v>
      </c>
      <c r="AA1166">
        <v>18</v>
      </c>
      <c r="AB1166">
        <v>2</v>
      </c>
      <c r="AC1166">
        <v>2</v>
      </c>
      <c r="AD1166" s="14">
        <v>4</v>
      </c>
      <c r="AE1166" t="str">
        <f t="shared" si="37"/>
        <v>3-5 years</v>
      </c>
      <c r="AF1166" s="14">
        <v>2</v>
      </c>
      <c r="AG1166" s="14">
        <v>3</v>
      </c>
      <c r="AH1166" s="14">
        <v>3</v>
      </c>
    </row>
    <row r="1167" spans="1:34" x14ac:dyDescent="0.3">
      <c r="A1167" s="14">
        <v>44</v>
      </c>
      <c r="B1167" s="17" t="s">
        <v>43</v>
      </c>
      <c r="C1167" t="s">
        <v>44</v>
      </c>
      <c r="D1167">
        <v>602</v>
      </c>
      <c r="E1167" s="17" t="s">
        <v>61</v>
      </c>
      <c r="F1167">
        <v>1</v>
      </c>
      <c r="G1167">
        <v>5</v>
      </c>
      <c r="H1167" t="s">
        <v>61</v>
      </c>
      <c r="I1167">
        <v>1642</v>
      </c>
      <c r="J1167">
        <v>1</v>
      </c>
      <c r="K1167" s="17" t="s">
        <v>46</v>
      </c>
      <c r="L1167">
        <v>37</v>
      </c>
      <c r="M1167">
        <v>3</v>
      </c>
      <c r="N1167">
        <v>2</v>
      </c>
      <c r="O1167" s="17" t="s">
        <v>61</v>
      </c>
      <c r="P1167" s="14">
        <v>4</v>
      </c>
      <c r="Q1167" t="s">
        <v>48</v>
      </c>
      <c r="R1167" s="14">
        <v>5743</v>
      </c>
      <c r="S1167" s="17" t="str">
        <f t="shared" si="36"/>
        <v>medium</v>
      </c>
      <c r="T1167">
        <v>10503</v>
      </c>
      <c r="U1167">
        <v>4</v>
      </c>
      <c r="V1167" s="17" t="s">
        <v>35</v>
      </c>
      <c r="W1167">
        <v>11</v>
      </c>
      <c r="X1167">
        <v>3</v>
      </c>
      <c r="Y1167">
        <v>3</v>
      </c>
      <c r="Z1167">
        <v>0</v>
      </c>
      <c r="AA1167">
        <v>14</v>
      </c>
      <c r="AB1167">
        <v>3</v>
      </c>
      <c r="AC1167">
        <v>3</v>
      </c>
      <c r="AD1167" s="14">
        <v>10</v>
      </c>
      <c r="AE1167" t="str">
        <f t="shared" si="37"/>
        <v>6-10 years</v>
      </c>
      <c r="AF1167" s="14">
        <v>7</v>
      </c>
      <c r="AG1167" s="14">
        <v>0</v>
      </c>
      <c r="AH1167" s="14">
        <v>2</v>
      </c>
    </row>
    <row r="1168" spans="1:34" x14ac:dyDescent="0.3">
      <c r="A1168" s="14">
        <v>48</v>
      </c>
      <c r="B1168" s="17" t="s">
        <v>43</v>
      </c>
      <c r="C1168" t="s">
        <v>44</v>
      </c>
      <c r="D1168">
        <v>365</v>
      </c>
      <c r="E1168" s="17" t="s">
        <v>45</v>
      </c>
      <c r="F1168">
        <v>4</v>
      </c>
      <c r="G1168">
        <v>5</v>
      </c>
      <c r="H1168" t="s">
        <v>51</v>
      </c>
      <c r="I1168">
        <v>1644</v>
      </c>
      <c r="J1168">
        <v>3</v>
      </c>
      <c r="K1168" s="17" t="s">
        <v>46</v>
      </c>
      <c r="L1168">
        <v>89</v>
      </c>
      <c r="M1168">
        <v>2</v>
      </c>
      <c r="N1168">
        <v>4</v>
      </c>
      <c r="O1168" s="17" t="s">
        <v>56</v>
      </c>
      <c r="P1168" s="14">
        <v>4</v>
      </c>
      <c r="Q1168" t="s">
        <v>48</v>
      </c>
      <c r="R1168" s="14">
        <v>15202</v>
      </c>
      <c r="S1168" s="17" t="str">
        <f t="shared" si="36"/>
        <v>high</v>
      </c>
      <c r="T1168">
        <v>5602</v>
      </c>
      <c r="U1168">
        <v>2</v>
      </c>
      <c r="V1168" s="17" t="s">
        <v>43</v>
      </c>
      <c r="W1168">
        <v>25</v>
      </c>
      <c r="X1168">
        <v>4</v>
      </c>
      <c r="Y1168">
        <v>2</v>
      </c>
      <c r="Z1168">
        <v>1</v>
      </c>
      <c r="AA1168">
        <v>23</v>
      </c>
      <c r="AB1168">
        <v>3</v>
      </c>
      <c r="AC1168">
        <v>3</v>
      </c>
      <c r="AD1168" s="14">
        <v>2</v>
      </c>
      <c r="AE1168" t="str">
        <f t="shared" si="37"/>
        <v>0-2 years</v>
      </c>
      <c r="AF1168" s="14">
        <v>2</v>
      </c>
      <c r="AG1168" s="14">
        <v>2</v>
      </c>
      <c r="AH1168" s="14">
        <v>2</v>
      </c>
    </row>
    <row r="1169" spans="1:34" x14ac:dyDescent="0.3">
      <c r="A1169" s="14">
        <v>35</v>
      </c>
      <c r="B1169" s="17" t="s">
        <v>35</v>
      </c>
      <c r="C1169" t="s">
        <v>36</v>
      </c>
      <c r="D1169">
        <v>763</v>
      </c>
      <c r="E1169" s="17" t="s">
        <v>37</v>
      </c>
      <c r="F1169">
        <v>15</v>
      </c>
      <c r="G1169">
        <v>2</v>
      </c>
      <c r="H1169" t="s">
        <v>51</v>
      </c>
      <c r="I1169">
        <v>1645</v>
      </c>
      <c r="J1169">
        <v>1</v>
      </c>
      <c r="K1169" s="17" t="s">
        <v>46</v>
      </c>
      <c r="L1169">
        <v>59</v>
      </c>
      <c r="M1169">
        <v>1</v>
      </c>
      <c r="N1169">
        <v>2</v>
      </c>
      <c r="O1169" s="17" t="s">
        <v>40</v>
      </c>
      <c r="P1169" s="14">
        <v>4</v>
      </c>
      <c r="Q1169" t="s">
        <v>52</v>
      </c>
      <c r="R1169" s="14">
        <v>5440</v>
      </c>
      <c r="S1169" s="17" t="str">
        <f t="shared" si="36"/>
        <v>medium</v>
      </c>
      <c r="T1169">
        <v>22098</v>
      </c>
      <c r="U1169">
        <v>6</v>
      </c>
      <c r="V1169" s="17" t="s">
        <v>35</v>
      </c>
      <c r="W1169">
        <v>14</v>
      </c>
      <c r="X1169">
        <v>3</v>
      </c>
      <c r="Y1169">
        <v>4</v>
      </c>
      <c r="Z1169">
        <v>2</v>
      </c>
      <c r="AA1169">
        <v>7</v>
      </c>
      <c r="AB1169">
        <v>2</v>
      </c>
      <c r="AC1169">
        <v>2</v>
      </c>
      <c r="AD1169" s="14">
        <v>2</v>
      </c>
      <c r="AE1169" t="str">
        <f t="shared" si="37"/>
        <v>0-2 years</v>
      </c>
      <c r="AF1169" s="14">
        <v>2</v>
      </c>
      <c r="AG1169" s="14">
        <v>2</v>
      </c>
      <c r="AH1169" s="14">
        <v>2</v>
      </c>
    </row>
    <row r="1170" spans="1:34" x14ac:dyDescent="0.3">
      <c r="A1170" s="14">
        <v>24</v>
      </c>
      <c r="B1170" s="17" t="s">
        <v>43</v>
      </c>
      <c r="C1170" t="s">
        <v>44</v>
      </c>
      <c r="D1170">
        <v>567</v>
      </c>
      <c r="E1170" s="17" t="s">
        <v>45</v>
      </c>
      <c r="F1170">
        <v>2</v>
      </c>
      <c r="G1170">
        <v>1</v>
      </c>
      <c r="H1170" t="s">
        <v>60</v>
      </c>
      <c r="I1170">
        <v>1646</v>
      </c>
      <c r="J1170">
        <v>1</v>
      </c>
      <c r="K1170" s="17" t="s">
        <v>39</v>
      </c>
      <c r="L1170">
        <v>32</v>
      </c>
      <c r="M1170">
        <v>3</v>
      </c>
      <c r="N1170">
        <v>1</v>
      </c>
      <c r="O1170" s="17" t="s">
        <v>47</v>
      </c>
      <c r="P1170" s="14">
        <v>4</v>
      </c>
      <c r="Q1170" t="s">
        <v>41</v>
      </c>
      <c r="R1170" s="14">
        <v>3760</v>
      </c>
      <c r="S1170" s="17" t="str">
        <f t="shared" si="36"/>
        <v>medium</v>
      </c>
      <c r="T1170">
        <v>17218</v>
      </c>
      <c r="U1170">
        <v>1</v>
      </c>
      <c r="V1170" s="17" t="s">
        <v>35</v>
      </c>
      <c r="W1170">
        <v>13</v>
      </c>
      <c r="X1170">
        <v>3</v>
      </c>
      <c r="Y1170">
        <v>3</v>
      </c>
      <c r="Z1170">
        <v>0</v>
      </c>
      <c r="AA1170">
        <v>6</v>
      </c>
      <c r="AB1170">
        <v>2</v>
      </c>
      <c r="AC1170">
        <v>3</v>
      </c>
      <c r="AD1170" s="14">
        <v>6</v>
      </c>
      <c r="AE1170" t="str">
        <f t="shared" si="37"/>
        <v>6-10 years</v>
      </c>
      <c r="AF1170" s="14">
        <v>3</v>
      </c>
      <c r="AG1170" s="14">
        <v>1</v>
      </c>
      <c r="AH1170" s="14">
        <v>3</v>
      </c>
    </row>
    <row r="1171" spans="1:34" x14ac:dyDescent="0.3">
      <c r="A1171" s="14">
        <v>27</v>
      </c>
      <c r="B1171" s="17" t="s">
        <v>43</v>
      </c>
      <c r="C1171" t="s">
        <v>36</v>
      </c>
      <c r="D1171">
        <v>486</v>
      </c>
      <c r="E1171" s="17" t="s">
        <v>45</v>
      </c>
      <c r="F1171">
        <v>8</v>
      </c>
      <c r="G1171">
        <v>3</v>
      </c>
      <c r="H1171" t="s">
        <v>51</v>
      </c>
      <c r="I1171">
        <v>1647</v>
      </c>
      <c r="J1171">
        <v>2</v>
      </c>
      <c r="K1171" s="17" t="s">
        <v>39</v>
      </c>
      <c r="L1171">
        <v>86</v>
      </c>
      <c r="M1171">
        <v>4</v>
      </c>
      <c r="N1171">
        <v>1</v>
      </c>
      <c r="O1171" s="17" t="s">
        <v>47</v>
      </c>
      <c r="P1171" s="14">
        <v>3</v>
      </c>
      <c r="Q1171" t="s">
        <v>48</v>
      </c>
      <c r="R1171" s="14">
        <v>3517</v>
      </c>
      <c r="S1171" s="17" t="str">
        <f t="shared" si="36"/>
        <v>medium</v>
      </c>
      <c r="T1171">
        <v>22490</v>
      </c>
      <c r="U1171">
        <v>7</v>
      </c>
      <c r="V1171" s="17" t="s">
        <v>43</v>
      </c>
      <c r="W1171">
        <v>17</v>
      </c>
      <c r="X1171">
        <v>3</v>
      </c>
      <c r="Y1171">
        <v>1</v>
      </c>
      <c r="Z1171">
        <v>0</v>
      </c>
      <c r="AA1171">
        <v>5</v>
      </c>
      <c r="AB1171">
        <v>0</v>
      </c>
      <c r="AC1171">
        <v>3</v>
      </c>
      <c r="AD1171" s="14">
        <v>3</v>
      </c>
      <c r="AE1171" t="str">
        <f t="shared" si="37"/>
        <v>3-5 years</v>
      </c>
      <c r="AF1171" s="14">
        <v>2</v>
      </c>
      <c r="AG1171" s="14">
        <v>0</v>
      </c>
      <c r="AH1171" s="14">
        <v>2</v>
      </c>
    </row>
    <row r="1172" spans="1:34" x14ac:dyDescent="0.3">
      <c r="A1172" s="14">
        <v>27</v>
      </c>
      <c r="B1172" s="17" t="s">
        <v>43</v>
      </c>
      <c r="C1172" t="s">
        <v>44</v>
      </c>
      <c r="D1172">
        <v>591</v>
      </c>
      <c r="E1172" s="17" t="s">
        <v>45</v>
      </c>
      <c r="F1172">
        <v>2</v>
      </c>
      <c r="G1172">
        <v>3</v>
      </c>
      <c r="H1172" t="s">
        <v>51</v>
      </c>
      <c r="I1172">
        <v>1648</v>
      </c>
      <c r="J1172">
        <v>4</v>
      </c>
      <c r="K1172" s="17" t="s">
        <v>46</v>
      </c>
      <c r="L1172">
        <v>87</v>
      </c>
      <c r="M1172">
        <v>3</v>
      </c>
      <c r="N1172">
        <v>1</v>
      </c>
      <c r="O1172" s="17" t="s">
        <v>47</v>
      </c>
      <c r="P1172" s="14">
        <v>4</v>
      </c>
      <c r="Q1172" t="s">
        <v>41</v>
      </c>
      <c r="R1172" s="14">
        <v>2580</v>
      </c>
      <c r="S1172" s="17" t="str">
        <f t="shared" si="36"/>
        <v>low</v>
      </c>
      <c r="T1172">
        <v>6297</v>
      </c>
      <c r="U1172">
        <v>2</v>
      </c>
      <c r="V1172" s="17" t="s">
        <v>43</v>
      </c>
      <c r="W1172">
        <v>13</v>
      </c>
      <c r="X1172">
        <v>3</v>
      </c>
      <c r="Y1172">
        <v>3</v>
      </c>
      <c r="Z1172">
        <v>0</v>
      </c>
      <c r="AA1172">
        <v>6</v>
      </c>
      <c r="AB1172">
        <v>0</v>
      </c>
      <c r="AC1172">
        <v>2</v>
      </c>
      <c r="AD1172" s="14">
        <v>4</v>
      </c>
      <c r="AE1172" t="str">
        <f t="shared" si="37"/>
        <v>3-5 years</v>
      </c>
      <c r="AF1172" s="14">
        <v>2</v>
      </c>
      <c r="AG1172" s="14">
        <v>1</v>
      </c>
      <c r="AH1172" s="14">
        <v>2</v>
      </c>
    </row>
    <row r="1173" spans="1:34" x14ac:dyDescent="0.3">
      <c r="A1173" s="14">
        <v>40</v>
      </c>
      <c r="B1173" s="17" t="s">
        <v>35</v>
      </c>
      <c r="C1173" t="s">
        <v>36</v>
      </c>
      <c r="D1173">
        <v>1329</v>
      </c>
      <c r="E1173" s="17" t="s">
        <v>45</v>
      </c>
      <c r="F1173">
        <v>7</v>
      </c>
      <c r="G1173">
        <v>3</v>
      </c>
      <c r="H1173" t="s">
        <v>38</v>
      </c>
      <c r="I1173">
        <v>1649</v>
      </c>
      <c r="J1173">
        <v>1</v>
      </c>
      <c r="K1173" s="17" t="s">
        <v>46</v>
      </c>
      <c r="L1173">
        <v>73</v>
      </c>
      <c r="M1173">
        <v>3</v>
      </c>
      <c r="N1173">
        <v>1</v>
      </c>
      <c r="O1173" s="17" t="s">
        <v>50</v>
      </c>
      <c r="P1173" s="14">
        <v>1</v>
      </c>
      <c r="Q1173" t="s">
        <v>41</v>
      </c>
      <c r="R1173" s="14">
        <v>2166</v>
      </c>
      <c r="S1173" s="17" t="str">
        <f t="shared" si="36"/>
        <v>low</v>
      </c>
      <c r="T1173">
        <v>3339</v>
      </c>
      <c r="U1173">
        <v>3</v>
      </c>
      <c r="V1173" s="17" t="s">
        <v>35</v>
      </c>
      <c r="W1173">
        <v>14</v>
      </c>
      <c r="X1173">
        <v>3</v>
      </c>
      <c r="Y1173">
        <v>2</v>
      </c>
      <c r="Z1173">
        <v>0</v>
      </c>
      <c r="AA1173">
        <v>10</v>
      </c>
      <c r="AB1173">
        <v>3</v>
      </c>
      <c r="AC1173">
        <v>1</v>
      </c>
      <c r="AD1173" s="14">
        <v>4</v>
      </c>
      <c r="AE1173" t="str">
        <f t="shared" si="37"/>
        <v>3-5 years</v>
      </c>
      <c r="AF1173" s="14">
        <v>2</v>
      </c>
      <c r="AG1173" s="14">
        <v>0</v>
      </c>
      <c r="AH1173" s="14">
        <v>3</v>
      </c>
    </row>
    <row r="1174" spans="1:34" x14ac:dyDescent="0.3">
      <c r="A1174" s="14">
        <v>29</v>
      </c>
      <c r="B1174" s="17" t="s">
        <v>43</v>
      </c>
      <c r="C1174" t="s">
        <v>36</v>
      </c>
      <c r="D1174">
        <v>469</v>
      </c>
      <c r="E1174" s="17" t="s">
        <v>37</v>
      </c>
      <c r="F1174">
        <v>10</v>
      </c>
      <c r="G1174">
        <v>3</v>
      </c>
      <c r="H1174" t="s">
        <v>51</v>
      </c>
      <c r="I1174">
        <v>1650</v>
      </c>
      <c r="J1174">
        <v>3</v>
      </c>
      <c r="K1174" s="17" t="s">
        <v>46</v>
      </c>
      <c r="L1174">
        <v>42</v>
      </c>
      <c r="M1174">
        <v>2</v>
      </c>
      <c r="N1174">
        <v>2</v>
      </c>
      <c r="O1174" s="17" t="s">
        <v>40</v>
      </c>
      <c r="P1174" s="14">
        <v>3</v>
      </c>
      <c r="Q1174" t="s">
        <v>41</v>
      </c>
      <c r="R1174" s="14">
        <v>5869</v>
      </c>
      <c r="S1174" s="17" t="str">
        <f t="shared" si="36"/>
        <v>medium</v>
      </c>
      <c r="T1174">
        <v>23413</v>
      </c>
      <c r="U1174">
        <v>9</v>
      </c>
      <c r="V1174" s="17" t="s">
        <v>43</v>
      </c>
      <c r="W1174">
        <v>11</v>
      </c>
      <c r="X1174">
        <v>3</v>
      </c>
      <c r="Y1174">
        <v>3</v>
      </c>
      <c r="Z1174">
        <v>0</v>
      </c>
      <c r="AA1174">
        <v>8</v>
      </c>
      <c r="AB1174">
        <v>2</v>
      </c>
      <c r="AC1174">
        <v>3</v>
      </c>
      <c r="AD1174" s="14">
        <v>5</v>
      </c>
      <c r="AE1174" t="str">
        <f t="shared" si="37"/>
        <v>3-5 years</v>
      </c>
      <c r="AF1174" s="14">
        <v>2</v>
      </c>
      <c r="AG1174" s="14">
        <v>1</v>
      </c>
      <c r="AH1174" s="14">
        <v>4</v>
      </c>
    </row>
    <row r="1175" spans="1:34" x14ac:dyDescent="0.3">
      <c r="A1175" s="14">
        <v>36</v>
      </c>
      <c r="B1175" s="17" t="s">
        <v>43</v>
      </c>
      <c r="C1175" t="s">
        <v>36</v>
      </c>
      <c r="D1175">
        <v>711</v>
      </c>
      <c r="E1175" s="17" t="s">
        <v>45</v>
      </c>
      <c r="F1175">
        <v>5</v>
      </c>
      <c r="G1175">
        <v>4</v>
      </c>
      <c r="H1175" t="s">
        <v>38</v>
      </c>
      <c r="I1175">
        <v>1651</v>
      </c>
      <c r="J1175">
        <v>2</v>
      </c>
      <c r="K1175" s="17" t="s">
        <v>39</v>
      </c>
      <c r="L1175">
        <v>42</v>
      </c>
      <c r="M1175">
        <v>3</v>
      </c>
      <c r="N1175">
        <v>3</v>
      </c>
      <c r="O1175" s="17" t="s">
        <v>54</v>
      </c>
      <c r="P1175" s="14">
        <v>1</v>
      </c>
      <c r="Q1175" t="s">
        <v>48</v>
      </c>
      <c r="R1175" s="14">
        <v>8008</v>
      </c>
      <c r="S1175" s="17" t="str">
        <f t="shared" si="36"/>
        <v>high</v>
      </c>
      <c r="T1175">
        <v>22792</v>
      </c>
      <c r="U1175">
        <v>4</v>
      </c>
      <c r="V1175" s="17" t="s">
        <v>43</v>
      </c>
      <c r="W1175">
        <v>12</v>
      </c>
      <c r="X1175">
        <v>3</v>
      </c>
      <c r="Y1175">
        <v>3</v>
      </c>
      <c r="Z1175">
        <v>2</v>
      </c>
      <c r="AA1175">
        <v>9</v>
      </c>
      <c r="AB1175">
        <v>6</v>
      </c>
      <c r="AC1175">
        <v>3</v>
      </c>
      <c r="AD1175" s="14">
        <v>3</v>
      </c>
      <c r="AE1175" t="str">
        <f t="shared" si="37"/>
        <v>3-5 years</v>
      </c>
      <c r="AF1175" s="14">
        <v>2</v>
      </c>
      <c r="AG1175" s="14">
        <v>0</v>
      </c>
      <c r="AH1175" s="14">
        <v>2</v>
      </c>
    </row>
    <row r="1176" spans="1:34" x14ac:dyDescent="0.3">
      <c r="A1176" s="14">
        <v>25</v>
      </c>
      <c r="B1176" s="17" t="s">
        <v>43</v>
      </c>
      <c r="C1176" t="s">
        <v>44</v>
      </c>
      <c r="D1176">
        <v>772</v>
      </c>
      <c r="E1176" s="17" t="s">
        <v>45</v>
      </c>
      <c r="F1176">
        <v>2</v>
      </c>
      <c r="G1176">
        <v>1</v>
      </c>
      <c r="H1176" t="s">
        <v>38</v>
      </c>
      <c r="I1176">
        <v>1653</v>
      </c>
      <c r="J1176">
        <v>4</v>
      </c>
      <c r="K1176" s="17" t="s">
        <v>46</v>
      </c>
      <c r="L1176">
        <v>77</v>
      </c>
      <c r="M1176">
        <v>4</v>
      </c>
      <c r="N1176">
        <v>2</v>
      </c>
      <c r="O1176" s="17" t="s">
        <v>53</v>
      </c>
      <c r="P1176" s="14">
        <v>3</v>
      </c>
      <c r="Q1176" t="s">
        <v>52</v>
      </c>
      <c r="R1176" s="14">
        <v>5206</v>
      </c>
      <c r="S1176" s="17" t="str">
        <f t="shared" si="36"/>
        <v>medium</v>
      </c>
      <c r="T1176">
        <v>4973</v>
      </c>
      <c r="U1176">
        <v>1</v>
      </c>
      <c r="V1176" s="17" t="s">
        <v>43</v>
      </c>
      <c r="W1176">
        <v>17</v>
      </c>
      <c r="X1176">
        <v>3</v>
      </c>
      <c r="Y1176">
        <v>3</v>
      </c>
      <c r="Z1176">
        <v>2</v>
      </c>
      <c r="AA1176">
        <v>7</v>
      </c>
      <c r="AB1176">
        <v>6</v>
      </c>
      <c r="AC1176">
        <v>3</v>
      </c>
      <c r="AD1176" s="14">
        <v>7</v>
      </c>
      <c r="AE1176" t="str">
        <f t="shared" si="37"/>
        <v>6-10 years</v>
      </c>
      <c r="AF1176" s="14">
        <v>7</v>
      </c>
      <c r="AG1176" s="14">
        <v>0</v>
      </c>
      <c r="AH1176" s="14">
        <v>7</v>
      </c>
    </row>
    <row r="1177" spans="1:34" x14ac:dyDescent="0.3">
      <c r="A1177" s="14">
        <v>39</v>
      </c>
      <c r="B1177" s="17" t="s">
        <v>43</v>
      </c>
      <c r="C1177" t="s">
        <v>36</v>
      </c>
      <c r="D1177">
        <v>492</v>
      </c>
      <c r="E1177" s="17" t="s">
        <v>45</v>
      </c>
      <c r="F1177">
        <v>12</v>
      </c>
      <c r="G1177">
        <v>3</v>
      </c>
      <c r="H1177" t="s">
        <v>51</v>
      </c>
      <c r="I1177">
        <v>1654</v>
      </c>
      <c r="J1177">
        <v>4</v>
      </c>
      <c r="K1177" s="17" t="s">
        <v>46</v>
      </c>
      <c r="L1177">
        <v>66</v>
      </c>
      <c r="M1177">
        <v>3</v>
      </c>
      <c r="N1177">
        <v>2</v>
      </c>
      <c r="O1177" s="17" t="s">
        <v>53</v>
      </c>
      <c r="P1177" s="14">
        <v>2</v>
      </c>
      <c r="Q1177" t="s">
        <v>48</v>
      </c>
      <c r="R1177" s="14">
        <v>5295</v>
      </c>
      <c r="S1177" s="17" t="str">
        <f t="shared" si="36"/>
        <v>medium</v>
      </c>
      <c r="T1177">
        <v>7693</v>
      </c>
      <c r="U1177">
        <v>4</v>
      </c>
      <c r="V1177" s="17" t="s">
        <v>43</v>
      </c>
      <c r="W1177">
        <v>21</v>
      </c>
      <c r="X1177">
        <v>4</v>
      </c>
      <c r="Y1177">
        <v>3</v>
      </c>
      <c r="Z1177">
        <v>0</v>
      </c>
      <c r="AA1177">
        <v>7</v>
      </c>
      <c r="AB1177">
        <v>3</v>
      </c>
      <c r="AC1177">
        <v>3</v>
      </c>
      <c r="AD1177" s="14">
        <v>5</v>
      </c>
      <c r="AE1177" t="str">
        <f t="shared" si="37"/>
        <v>3-5 years</v>
      </c>
      <c r="AF1177" s="14">
        <v>4</v>
      </c>
      <c r="AG1177" s="14">
        <v>1</v>
      </c>
      <c r="AH1177" s="14">
        <v>0</v>
      </c>
    </row>
    <row r="1178" spans="1:34" x14ac:dyDescent="0.3">
      <c r="A1178" s="14">
        <v>49</v>
      </c>
      <c r="B1178" s="17" t="s">
        <v>43</v>
      </c>
      <c r="C1178" t="s">
        <v>36</v>
      </c>
      <c r="D1178">
        <v>301</v>
      </c>
      <c r="E1178" s="17" t="s">
        <v>45</v>
      </c>
      <c r="F1178">
        <v>22</v>
      </c>
      <c r="G1178">
        <v>4</v>
      </c>
      <c r="H1178" t="s">
        <v>49</v>
      </c>
      <c r="I1178">
        <v>1655</v>
      </c>
      <c r="J1178">
        <v>1</v>
      </c>
      <c r="K1178" s="17" t="s">
        <v>39</v>
      </c>
      <c r="L1178">
        <v>72</v>
      </c>
      <c r="M1178">
        <v>3</v>
      </c>
      <c r="N1178">
        <v>4</v>
      </c>
      <c r="O1178" s="17" t="s">
        <v>58</v>
      </c>
      <c r="P1178" s="14">
        <v>2</v>
      </c>
      <c r="Q1178" t="s">
        <v>48</v>
      </c>
      <c r="R1178" s="14">
        <v>16413</v>
      </c>
      <c r="S1178" s="17" t="str">
        <f t="shared" si="36"/>
        <v>high</v>
      </c>
      <c r="T1178">
        <v>3498</v>
      </c>
      <c r="U1178">
        <v>3</v>
      </c>
      <c r="V1178" s="17" t="s">
        <v>43</v>
      </c>
      <c r="W1178">
        <v>16</v>
      </c>
      <c r="X1178">
        <v>3</v>
      </c>
      <c r="Y1178">
        <v>2</v>
      </c>
      <c r="Z1178">
        <v>2</v>
      </c>
      <c r="AA1178">
        <v>27</v>
      </c>
      <c r="AB1178">
        <v>2</v>
      </c>
      <c r="AC1178">
        <v>3</v>
      </c>
      <c r="AD1178" s="14">
        <v>4</v>
      </c>
      <c r="AE1178" t="str">
        <f t="shared" si="37"/>
        <v>3-5 years</v>
      </c>
      <c r="AF1178" s="14">
        <v>2</v>
      </c>
      <c r="AG1178" s="14">
        <v>1</v>
      </c>
      <c r="AH1178" s="14">
        <v>2</v>
      </c>
    </row>
    <row r="1179" spans="1:34" x14ac:dyDescent="0.3">
      <c r="A1179" s="14">
        <v>50</v>
      </c>
      <c r="B1179" s="17" t="s">
        <v>43</v>
      </c>
      <c r="C1179" t="s">
        <v>36</v>
      </c>
      <c r="D1179">
        <v>813</v>
      </c>
      <c r="E1179" s="17" t="s">
        <v>45</v>
      </c>
      <c r="F1179">
        <v>17</v>
      </c>
      <c r="G1179">
        <v>5</v>
      </c>
      <c r="H1179" t="s">
        <v>38</v>
      </c>
      <c r="I1179">
        <v>1656</v>
      </c>
      <c r="J1179">
        <v>4</v>
      </c>
      <c r="K1179" s="17" t="s">
        <v>39</v>
      </c>
      <c r="L1179">
        <v>50</v>
      </c>
      <c r="M1179">
        <v>2</v>
      </c>
      <c r="N1179">
        <v>3</v>
      </c>
      <c r="O1179" s="17" t="s">
        <v>58</v>
      </c>
      <c r="P1179" s="14">
        <v>1</v>
      </c>
      <c r="Q1179" t="s">
        <v>52</v>
      </c>
      <c r="R1179" s="14">
        <v>13269</v>
      </c>
      <c r="S1179" s="17" t="str">
        <f t="shared" si="36"/>
        <v>high</v>
      </c>
      <c r="T1179">
        <v>21981</v>
      </c>
      <c r="U1179">
        <v>5</v>
      </c>
      <c r="V1179" s="17" t="s">
        <v>43</v>
      </c>
      <c r="W1179">
        <v>15</v>
      </c>
      <c r="X1179">
        <v>3</v>
      </c>
      <c r="Y1179">
        <v>3</v>
      </c>
      <c r="Z1179">
        <v>3</v>
      </c>
      <c r="AA1179">
        <v>19</v>
      </c>
      <c r="AB1179">
        <v>3</v>
      </c>
      <c r="AC1179">
        <v>3</v>
      </c>
      <c r="AD1179" s="14">
        <v>14</v>
      </c>
      <c r="AE1179" t="str">
        <f t="shared" si="37"/>
        <v>10+ years</v>
      </c>
      <c r="AF1179" s="14">
        <v>11</v>
      </c>
      <c r="AG1179" s="14">
        <v>1</v>
      </c>
      <c r="AH1179" s="14">
        <v>11</v>
      </c>
    </row>
    <row r="1180" spans="1:34" x14ac:dyDescent="0.3">
      <c r="A1180" s="14">
        <v>20</v>
      </c>
      <c r="B1180" s="17" t="s">
        <v>43</v>
      </c>
      <c r="C1180" t="s">
        <v>36</v>
      </c>
      <c r="D1180">
        <v>1141</v>
      </c>
      <c r="E1180" s="17" t="s">
        <v>37</v>
      </c>
      <c r="F1180">
        <v>2</v>
      </c>
      <c r="G1180">
        <v>3</v>
      </c>
      <c r="H1180" t="s">
        <v>51</v>
      </c>
      <c r="I1180">
        <v>1657</v>
      </c>
      <c r="J1180">
        <v>3</v>
      </c>
      <c r="K1180" s="17" t="s">
        <v>39</v>
      </c>
      <c r="L1180">
        <v>31</v>
      </c>
      <c r="M1180">
        <v>3</v>
      </c>
      <c r="N1180">
        <v>1</v>
      </c>
      <c r="O1180" s="17" t="s">
        <v>57</v>
      </c>
      <c r="P1180" s="14">
        <v>3</v>
      </c>
      <c r="Q1180" t="s">
        <v>41</v>
      </c>
      <c r="R1180" s="14">
        <v>2783</v>
      </c>
      <c r="S1180" s="17" t="str">
        <f t="shared" si="36"/>
        <v>low</v>
      </c>
      <c r="T1180">
        <v>13251</v>
      </c>
      <c r="U1180">
        <v>1</v>
      </c>
      <c r="V1180" s="17" t="s">
        <v>43</v>
      </c>
      <c r="W1180">
        <v>19</v>
      </c>
      <c r="X1180">
        <v>3</v>
      </c>
      <c r="Y1180">
        <v>1</v>
      </c>
      <c r="Z1180">
        <v>0</v>
      </c>
      <c r="AA1180">
        <v>2</v>
      </c>
      <c r="AB1180">
        <v>3</v>
      </c>
      <c r="AC1180">
        <v>3</v>
      </c>
      <c r="AD1180" s="14">
        <v>2</v>
      </c>
      <c r="AE1180" t="str">
        <f t="shared" si="37"/>
        <v>0-2 years</v>
      </c>
      <c r="AF1180" s="14">
        <v>2</v>
      </c>
      <c r="AG1180" s="14">
        <v>2</v>
      </c>
      <c r="AH1180" s="14">
        <v>2</v>
      </c>
    </row>
    <row r="1181" spans="1:34" x14ac:dyDescent="0.3">
      <c r="A1181" s="14">
        <v>34</v>
      </c>
      <c r="B1181" s="17" t="s">
        <v>43</v>
      </c>
      <c r="C1181" t="s">
        <v>36</v>
      </c>
      <c r="D1181">
        <v>1130</v>
      </c>
      <c r="E1181" s="17" t="s">
        <v>45</v>
      </c>
      <c r="F1181">
        <v>3</v>
      </c>
      <c r="G1181">
        <v>3</v>
      </c>
      <c r="H1181" t="s">
        <v>38</v>
      </c>
      <c r="I1181">
        <v>1658</v>
      </c>
      <c r="J1181">
        <v>4</v>
      </c>
      <c r="K1181" s="17" t="s">
        <v>39</v>
      </c>
      <c r="L1181">
        <v>66</v>
      </c>
      <c r="M1181">
        <v>3</v>
      </c>
      <c r="N1181">
        <v>2</v>
      </c>
      <c r="O1181" s="17" t="s">
        <v>47</v>
      </c>
      <c r="P1181" s="14">
        <v>2</v>
      </c>
      <c r="Q1181" t="s">
        <v>52</v>
      </c>
      <c r="R1181" s="14">
        <v>5433</v>
      </c>
      <c r="S1181" s="17" t="str">
        <f t="shared" si="36"/>
        <v>medium</v>
      </c>
      <c r="T1181">
        <v>19332</v>
      </c>
      <c r="U1181">
        <v>1</v>
      </c>
      <c r="V1181" s="17" t="s">
        <v>43</v>
      </c>
      <c r="W1181">
        <v>12</v>
      </c>
      <c r="X1181">
        <v>3</v>
      </c>
      <c r="Y1181">
        <v>3</v>
      </c>
      <c r="Z1181">
        <v>1</v>
      </c>
      <c r="AA1181">
        <v>11</v>
      </c>
      <c r="AB1181">
        <v>2</v>
      </c>
      <c r="AC1181">
        <v>3</v>
      </c>
      <c r="AD1181" s="14">
        <v>11</v>
      </c>
      <c r="AE1181" t="str">
        <f t="shared" si="37"/>
        <v>10+ years</v>
      </c>
      <c r="AF1181" s="14">
        <v>8</v>
      </c>
      <c r="AG1181" s="14">
        <v>7</v>
      </c>
      <c r="AH1181" s="14">
        <v>9</v>
      </c>
    </row>
    <row r="1182" spans="1:34" x14ac:dyDescent="0.3">
      <c r="A1182" s="14">
        <v>36</v>
      </c>
      <c r="B1182" s="17" t="s">
        <v>43</v>
      </c>
      <c r="C1182" t="s">
        <v>36</v>
      </c>
      <c r="D1182">
        <v>311</v>
      </c>
      <c r="E1182" s="17" t="s">
        <v>45</v>
      </c>
      <c r="F1182">
        <v>7</v>
      </c>
      <c r="G1182">
        <v>3</v>
      </c>
      <c r="H1182" t="s">
        <v>38</v>
      </c>
      <c r="I1182">
        <v>1659</v>
      </c>
      <c r="J1182">
        <v>1</v>
      </c>
      <c r="K1182" s="17" t="s">
        <v>46</v>
      </c>
      <c r="L1182">
        <v>77</v>
      </c>
      <c r="M1182">
        <v>3</v>
      </c>
      <c r="N1182">
        <v>1</v>
      </c>
      <c r="O1182" s="17" t="s">
        <v>50</v>
      </c>
      <c r="P1182" s="14">
        <v>2</v>
      </c>
      <c r="Q1182" t="s">
        <v>41</v>
      </c>
      <c r="R1182" s="14">
        <v>2013</v>
      </c>
      <c r="S1182" s="17" t="str">
        <f t="shared" si="36"/>
        <v>low</v>
      </c>
      <c r="T1182">
        <v>10950</v>
      </c>
      <c r="U1182">
        <v>2</v>
      </c>
      <c r="V1182" s="17" t="s">
        <v>43</v>
      </c>
      <c r="W1182">
        <v>11</v>
      </c>
      <c r="X1182">
        <v>3</v>
      </c>
      <c r="Y1182">
        <v>3</v>
      </c>
      <c r="Z1182">
        <v>0</v>
      </c>
      <c r="AA1182">
        <v>15</v>
      </c>
      <c r="AB1182">
        <v>4</v>
      </c>
      <c r="AC1182">
        <v>3</v>
      </c>
      <c r="AD1182" s="14">
        <v>4</v>
      </c>
      <c r="AE1182" t="str">
        <f t="shared" si="37"/>
        <v>3-5 years</v>
      </c>
      <c r="AF1182" s="14">
        <v>3</v>
      </c>
      <c r="AG1182" s="14">
        <v>1</v>
      </c>
      <c r="AH1182" s="14">
        <v>3</v>
      </c>
    </row>
    <row r="1183" spans="1:34" x14ac:dyDescent="0.3">
      <c r="A1183" s="14">
        <v>49</v>
      </c>
      <c r="B1183" s="17" t="s">
        <v>43</v>
      </c>
      <c r="C1183" t="s">
        <v>36</v>
      </c>
      <c r="D1183">
        <v>465</v>
      </c>
      <c r="E1183" s="17" t="s">
        <v>45</v>
      </c>
      <c r="F1183">
        <v>6</v>
      </c>
      <c r="G1183">
        <v>1</v>
      </c>
      <c r="H1183" t="s">
        <v>38</v>
      </c>
      <c r="I1183">
        <v>1661</v>
      </c>
      <c r="J1183">
        <v>3</v>
      </c>
      <c r="K1183" s="17" t="s">
        <v>39</v>
      </c>
      <c r="L1183">
        <v>41</v>
      </c>
      <c r="M1183">
        <v>2</v>
      </c>
      <c r="N1183">
        <v>4</v>
      </c>
      <c r="O1183" s="17" t="s">
        <v>54</v>
      </c>
      <c r="P1183" s="14">
        <v>3</v>
      </c>
      <c r="Q1183" t="s">
        <v>48</v>
      </c>
      <c r="R1183" s="14">
        <v>13966</v>
      </c>
      <c r="S1183" s="17" t="str">
        <f t="shared" si="36"/>
        <v>high</v>
      </c>
      <c r="T1183">
        <v>11652</v>
      </c>
      <c r="U1183">
        <v>2</v>
      </c>
      <c r="V1183" s="17" t="s">
        <v>35</v>
      </c>
      <c r="W1183">
        <v>19</v>
      </c>
      <c r="X1183">
        <v>3</v>
      </c>
      <c r="Y1183">
        <v>2</v>
      </c>
      <c r="Z1183">
        <v>1</v>
      </c>
      <c r="AA1183">
        <v>30</v>
      </c>
      <c r="AB1183">
        <v>3</v>
      </c>
      <c r="AC1183">
        <v>3</v>
      </c>
      <c r="AD1183" s="14">
        <v>15</v>
      </c>
      <c r="AE1183" t="str">
        <f t="shared" si="37"/>
        <v>10+ years</v>
      </c>
      <c r="AF1183" s="14">
        <v>11</v>
      </c>
      <c r="AG1183" s="14">
        <v>2</v>
      </c>
      <c r="AH1183" s="14">
        <v>12</v>
      </c>
    </row>
    <row r="1184" spans="1:34" x14ac:dyDescent="0.3">
      <c r="A1184" s="14">
        <v>36</v>
      </c>
      <c r="B1184" s="17" t="s">
        <v>43</v>
      </c>
      <c r="C1184" t="s">
        <v>55</v>
      </c>
      <c r="D1184">
        <v>894</v>
      </c>
      <c r="E1184" s="17" t="s">
        <v>45</v>
      </c>
      <c r="F1184">
        <v>1</v>
      </c>
      <c r="G1184">
        <v>4</v>
      </c>
      <c r="H1184" t="s">
        <v>51</v>
      </c>
      <c r="I1184">
        <v>1662</v>
      </c>
      <c r="J1184">
        <v>4</v>
      </c>
      <c r="K1184" s="17" t="s">
        <v>39</v>
      </c>
      <c r="L1184">
        <v>33</v>
      </c>
      <c r="M1184">
        <v>2</v>
      </c>
      <c r="N1184">
        <v>2</v>
      </c>
      <c r="O1184" s="17" t="s">
        <v>53</v>
      </c>
      <c r="P1184" s="14">
        <v>3</v>
      </c>
      <c r="Q1184" t="s">
        <v>48</v>
      </c>
      <c r="R1184" s="14">
        <v>4374</v>
      </c>
      <c r="S1184" s="17" t="str">
        <f t="shared" si="36"/>
        <v>medium</v>
      </c>
      <c r="T1184">
        <v>15411</v>
      </c>
      <c r="U1184">
        <v>0</v>
      </c>
      <c r="V1184" s="17" t="s">
        <v>43</v>
      </c>
      <c r="W1184">
        <v>15</v>
      </c>
      <c r="X1184">
        <v>3</v>
      </c>
      <c r="Y1184">
        <v>3</v>
      </c>
      <c r="Z1184">
        <v>0</v>
      </c>
      <c r="AA1184">
        <v>4</v>
      </c>
      <c r="AB1184">
        <v>6</v>
      </c>
      <c r="AC1184">
        <v>3</v>
      </c>
      <c r="AD1184" s="14">
        <v>3</v>
      </c>
      <c r="AE1184" t="str">
        <f t="shared" si="37"/>
        <v>3-5 years</v>
      </c>
      <c r="AF1184" s="14">
        <v>2</v>
      </c>
      <c r="AG1184" s="14">
        <v>1</v>
      </c>
      <c r="AH1184" s="14">
        <v>2</v>
      </c>
    </row>
    <row r="1185" spans="1:34" x14ac:dyDescent="0.3">
      <c r="A1185" s="14">
        <v>36</v>
      </c>
      <c r="B1185" s="17" t="s">
        <v>43</v>
      </c>
      <c r="C1185" t="s">
        <v>36</v>
      </c>
      <c r="D1185">
        <v>1040</v>
      </c>
      <c r="E1185" s="17" t="s">
        <v>45</v>
      </c>
      <c r="F1185">
        <v>3</v>
      </c>
      <c r="G1185">
        <v>2</v>
      </c>
      <c r="H1185" t="s">
        <v>38</v>
      </c>
      <c r="I1185">
        <v>1664</v>
      </c>
      <c r="J1185">
        <v>4</v>
      </c>
      <c r="K1185" s="17" t="s">
        <v>46</v>
      </c>
      <c r="L1185">
        <v>79</v>
      </c>
      <c r="M1185">
        <v>4</v>
      </c>
      <c r="N1185">
        <v>2</v>
      </c>
      <c r="O1185" s="17" t="s">
        <v>54</v>
      </c>
      <c r="P1185" s="14">
        <v>1</v>
      </c>
      <c r="Q1185" t="s">
        <v>52</v>
      </c>
      <c r="R1185" s="14">
        <v>6842</v>
      </c>
      <c r="S1185" s="17" t="str">
        <f t="shared" si="36"/>
        <v>medium</v>
      </c>
      <c r="T1185">
        <v>26308</v>
      </c>
      <c r="U1185">
        <v>6</v>
      </c>
      <c r="V1185" s="17" t="s">
        <v>43</v>
      </c>
      <c r="W1185">
        <v>20</v>
      </c>
      <c r="X1185">
        <v>4</v>
      </c>
      <c r="Y1185">
        <v>1</v>
      </c>
      <c r="Z1185">
        <v>1</v>
      </c>
      <c r="AA1185">
        <v>13</v>
      </c>
      <c r="AB1185">
        <v>3</v>
      </c>
      <c r="AC1185">
        <v>3</v>
      </c>
      <c r="AD1185" s="14">
        <v>5</v>
      </c>
      <c r="AE1185" t="str">
        <f t="shared" si="37"/>
        <v>3-5 years</v>
      </c>
      <c r="AF1185" s="14">
        <v>4</v>
      </c>
      <c r="AG1185" s="14">
        <v>0</v>
      </c>
      <c r="AH1185" s="14">
        <v>4</v>
      </c>
    </row>
    <row r="1186" spans="1:34" x14ac:dyDescent="0.3">
      <c r="A1186" s="14">
        <v>54</v>
      </c>
      <c r="B1186" s="17" t="s">
        <v>43</v>
      </c>
      <c r="C1186" t="s">
        <v>36</v>
      </c>
      <c r="D1186">
        <v>584</v>
      </c>
      <c r="E1186" s="17" t="s">
        <v>45</v>
      </c>
      <c r="F1186">
        <v>22</v>
      </c>
      <c r="G1186">
        <v>5</v>
      </c>
      <c r="H1186" t="s">
        <v>51</v>
      </c>
      <c r="I1186">
        <v>1665</v>
      </c>
      <c r="J1186">
        <v>2</v>
      </c>
      <c r="K1186" s="17" t="s">
        <v>39</v>
      </c>
      <c r="L1186">
        <v>91</v>
      </c>
      <c r="M1186">
        <v>3</v>
      </c>
      <c r="N1186">
        <v>4</v>
      </c>
      <c r="O1186" s="17" t="s">
        <v>56</v>
      </c>
      <c r="P1186" s="14">
        <v>3</v>
      </c>
      <c r="Q1186" t="s">
        <v>48</v>
      </c>
      <c r="R1186" s="14">
        <v>17426</v>
      </c>
      <c r="S1186" s="17" t="str">
        <f t="shared" si="36"/>
        <v>high</v>
      </c>
      <c r="T1186">
        <v>18685</v>
      </c>
      <c r="U1186">
        <v>3</v>
      </c>
      <c r="V1186" s="17" t="s">
        <v>43</v>
      </c>
      <c r="W1186">
        <v>25</v>
      </c>
      <c r="X1186">
        <v>4</v>
      </c>
      <c r="Y1186">
        <v>3</v>
      </c>
      <c r="Z1186">
        <v>1</v>
      </c>
      <c r="AA1186">
        <v>36</v>
      </c>
      <c r="AB1186">
        <v>6</v>
      </c>
      <c r="AC1186">
        <v>3</v>
      </c>
      <c r="AD1186" s="14">
        <v>10</v>
      </c>
      <c r="AE1186" t="str">
        <f t="shared" si="37"/>
        <v>6-10 years</v>
      </c>
      <c r="AF1186" s="14">
        <v>8</v>
      </c>
      <c r="AG1186" s="14">
        <v>4</v>
      </c>
      <c r="AH1186" s="14">
        <v>7</v>
      </c>
    </row>
    <row r="1187" spans="1:34" x14ac:dyDescent="0.3">
      <c r="A1187" s="14">
        <v>43</v>
      </c>
      <c r="B1187" s="17" t="s">
        <v>43</v>
      </c>
      <c r="C1187" t="s">
        <v>36</v>
      </c>
      <c r="D1187">
        <v>1291</v>
      </c>
      <c r="E1187" s="17" t="s">
        <v>45</v>
      </c>
      <c r="F1187">
        <v>15</v>
      </c>
      <c r="G1187">
        <v>2</v>
      </c>
      <c r="H1187" t="s">
        <v>38</v>
      </c>
      <c r="I1187">
        <v>1666</v>
      </c>
      <c r="J1187">
        <v>3</v>
      </c>
      <c r="K1187" s="17" t="s">
        <v>46</v>
      </c>
      <c r="L1187">
        <v>65</v>
      </c>
      <c r="M1187">
        <v>2</v>
      </c>
      <c r="N1187">
        <v>4</v>
      </c>
      <c r="O1187" s="17" t="s">
        <v>58</v>
      </c>
      <c r="P1187" s="14">
        <v>3</v>
      </c>
      <c r="Q1187" t="s">
        <v>48</v>
      </c>
      <c r="R1187" s="14">
        <v>17603</v>
      </c>
      <c r="S1187" s="17" t="str">
        <f t="shared" si="36"/>
        <v>high</v>
      </c>
      <c r="T1187">
        <v>3525</v>
      </c>
      <c r="U1187">
        <v>1</v>
      </c>
      <c r="V1187" s="17" t="s">
        <v>43</v>
      </c>
      <c r="W1187">
        <v>24</v>
      </c>
      <c r="X1187">
        <v>4</v>
      </c>
      <c r="Y1187">
        <v>1</v>
      </c>
      <c r="Z1187">
        <v>1</v>
      </c>
      <c r="AA1187">
        <v>14</v>
      </c>
      <c r="AB1187">
        <v>3</v>
      </c>
      <c r="AC1187">
        <v>3</v>
      </c>
      <c r="AD1187" s="14">
        <v>14</v>
      </c>
      <c r="AE1187" t="str">
        <f t="shared" si="37"/>
        <v>10+ years</v>
      </c>
      <c r="AF1187" s="14">
        <v>10</v>
      </c>
      <c r="AG1187" s="14">
        <v>6</v>
      </c>
      <c r="AH1187" s="14">
        <v>11</v>
      </c>
    </row>
    <row r="1188" spans="1:34" x14ac:dyDescent="0.3">
      <c r="A1188" s="14">
        <v>35</v>
      </c>
      <c r="B1188" s="17" t="s">
        <v>35</v>
      </c>
      <c r="C1188" t="s">
        <v>44</v>
      </c>
      <c r="D1188">
        <v>880</v>
      </c>
      <c r="E1188" s="17" t="s">
        <v>37</v>
      </c>
      <c r="F1188">
        <v>12</v>
      </c>
      <c r="G1188">
        <v>4</v>
      </c>
      <c r="H1188" t="s">
        <v>49</v>
      </c>
      <c r="I1188">
        <v>1667</v>
      </c>
      <c r="J1188">
        <v>4</v>
      </c>
      <c r="K1188" s="17" t="s">
        <v>46</v>
      </c>
      <c r="L1188">
        <v>36</v>
      </c>
      <c r="M1188">
        <v>3</v>
      </c>
      <c r="N1188">
        <v>2</v>
      </c>
      <c r="O1188" s="17" t="s">
        <v>40</v>
      </c>
      <c r="P1188" s="14">
        <v>4</v>
      </c>
      <c r="Q1188" t="s">
        <v>41</v>
      </c>
      <c r="R1188" s="14">
        <v>4581</v>
      </c>
      <c r="S1188" s="17" t="str">
        <f t="shared" si="36"/>
        <v>medium</v>
      </c>
      <c r="T1188">
        <v>10414</v>
      </c>
      <c r="U1188">
        <v>3</v>
      </c>
      <c r="V1188" s="17" t="s">
        <v>35</v>
      </c>
      <c r="W1188">
        <v>24</v>
      </c>
      <c r="X1188">
        <v>4</v>
      </c>
      <c r="Y1188">
        <v>1</v>
      </c>
      <c r="Z1188">
        <v>0</v>
      </c>
      <c r="AA1188">
        <v>13</v>
      </c>
      <c r="AB1188">
        <v>2</v>
      </c>
      <c r="AC1188">
        <v>4</v>
      </c>
      <c r="AD1188" s="14">
        <v>11</v>
      </c>
      <c r="AE1188" t="str">
        <f t="shared" si="37"/>
        <v>10+ years</v>
      </c>
      <c r="AF1188" s="14">
        <v>9</v>
      </c>
      <c r="AG1188" s="14">
        <v>6</v>
      </c>
      <c r="AH1188" s="14">
        <v>7</v>
      </c>
    </row>
    <row r="1189" spans="1:34" x14ac:dyDescent="0.3">
      <c r="A1189" s="14">
        <v>38</v>
      </c>
      <c r="B1189" s="17" t="s">
        <v>43</v>
      </c>
      <c r="C1189" t="s">
        <v>44</v>
      </c>
      <c r="D1189">
        <v>1189</v>
      </c>
      <c r="E1189" s="17" t="s">
        <v>45</v>
      </c>
      <c r="F1189">
        <v>1</v>
      </c>
      <c r="G1189">
        <v>3</v>
      </c>
      <c r="H1189" t="s">
        <v>38</v>
      </c>
      <c r="I1189">
        <v>1668</v>
      </c>
      <c r="J1189">
        <v>4</v>
      </c>
      <c r="K1189" s="17" t="s">
        <v>46</v>
      </c>
      <c r="L1189">
        <v>90</v>
      </c>
      <c r="M1189">
        <v>3</v>
      </c>
      <c r="N1189">
        <v>2</v>
      </c>
      <c r="O1189" s="17" t="s">
        <v>47</v>
      </c>
      <c r="P1189" s="14">
        <v>4</v>
      </c>
      <c r="Q1189" t="s">
        <v>48</v>
      </c>
      <c r="R1189" s="14">
        <v>4735</v>
      </c>
      <c r="S1189" s="17" t="str">
        <f t="shared" si="36"/>
        <v>medium</v>
      </c>
      <c r="T1189">
        <v>9867</v>
      </c>
      <c r="U1189">
        <v>7</v>
      </c>
      <c r="V1189" s="17" t="s">
        <v>43</v>
      </c>
      <c r="W1189">
        <v>15</v>
      </c>
      <c r="X1189">
        <v>3</v>
      </c>
      <c r="Y1189">
        <v>4</v>
      </c>
      <c r="Z1189">
        <v>2</v>
      </c>
      <c r="AA1189">
        <v>19</v>
      </c>
      <c r="AB1189">
        <v>4</v>
      </c>
      <c r="AC1189">
        <v>4</v>
      </c>
      <c r="AD1189" s="14">
        <v>13</v>
      </c>
      <c r="AE1189" t="str">
        <f t="shared" si="37"/>
        <v>10+ years</v>
      </c>
      <c r="AF1189" s="14">
        <v>11</v>
      </c>
      <c r="AG1189" s="14">
        <v>2</v>
      </c>
      <c r="AH1189" s="14">
        <v>9</v>
      </c>
    </row>
    <row r="1190" spans="1:34" x14ac:dyDescent="0.3">
      <c r="A1190" s="14">
        <v>29</v>
      </c>
      <c r="B1190" s="17" t="s">
        <v>43</v>
      </c>
      <c r="C1190" t="s">
        <v>36</v>
      </c>
      <c r="D1190">
        <v>991</v>
      </c>
      <c r="E1190" s="17" t="s">
        <v>37</v>
      </c>
      <c r="F1190">
        <v>5</v>
      </c>
      <c r="G1190">
        <v>3</v>
      </c>
      <c r="H1190" t="s">
        <v>51</v>
      </c>
      <c r="I1190">
        <v>1669</v>
      </c>
      <c r="J1190">
        <v>1</v>
      </c>
      <c r="K1190" s="17" t="s">
        <v>46</v>
      </c>
      <c r="L1190">
        <v>43</v>
      </c>
      <c r="M1190">
        <v>2</v>
      </c>
      <c r="N1190">
        <v>2</v>
      </c>
      <c r="O1190" s="17" t="s">
        <v>40</v>
      </c>
      <c r="P1190" s="14">
        <v>2</v>
      </c>
      <c r="Q1190" t="s">
        <v>52</v>
      </c>
      <c r="R1190" s="14">
        <v>4187</v>
      </c>
      <c r="S1190" s="17" t="str">
        <f t="shared" si="36"/>
        <v>medium</v>
      </c>
      <c r="T1190">
        <v>3356</v>
      </c>
      <c r="U1190">
        <v>1</v>
      </c>
      <c r="V1190" s="17" t="s">
        <v>35</v>
      </c>
      <c r="W1190">
        <v>13</v>
      </c>
      <c r="X1190">
        <v>3</v>
      </c>
      <c r="Y1190">
        <v>2</v>
      </c>
      <c r="Z1190">
        <v>1</v>
      </c>
      <c r="AA1190">
        <v>10</v>
      </c>
      <c r="AB1190">
        <v>3</v>
      </c>
      <c r="AC1190">
        <v>2</v>
      </c>
      <c r="AD1190" s="14">
        <v>10</v>
      </c>
      <c r="AE1190" t="str">
        <f t="shared" si="37"/>
        <v>6-10 years</v>
      </c>
      <c r="AF1190" s="14">
        <v>0</v>
      </c>
      <c r="AG1190" s="14">
        <v>0</v>
      </c>
      <c r="AH1190" s="14">
        <v>9</v>
      </c>
    </row>
    <row r="1191" spans="1:34" x14ac:dyDescent="0.3">
      <c r="A1191" s="14">
        <v>33</v>
      </c>
      <c r="B1191" s="17" t="s">
        <v>43</v>
      </c>
      <c r="C1191" t="s">
        <v>36</v>
      </c>
      <c r="D1191">
        <v>392</v>
      </c>
      <c r="E1191" s="17" t="s">
        <v>37</v>
      </c>
      <c r="F1191">
        <v>2</v>
      </c>
      <c r="G1191">
        <v>4</v>
      </c>
      <c r="H1191" t="s">
        <v>51</v>
      </c>
      <c r="I1191">
        <v>1670</v>
      </c>
      <c r="J1191">
        <v>4</v>
      </c>
      <c r="K1191" s="17" t="s">
        <v>46</v>
      </c>
      <c r="L1191">
        <v>93</v>
      </c>
      <c r="M1191">
        <v>3</v>
      </c>
      <c r="N1191">
        <v>2</v>
      </c>
      <c r="O1191" s="17" t="s">
        <v>40</v>
      </c>
      <c r="P1191" s="14">
        <v>4</v>
      </c>
      <c r="Q1191" t="s">
        <v>52</v>
      </c>
      <c r="R1191" s="14">
        <v>5505</v>
      </c>
      <c r="S1191" s="17" t="str">
        <f t="shared" si="36"/>
        <v>medium</v>
      </c>
      <c r="T1191">
        <v>3921</v>
      </c>
      <c r="U1191">
        <v>1</v>
      </c>
      <c r="V1191" s="17" t="s">
        <v>43</v>
      </c>
      <c r="W1191">
        <v>14</v>
      </c>
      <c r="X1191">
        <v>3</v>
      </c>
      <c r="Y1191">
        <v>3</v>
      </c>
      <c r="Z1191">
        <v>2</v>
      </c>
      <c r="AA1191">
        <v>6</v>
      </c>
      <c r="AB1191">
        <v>5</v>
      </c>
      <c r="AC1191">
        <v>3</v>
      </c>
      <c r="AD1191" s="14">
        <v>6</v>
      </c>
      <c r="AE1191" t="str">
        <f t="shared" si="37"/>
        <v>6-10 years</v>
      </c>
      <c r="AF1191" s="14">
        <v>2</v>
      </c>
      <c r="AG1191" s="14">
        <v>0</v>
      </c>
      <c r="AH1191" s="14">
        <v>4</v>
      </c>
    </row>
    <row r="1192" spans="1:34" x14ac:dyDescent="0.3">
      <c r="A1192" s="14">
        <v>32</v>
      </c>
      <c r="B1192" s="17" t="s">
        <v>43</v>
      </c>
      <c r="C1192" t="s">
        <v>36</v>
      </c>
      <c r="D1192">
        <v>977</v>
      </c>
      <c r="E1192" s="17" t="s">
        <v>45</v>
      </c>
      <c r="F1192">
        <v>2</v>
      </c>
      <c r="G1192">
        <v>3</v>
      </c>
      <c r="H1192" t="s">
        <v>51</v>
      </c>
      <c r="I1192">
        <v>1671</v>
      </c>
      <c r="J1192">
        <v>4</v>
      </c>
      <c r="K1192" s="17" t="s">
        <v>46</v>
      </c>
      <c r="L1192">
        <v>45</v>
      </c>
      <c r="M1192">
        <v>3</v>
      </c>
      <c r="N1192">
        <v>2</v>
      </c>
      <c r="O1192" s="17" t="s">
        <v>47</v>
      </c>
      <c r="P1192" s="14">
        <v>2</v>
      </c>
      <c r="Q1192" t="s">
        <v>52</v>
      </c>
      <c r="R1192" s="14">
        <v>5470</v>
      </c>
      <c r="S1192" s="17" t="str">
        <f t="shared" si="36"/>
        <v>medium</v>
      </c>
      <c r="T1192">
        <v>25518</v>
      </c>
      <c r="U1192">
        <v>0</v>
      </c>
      <c r="V1192" s="17" t="s">
        <v>43</v>
      </c>
      <c r="W1192">
        <v>13</v>
      </c>
      <c r="X1192">
        <v>3</v>
      </c>
      <c r="Y1192">
        <v>3</v>
      </c>
      <c r="Z1192">
        <v>2</v>
      </c>
      <c r="AA1192">
        <v>10</v>
      </c>
      <c r="AB1192">
        <v>4</v>
      </c>
      <c r="AC1192">
        <v>2</v>
      </c>
      <c r="AD1192" s="14">
        <v>9</v>
      </c>
      <c r="AE1192" t="str">
        <f t="shared" si="37"/>
        <v>6-10 years</v>
      </c>
      <c r="AF1192" s="14">
        <v>5</v>
      </c>
      <c r="AG1192" s="14">
        <v>1</v>
      </c>
      <c r="AH1192" s="14">
        <v>6</v>
      </c>
    </row>
    <row r="1193" spans="1:34" x14ac:dyDescent="0.3">
      <c r="A1193" s="14">
        <v>31</v>
      </c>
      <c r="B1193" s="17" t="s">
        <v>43</v>
      </c>
      <c r="C1193" t="s">
        <v>36</v>
      </c>
      <c r="D1193">
        <v>1112</v>
      </c>
      <c r="E1193" s="17" t="s">
        <v>37</v>
      </c>
      <c r="F1193">
        <v>5</v>
      </c>
      <c r="G1193">
        <v>4</v>
      </c>
      <c r="H1193" t="s">
        <v>38</v>
      </c>
      <c r="I1193">
        <v>1673</v>
      </c>
      <c r="J1193">
        <v>1</v>
      </c>
      <c r="K1193" s="17" t="s">
        <v>39</v>
      </c>
      <c r="L1193">
        <v>67</v>
      </c>
      <c r="M1193">
        <v>3</v>
      </c>
      <c r="N1193">
        <v>2</v>
      </c>
      <c r="O1193" s="17" t="s">
        <v>40</v>
      </c>
      <c r="P1193" s="14">
        <v>4</v>
      </c>
      <c r="Q1193" t="s">
        <v>48</v>
      </c>
      <c r="R1193" s="14">
        <v>5476</v>
      </c>
      <c r="S1193" s="17" t="str">
        <f t="shared" si="36"/>
        <v>medium</v>
      </c>
      <c r="T1193">
        <v>22589</v>
      </c>
      <c r="U1193">
        <v>1</v>
      </c>
      <c r="V1193" s="17" t="s">
        <v>43</v>
      </c>
      <c r="W1193">
        <v>11</v>
      </c>
      <c r="X1193">
        <v>3</v>
      </c>
      <c r="Y1193">
        <v>1</v>
      </c>
      <c r="Z1193">
        <v>2</v>
      </c>
      <c r="AA1193">
        <v>10</v>
      </c>
      <c r="AB1193">
        <v>2</v>
      </c>
      <c r="AC1193">
        <v>3</v>
      </c>
      <c r="AD1193" s="14">
        <v>10</v>
      </c>
      <c r="AE1193" t="str">
        <f t="shared" si="37"/>
        <v>6-10 years</v>
      </c>
      <c r="AF1193" s="14">
        <v>0</v>
      </c>
      <c r="AG1193" s="14">
        <v>0</v>
      </c>
      <c r="AH1193" s="14">
        <v>2</v>
      </c>
    </row>
    <row r="1194" spans="1:34" x14ac:dyDescent="0.3">
      <c r="A1194" s="14">
        <v>49</v>
      </c>
      <c r="B1194" s="17" t="s">
        <v>43</v>
      </c>
      <c r="C1194" t="s">
        <v>36</v>
      </c>
      <c r="D1194">
        <v>464</v>
      </c>
      <c r="E1194" s="17" t="s">
        <v>45</v>
      </c>
      <c r="F1194">
        <v>16</v>
      </c>
      <c r="G1194">
        <v>3</v>
      </c>
      <c r="H1194" t="s">
        <v>51</v>
      </c>
      <c r="I1194">
        <v>1674</v>
      </c>
      <c r="J1194">
        <v>4</v>
      </c>
      <c r="K1194" s="17" t="s">
        <v>39</v>
      </c>
      <c r="L1194">
        <v>74</v>
      </c>
      <c r="M1194">
        <v>3</v>
      </c>
      <c r="N1194">
        <v>1</v>
      </c>
      <c r="O1194" s="17" t="s">
        <v>50</v>
      </c>
      <c r="P1194" s="14">
        <v>1</v>
      </c>
      <c r="Q1194" t="s">
        <v>52</v>
      </c>
      <c r="R1194" s="14">
        <v>2587</v>
      </c>
      <c r="S1194" s="17" t="str">
        <f t="shared" si="36"/>
        <v>low</v>
      </c>
      <c r="T1194">
        <v>24941</v>
      </c>
      <c r="U1194">
        <v>4</v>
      </c>
      <c r="V1194" s="17" t="s">
        <v>35</v>
      </c>
      <c r="W1194">
        <v>16</v>
      </c>
      <c r="X1194">
        <v>3</v>
      </c>
      <c r="Y1194">
        <v>2</v>
      </c>
      <c r="Z1194">
        <v>1</v>
      </c>
      <c r="AA1194">
        <v>17</v>
      </c>
      <c r="AB1194">
        <v>2</v>
      </c>
      <c r="AC1194">
        <v>2</v>
      </c>
      <c r="AD1194" s="14">
        <v>2</v>
      </c>
      <c r="AE1194" t="str">
        <f t="shared" si="37"/>
        <v>0-2 years</v>
      </c>
      <c r="AF1194" s="14">
        <v>2</v>
      </c>
      <c r="AG1194" s="14">
        <v>2</v>
      </c>
      <c r="AH1194" s="14">
        <v>2</v>
      </c>
    </row>
    <row r="1195" spans="1:34" x14ac:dyDescent="0.3">
      <c r="A1195" s="14">
        <v>38</v>
      </c>
      <c r="B1195" s="17" t="s">
        <v>43</v>
      </c>
      <c r="C1195" t="s">
        <v>44</v>
      </c>
      <c r="D1195">
        <v>148</v>
      </c>
      <c r="E1195" s="17" t="s">
        <v>45</v>
      </c>
      <c r="F1195">
        <v>2</v>
      </c>
      <c r="G1195">
        <v>3</v>
      </c>
      <c r="H1195" t="s">
        <v>51</v>
      </c>
      <c r="I1195">
        <v>1675</v>
      </c>
      <c r="J1195">
        <v>4</v>
      </c>
      <c r="K1195" s="17" t="s">
        <v>39</v>
      </c>
      <c r="L1195">
        <v>42</v>
      </c>
      <c r="M1195">
        <v>2</v>
      </c>
      <c r="N1195">
        <v>1</v>
      </c>
      <c r="O1195" s="17" t="s">
        <v>50</v>
      </c>
      <c r="P1195" s="14">
        <v>2</v>
      </c>
      <c r="Q1195" t="s">
        <v>41</v>
      </c>
      <c r="R1195" s="14">
        <v>2440</v>
      </c>
      <c r="S1195" s="17" t="str">
        <f t="shared" si="36"/>
        <v>low</v>
      </c>
      <c r="T1195">
        <v>23826</v>
      </c>
      <c r="U1195">
        <v>1</v>
      </c>
      <c r="V1195" s="17" t="s">
        <v>43</v>
      </c>
      <c r="W1195">
        <v>22</v>
      </c>
      <c r="X1195">
        <v>4</v>
      </c>
      <c r="Y1195">
        <v>2</v>
      </c>
      <c r="Z1195">
        <v>0</v>
      </c>
      <c r="AA1195">
        <v>4</v>
      </c>
      <c r="AB1195">
        <v>3</v>
      </c>
      <c r="AC1195">
        <v>3</v>
      </c>
      <c r="AD1195" s="14">
        <v>4</v>
      </c>
      <c r="AE1195" t="str">
        <f t="shared" si="37"/>
        <v>3-5 years</v>
      </c>
      <c r="AF1195" s="14">
        <v>3</v>
      </c>
      <c r="AG1195" s="14">
        <v>3</v>
      </c>
      <c r="AH1195" s="14">
        <v>3</v>
      </c>
    </row>
    <row r="1196" spans="1:34" x14ac:dyDescent="0.3">
      <c r="A1196" s="14">
        <v>47</v>
      </c>
      <c r="B1196" s="17" t="s">
        <v>43</v>
      </c>
      <c r="C1196" t="s">
        <v>36</v>
      </c>
      <c r="D1196">
        <v>1225</v>
      </c>
      <c r="E1196" s="17" t="s">
        <v>37</v>
      </c>
      <c r="F1196">
        <v>2</v>
      </c>
      <c r="G1196">
        <v>4</v>
      </c>
      <c r="H1196" t="s">
        <v>38</v>
      </c>
      <c r="I1196">
        <v>1676</v>
      </c>
      <c r="J1196">
        <v>2</v>
      </c>
      <c r="K1196" s="17" t="s">
        <v>39</v>
      </c>
      <c r="L1196">
        <v>47</v>
      </c>
      <c r="M1196">
        <v>4</v>
      </c>
      <c r="N1196">
        <v>4</v>
      </c>
      <c r="O1196" s="17" t="s">
        <v>56</v>
      </c>
      <c r="P1196" s="14">
        <v>2</v>
      </c>
      <c r="Q1196" t="s">
        <v>52</v>
      </c>
      <c r="R1196" s="14">
        <v>15972</v>
      </c>
      <c r="S1196" s="17" t="str">
        <f t="shared" si="36"/>
        <v>high</v>
      </c>
      <c r="T1196">
        <v>21086</v>
      </c>
      <c r="U1196">
        <v>6</v>
      </c>
      <c r="V1196" s="17" t="s">
        <v>43</v>
      </c>
      <c r="W1196">
        <v>14</v>
      </c>
      <c r="X1196">
        <v>3</v>
      </c>
      <c r="Y1196">
        <v>3</v>
      </c>
      <c r="Z1196">
        <v>3</v>
      </c>
      <c r="AA1196">
        <v>29</v>
      </c>
      <c r="AB1196">
        <v>2</v>
      </c>
      <c r="AC1196">
        <v>3</v>
      </c>
      <c r="AD1196" s="14">
        <v>3</v>
      </c>
      <c r="AE1196" t="str">
        <f t="shared" si="37"/>
        <v>3-5 years</v>
      </c>
      <c r="AF1196" s="14">
        <v>2</v>
      </c>
      <c r="AG1196" s="14">
        <v>1</v>
      </c>
      <c r="AH1196" s="14">
        <v>2</v>
      </c>
    </row>
    <row r="1197" spans="1:34" x14ac:dyDescent="0.3">
      <c r="A1197" s="14">
        <v>49</v>
      </c>
      <c r="B1197" s="17" t="s">
        <v>43</v>
      </c>
      <c r="C1197" t="s">
        <v>36</v>
      </c>
      <c r="D1197">
        <v>809</v>
      </c>
      <c r="E1197" s="17" t="s">
        <v>45</v>
      </c>
      <c r="F1197">
        <v>1</v>
      </c>
      <c r="G1197">
        <v>3</v>
      </c>
      <c r="H1197" t="s">
        <v>38</v>
      </c>
      <c r="I1197">
        <v>1677</v>
      </c>
      <c r="J1197">
        <v>3</v>
      </c>
      <c r="K1197" s="17" t="s">
        <v>46</v>
      </c>
      <c r="L1197">
        <v>36</v>
      </c>
      <c r="M1197">
        <v>3</v>
      </c>
      <c r="N1197">
        <v>4</v>
      </c>
      <c r="O1197" s="17" t="s">
        <v>56</v>
      </c>
      <c r="P1197" s="14">
        <v>3</v>
      </c>
      <c r="Q1197" t="s">
        <v>41</v>
      </c>
      <c r="R1197" s="14">
        <v>15379</v>
      </c>
      <c r="S1197" s="17" t="str">
        <f t="shared" si="36"/>
        <v>high</v>
      </c>
      <c r="T1197">
        <v>22384</v>
      </c>
      <c r="U1197">
        <v>4</v>
      </c>
      <c r="V1197" s="17" t="s">
        <v>43</v>
      </c>
      <c r="W1197">
        <v>14</v>
      </c>
      <c r="X1197">
        <v>3</v>
      </c>
      <c r="Y1197">
        <v>1</v>
      </c>
      <c r="Z1197">
        <v>0</v>
      </c>
      <c r="AA1197">
        <v>23</v>
      </c>
      <c r="AB1197">
        <v>2</v>
      </c>
      <c r="AC1197">
        <v>3</v>
      </c>
      <c r="AD1197" s="14">
        <v>8</v>
      </c>
      <c r="AE1197" t="str">
        <f t="shared" si="37"/>
        <v>6-10 years</v>
      </c>
      <c r="AF1197" s="14">
        <v>7</v>
      </c>
      <c r="AG1197" s="14">
        <v>0</v>
      </c>
      <c r="AH1197" s="14">
        <v>0</v>
      </c>
    </row>
    <row r="1198" spans="1:34" x14ac:dyDescent="0.3">
      <c r="A1198" s="14">
        <v>41</v>
      </c>
      <c r="B1198" s="17" t="s">
        <v>43</v>
      </c>
      <c r="C1198" t="s">
        <v>36</v>
      </c>
      <c r="D1198">
        <v>1206</v>
      </c>
      <c r="E1198" s="17" t="s">
        <v>37</v>
      </c>
      <c r="F1198">
        <v>23</v>
      </c>
      <c r="G1198">
        <v>2</v>
      </c>
      <c r="H1198" t="s">
        <v>38</v>
      </c>
      <c r="I1198">
        <v>1678</v>
      </c>
      <c r="J1198">
        <v>4</v>
      </c>
      <c r="K1198" s="17" t="s">
        <v>46</v>
      </c>
      <c r="L1198">
        <v>80</v>
      </c>
      <c r="M1198">
        <v>3</v>
      </c>
      <c r="N1198">
        <v>3</v>
      </c>
      <c r="O1198" s="17" t="s">
        <v>40</v>
      </c>
      <c r="P1198" s="14">
        <v>3</v>
      </c>
      <c r="Q1198" t="s">
        <v>41</v>
      </c>
      <c r="R1198" s="14">
        <v>7082</v>
      </c>
      <c r="S1198" s="17" t="str">
        <f t="shared" si="36"/>
        <v>high</v>
      </c>
      <c r="T1198">
        <v>11591</v>
      </c>
      <c r="U1198">
        <v>3</v>
      </c>
      <c r="V1198" s="17" t="s">
        <v>35</v>
      </c>
      <c r="W1198">
        <v>16</v>
      </c>
      <c r="X1198">
        <v>3</v>
      </c>
      <c r="Y1198">
        <v>4</v>
      </c>
      <c r="Z1198">
        <v>0</v>
      </c>
      <c r="AA1198">
        <v>21</v>
      </c>
      <c r="AB1198">
        <v>2</v>
      </c>
      <c r="AC1198">
        <v>3</v>
      </c>
      <c r="AD1198" s="14">
        <v>2</v>
      </c>
      <c r="AE1198" t="str">
        <f t="shared" si="37"/>
        <v>0-2 years</v>
      </c>
      <c r="AF1198" s="14">
        <v>0</v>
      </c>
      <c r="AG1198" s="14">
        <v>0</v>
      </c>
      <c r="AH1198" s="14">
        <v>2</v>
      </c>
    </row>
    <row r="1199" spans="1:34" x14ac:dyDescent="0.3">
      <c r="A1199" s="14">
        <v>20</v>
      </c>
      <c r="B1199" s="17" t="s">
        <v>43</v>
      </c>
      <c r="C1199" t="s">
        <v>36</v>
      </c>
      <c r="D1199">
        <v>727</v>
      </c>
      <c r="E1199" s="17" t="s">
        <v>37</v>
      </c>
      <c r="F1199">
        <v>9</v>
      </c>
      <c r="G1199">
        <v>1</v>
      </c>
      <c r="H1199" t="s">
        <v>38</v>
      </c>
      <c r="I1199">
        <v>1680</v>
      </c>
      <c r="J1199">
        <v>4</v>
      </c>
      <c r="K1199" s="17" t="s">
        <v>46</v>
      </c>
      <c r="L1199">
        <v>54</v>
      </c>
      <c r="M1199">
        <v>3</v>
      </c>
      <c r="N1199">
        <v>1</v>
      </c>
      <c r="O1199" s="17" t="s">
        <v>57</v>
      </c>
      <c r="P1199" s="14">
        <v>1</v>
      </c>
      <c r="Q1199" t="s">
        <v>41</v>
      </c>
      <c r="R1199" s="14">
        <v>2728</v>
      </c>
      <c r="S1199" s="17" t="str">
        <f t="shared" si="36"/>
        <v>low</v>
      </c>
      <c r="T1199">
        <v>21082</v>
      </c>
      <c r="U1199">
        <v>1</v>
      </c>
      <c r="V1199" s="17" t="s">
        <v>43</v>
      </c>
      <c r="W1199">
        <v>11</v>
      </c>
      <c r="X1199">
        <v>3</v>
      </c>
      <c r="Y1199">
        <v>1</v>
      </c>
      <c r="Z1199">
        <v>0</v>
      </c>
      <c r="AA1199">
        <v>2</v>
      </c>
      <c r="AB1199">
        <v>3</v>
      </c>
      <c r="AC1199">
        <v>3</v>
      </c>
      <c r="AD1199" s="14">
        <v>2</v>
      </c>
      <c r="AE1199" t="str">
        <f t="shared" si="37"/>
        <v>0-2 years</v>
      </c>
      <c r="AF1199" s="14">
        <v>2</v>
      </c>
      <c r="AG1199" s="14">
        <v>0</v>
      </c>
      <c r="AH1199" s="14">
        <v>2</v>
      </c>
    </row>
    <row r="1200" spans="1:34" x14ac:dyDescent="0.3">
      <c r="A1200" s="14">
        <v>33</v>
      </c>
      <c r="B1200" s="17" t="s">
        <v>43</v>
      </c>
      <c r="C1200" t="s">
        <v>55</v>
      </c>
      <c r="D1200">
        <v>530</v>
      </c>
      <c r="E1200" s="17" t="s">
        <v>37</v>
      </c>
      <c r="F1200">
        <v>16</v>
      </c>
      <c r="G1200">
        <v>3</v>
      </c>
      <c r="H1200" t="s">
        <v>38</v>
      </c>
      <c r="I1200">
        <v>1681</v>
      </c>
      <c r="J1200">
        <v>3</v>
      </c>
      <c r="K1200" s="17" t="s">
        <v>39</v>
      </c>
      <c r="L1200">
        <v>36</v>
      </c>
      <c r="M1200">
        <v>3</v>
      </c>
      <c r="N1200">
        <v>2</v>
      </c>
      <c r="O1200" s="17" t="s">
        <v>40</v>
      </c>
      <c r="P1200" s="14">
        <v>4</v>
      </c>
      <c r="Q1200" t="s">
        <v>52</v>
      </c>
      <c r="R1200" s="14">
        <v>5368</v>
      </c>
      <c r="S1200" s="17" t="str">
        <f t="shared" si="36"/>
        <v>medium</v>
      </c>
      <c r="T1200">
        <v>16130</v>
      </c>
      <c r="U1200">
        <v>1</v>
      </c>
      <c r="V1200" s="17" t="s">
        <v>35</v>
      </c>
      <c r="W1200">
        <v>25</v>
      </c>
      <c r="X1200">
        <v>4</v>
      </c>
      <c r="Y1200">
        <v>3</v>
      </c>
      <c r="Z1200">
        <v>1</v>
      </c>
      <c r="AA1200">
        <v>7</v>
      </c>
      <c r="AB1200">
        <v>2</v>
      </c>
      <c r="AC1200">
        <v>3</v>
      </c>
      <c r="AD1200" s="14">
        <v>6</v>
      </c>
      <c r="AE1200" t="str">
        <f t="shared" si="37"/>
        <v>6-10 years</v>
      </c>
      <c r="AF1200" s="14">
        <v>5</v>
      </c>
      <c r="AG1200" s="14">
        <v>1</v>
      </c>
      <c r="AH1200" s="14">
        <v>2</v>
      </c>
    </row>
    <row r="1201" spans="1:34" x14ac:dyDescent="0.3">
      <c r="A1201" s="14">
        <v>36</v>
      </c>
      <c r="B1201" s="17" t="s">
        <v>43</v>
      </c>
      <c r="C1201" t="s">
        <v>36</v>
      </c>
      <c r="D1201">
        <v>1351</v>
      </c>
      <c r="E1201" s="17" t="s">
        <v>45</v>
      </c>
      <c r="F1201">
        <v>26</v>
      </c>
      <c r="G1201">
        <v>4</v>
      </c>
      <c r="H1201" t="s">
        <v>38</v>
      </c>
      <c r="I1201">
        <v>1682</v>
      </c>
      <c r="J1201">
        <v>1</v>
      </c>
      <c r="K1201" s="17" t="s">
        <v>46</v>
      </c>
      <c r="L1201">
        <v>80</v>
      </c>
      <c r="M1201">
        <v>3</v>
      </c>
      <c r="N1201">
        <v>2</v>
      </c>
      <c r="O1201" s="17" t="s">
        <v>54</v>
      </c>
      <c r="P1201" s="14">
        <v>3</v>
      </c>
      <c r="Q1201" t="s">
        <v>48</v>
      </c>
      <c r="R1201" s="14">
        <v>5347</v>
      </c>
      <c r="S1201" s="17" t="str">
        <f t="shared" si="36"/>
        <v>medium</v>
      </c>
      <c r="T1201">
        <v>7419</v>
      </c>
      <c r="U1201">
        <v>6</v>
      </c>
      <c r="V1201" s="17" t="s">
        <v>43</v>
      </c>
      <c r="W1201">
        <v>14</v>
      </c>
      <c r="X1201">
        <v>3</v>
      </c>
      <c r="Y1201">
        <v>2</v>
      </c>
      <c r="Z1201">
        <v>2</v>
      </c>
      <c r="AA1201">
        <v>10</v>
      </c>
      <c r="AB1201">
        <v>2</v>
      </c>
      <c r="AC1201">
        <v>2</v>
      </c>
      <c r="AD1201" s="14">
        <v>3</v>
      </c>
      <c r="AE1201" t="str">
        <f t="shared" si="37"/>
        <v>3-5 years</v>
      </c>
      <c r="AF1201" s="14">
        <v>2</v>
      </c>
      <c r="AG1201" s="14">
        <v>0</v>
      </c>
      <c r="AH1201" s="14">
        <v>2</v>
      </c>
    </row>
    <row r="1202" spans="1:34" x14ac:dyDescent="0.3">
      <c r="A1202" s="14">
        <v>44</v>
      </c>
      <c r="B1202" s="17" t="s">
        <v>43</v>
      </c>
      <c r="C1202" t="s">
        <v>36</v>
      </c>
      <c r="D1202">
        <v>528</v>
      </c>
      <c r="E1202" s="17" t="s">
        <v>61</v>
      </c>
      <c r="F1202">
        <v>1</v>
      </c>
      <c r="G1202">
        <v>3</v>
      </c>
      <c r="H1202" t="s">
        <v>38</v>
      </c>
      <c r="I1202">
        <v>1683</v>
      </c>
      <c r="J1202">
        <v>3</v>
      </c>
      <c r="K1202" s="17" t="s">
        <v>39</v>
      </c>
      <c r="L1202">
        <v>44</v>
      </c>
      <c r="M1202">
        <v>3</v>
      </c>
      <c r="N1202">
        <v>1</v>
      </c>
      <c r="O1202" s="17" t="s">
        <v>61</v>
      </c>
      <c r="P1202" s="14">
        <v>4</v>
      </c>
      <c r="Q1202" t="s">
        <v>52</v>
      </c>
      <c r="R1202" s="14">
        <v>3195</v>
      </c>
      <c r="S1202" s="17" t="str">
        <f t="shared" si="36"/>
        <v>medium</v>
      </c>
      <c r="T1202">
        <v>4167</v>
      </c>
      <c r="U1202">
        <v>4</v>
      </c>
      <c r="V1202" s="17" t="s">
        <v>35</v>
      </c>
      <c r="W1202">
        <v>18</v>
      </c>
      <c r="X1202">
        <v>3</v>
      </c>
      <c r="Y1202">
        <v>1</v>
      </c>
      <c r="Z1202">
        <v>3</v>
      </c>
      <c r="AA1202">
        <v>8</v>
      </c>
      <c r="AB1202">
        <v>2</v>
      </c>
      <c r="AC1202">
        <v>3</v>
      </c>
      <c r="AD1202" s="14">
        <v>2</v>
      </c>
      <c r="AE1202" t="str">
        <f t="shared" si="37"/>
        <v>0-2 years</v>
      </c>
      <c r="AF1202" s="14">
        <v>2</v>
      </c>
      <c r="AG1202" s="14">
        <v>2</v>
      </c>
      <c r="AH1202" s="14">
        <v>2</v>
      </c>
    </row>
    <row r="1203" spans="1:34" x14ac:dyDescent="0.3">
      <c r="A1203" s="14">
        <v>23</v>
      </c>
      <c r="B1203" s="17" t="s">
        <v>35</v>
      </c>
      <c r="C1203" t="s">
        <v>36</v>
      </c>
      <c r="D1203">
        <v>1320</v>
      </c>
      <c r="E1203" s="17" t="s">
        <v>45</v>
      </c>
      <c r="F1203">
        <v>8</v>
      </c>
      <c r="G1203">
        <v>1</v>
      </c>
      <c r="H1203" t="s">
        <v>51</v>
      </c>
      <c r="I1203">
        <v>1684</v>
      </c>
      <c r="J1203">
        <v>4</v>
      </c>
      <c r="K1203" s="17" t="s">
        <v>46</v>
      </c>
      <c r="L1203">
        <v>93</v>
      </c>
      <c r="M1203">
        <v>2</v>
      </c>
      <c r="N1203">
        <v>1</v>
      </c>
      <c r="O1203" s="17" t="s">
        <v>50</v>
      </c>
      <c r="P1203" s="14">
        <v>3</v>
      </c>
      <c r="Q1203" t="s">
        <v>41</v>
      </c>
      <c r="R1203" s="14">
        <v>3989</v>
      </c>
      <c r="S1203" s="17" t="str">
        <f t="shared" si="36"/>
        <v>medium</v>
      </c>
      <c r="T1203">
        <v>20586</v>
      </c>
      <c r="U1203">
        <v>1</v>
      </c>
      <c r="V1203" s="17" t="s">
        <v>35</v>
      </c>
      <c r="W1203">
        <v>11</v>
      </c>
      <c r="X1203">
        <v>3</v>
      </c>
      <c r="Y1203">
        <v>1</v>
      </c>
      <c r="Z1203">
        <v>0</v>
      </c>
      <c r="AA1203">
        <v>5</v>
      </c>
      <c r="AB1203">
        <v>2</v>
      </c>
      <c r="AC1203">
        <v>3</v>
      </c>
      <c r="AD1203" s="14">
        <v>5</v>
      </c>
      <c r="AE1203" t="str">
        <f t="shared" si="37"/>
        <v>3-5 years</v>
      </c>
      <c r="AF1203" s="14">
        <v>4</v>
      </c>
      <c r="AG1203" s="14">
        <v>1</v>
      </c>
      <c r="AH1203" s="14">
        <v>2</v>
      </c>
    </row>
    <row r="1204" spans="1:34" x14ac:dyDescent="0.3">
      <c r="A1204" s="14">
        <v>38</v>
      </c>
      <c r="B1204" s="17" t="s">
        <v>43</v>
      </c>
      <c r="C1204" t="s">
        <v>36</v>
      </c>
      <c r="D1204">
        <v>1495</v>
      </c>
      <c r="E1204" s="17" t="s">
        <v>45</v>
      </c>
      <c r="F1204">
        <v>4</v>
      </c>
      <c r="G1204">
        <v>2</v>
      </c>
      <c r="H1204" t="s">
        <v>51</v>
      </c>
      <c r="I1204">
        <v>1687</v>
      </c>
      <c r="J1204">
        <v>4</v>
      </c>
      <c r="K1204" s="17" t="s">
        <v>39</v>
      </c>
      <c r="L1204">
        <v>87</v>
      </c>
      <c r="M1204">
        <v>3</v>
      </c>
      <c r="N1204">
        <v>1</v>
      </c>
      <c r="O1204" s="17" t="s">
        <v>50</v>
      </c>
      <c r="P1204" s="14">
        <v>3</v>
      </c>
      <c r="Q1204" t="s">
        <v>48</v>
      </c>
      <c r="R1204" s="14">
        <v>3306</v>
      </c>
      <c r="S1204" s="17" t="str">
        <f t="shared" si="36"/>
        <v>medium</v>
      </c>
      <c r="T1204">
        <v>26176</v>
      </c>
      <c r="U1204">
        <v>7</v>
      </c>
      <c r="V1204" s="17" t="s">
        <v>43</v>
      </c>
      <c r="W1204">
        <v>19</v>
      </c>
      <c r="X1204">
        <v>3</v>
      </c>
      <c r="Y1204">
        <v>4</v>
      </c>
      <c r="Z1204">
        <v>1</v>
      </c>
      <c r="AA1204">
        <v>7</v>
      </c>
      <c r="AB1204">
        <v>5</v>
      </c>
      <c r="AC1204">
        <v>2</v>
      </c>
      <c r="AD1204" s="14">
        <v>0</v>
      </c>
      <c r="AE1204" t="str">
        <f t="shared" si="37"/>
        <v>0-2 years</v>
      </c>
      <c r="AF1204" s="14">
        <v>0</v>
      </c>
      <c r="AG1204" s="14">
        <v>0</v>
      </c>
      <c r="AH1204" s="14">
        <v>0</v>
      </c>
    </row>
    <row r="1205" spans="1:34" x14ac:dyDescent="0.3">
      <c r="A1205" s="14">
        <v>53</v>
      </c>
      <c r="B1205" s="17" t="s">
        <v>43</v>
      </c>
      <c r="C1205" t="s">
        <v>36</v>
      </c>
      <c r="D1205">
        <v>1395</v>
      </c>
      <c r="E1205" s="17" t="s">
        <v>45</v>
      </c>
      <c r="F1205">
        <v>24</v>
      </c>
      <c r="G1205">
        <v>4</v>
      </c>
      <c r="H1205" t="s">
        <v>51</v>
      </c>
      <c r="I1205">
        <v>1689</v>
      </c>
      <c r="J1205">
        <v>2</v>
      </c>
      <c r="K1205" s="17" t="s">
        <v>46</v>
      </c>
      <c r="L1205">
        <v>48</v>
      </c>
      <c r="M1205">
        <v>4</v>
      </c>
      <c r="N1205">
        <v>3</v>
      </c>
      <c r="O1205" s="17" t="s">
        <v>54</v>
      </c>
      <c r="P1205" s="14">
        <v>4</v>
      </c>
      <c r="Q1205" t="s">
        <v>48</v>
      </c>
      <c r="R1205" s="14">
        <v>7005</v>
      </c>
      <c r="S1205" s="17" t="str">
        <f t="shared" si="36"/>
        <v>high</v>
      </c>
      <c r="T1205">
        <v>3458</v>
      </c>
      <c r="U1205">
        <v>3</v>
      </c>
      <c r="V1205" s="17" t="s">
        <v>43</v>
      </c>
      <c r="W1205">
        <v>15</v>
      </c>
      <c r="X1205">
        <v>3</v>
      </c>
      <c r="Y1205">
        <v>3</v>
      </c>
      <c r="Z1205">
        <v>0</v>
      </c>
      <c r="AA1205">
        <v>11</v>
      </c>
      <c r="AB1205">
        <v>2</v>
      </c>
      <c r="AC1205">
        <v>3</v>
      </c>
      <c r="AD1205" s="14">
        <v>4</v>
      </c>
      <c r="AE1205" t="str">
        <f t="shared" si="37"/>
        <v>3-5 years</v>
      </c>
      <c r="AF1205" s="14">
        <v>3</v>
      </c>
      <c r="AG1205" s="14">
        <v>1</v>
      </c>
      <c r="AH1205" s="14">
        <v>2</v>
      </c>
    </row>
    <row r="1206" spans="1:34" x14ac:dyDescent="0.3">
      <c r="A1206" s="14">
        <v>48</v>
      </c>
      <c r="B1206" s="17" t="s">
        <v>35</v>
      </c>
      <c r="C1206" t="s">
        <v>44</v>
      </c>
      <c r="D1206">
        <v>708</v>
      </c>
      <c r="E1206" s="17" t="s">
        <v>37</v>
      </c>
      <c r="F1206">
        <v>7</v>
      </c>
      <c r="G1206">
        <v>2</v>
      </c>
      <c r="H1206" t="s">
        <v>51</v>
      </c>
      <c r="I1206">
        <v>1691</v>
      </c>
      <c r="J1206">
        <v>4</v>
      </c>
      <c r="K1206" s="17" t="s">
        <v>39</v>
      </c>
      <c r="L1206">
        <v>95</v>
      </c>
      <c r="M1206">
        <v>3</v>
      </c>
      <c r="N1206">
        <v>1</v>
      </c>
      <c r="O1206" s="17" t="s">
        <v>57</v>
      </c>
      <c r="P1206" s="14">
        <v>3</v>
      </c>
      <c r="Q1206" t="s">
        <v>48</v>
      </c>
      <c r="R1206" s="14">
        <v>2655</v>
      </c>
      <c r="S1206" s="17" t="str">
        <f t="shared" si="36"/>
        <v>low</v>
      </c>
      <c r="T1206">
        <v>11740</v>
      </c>
      <c r="U1206">
        <v>2</v>
      </c>
      <c r="V1206" s="17" t="s">
        <v>35</v>
      </c>
      <c r="W1206">
        <v>11</v>
      </c>
      <c r="X1206">
        <v>3</v>
      </c>
      <c r="Y1206">
        <v>3</v>
      </c>
      <c r="Z1206">
        <v>2</v>
      </c>
      <c r="AA1206">
        <v>19</v>
      </c>
      <c r="AB1206">
        <v>3</v>
      </c>
      <c r="AC1206">
        <v>3</v>
      </c>
      <c r="AD1206" s="14">
        <v>9</v>
      </c>
      <c r="AE1206" t="str">
        <f t="shared" si="37"/>
        <v>6-10 years</v>
      </c>
      <c r="AF1206" s="14">
        <v>7</v>
      </c>
      <c r="AG1206" s="14">
        <v>7</v>
      </c>
      <c r="AH1206" s="14">
        <v>7</v>
      </c>
    </row>
    <row r="1207" spans="1:34" x14ac:dyDescent="0.3">
      <c r="A1207" s="14">
        <v>32</v>
      </c>
      <c r="B1207" s="17" t="s">
        <v>35</v>
      </c>
      <c r="C1207" t="s">
        <v>36</v>
      </c>
      <c r="D1207">
        <v>1259</v>
      </c>
      <c r="E1207" s="17" t="s">
        <v>45</v>
      </c>
      <c r="F1207">
        <v>2</v>
      </c>
      <c r="G1207">
        <v>4</v>
      </c>
      <c r="H1207" t="s">
        <v>38</v>
      </c>
      <c r="I1207">
        <v>1692</v>
      </c>
      <c r="J1207">
        <v>4</v>
      </c>
      <c r="K1207" s="17" t="s">
        <v>46</v>
      </c>
      <c r="L1207">
        <v>95</v>
      </c>
      <c r="M1207">
        <v>3</v>
      </c>
      <c r="N1207">
        <v>1</v>
      </c>
      <c r="O1207" s="17" t="s">
        <v>50</v>
      </c>
      <c r="P1207" s="14">
        <v>2</v>
      </c>
      <c r="Q1207" t="s">
        <v>41</v>
      </c>
      <c r="R1207" s="14">
        <v>1393</v>
      </c>
      <c r="S1207" s="17" t="str">
        <f t="shared" si="36"/>
        <v>low</v>
      </c>
      <c r="T1207">
        <v>24852</v>
      </c>
      <c r="U1207">
        <v>1</v>
      </c>
      <c r="V1207" s="17" t="s">
        <v>43</v>
      </c>
      <c r="W1207">
        <v>12</v>
      </c>
      <c r="X1207">
        <v>3</v>
      </c>
      <c r="Y1207">
        <v>1</v>
      </c>
      <c r="Z1207">
        <v>0</v>
      </c>
      <c r="AA1207">
        <v>1</v>
      </c>
      <c r="AB1207">
        <v>2</v>
      </c>
      <c r="AC1207">
        <v>3</v>
      </c>
      <c r="AD1207" s="14">
        <v>1</v>
      </c>
      <c r="AE1207" t="str">
        <f t="shared" si="37"/>
        <v>0-2 years</v>
      </c>
      <c r="AF1207" s="14">
        <v>0</v>
      </c>
      <c r="AG1207" s="14">
        <v>0</v>
      </c>
      <c r="AH1207" s="14">
        <v>0</v>
      </c>
    </row>
    <row r="1208" spans="1:34" x14ac:dyDescent="0.3">
      <c r="A1208" s="14">
        <v>26</v>
      </c>
      <c r="B1208" s="17" t="s">
        <v>43</v>
      </c>
      <c r="C1208" t="s">
        <v>55</v>
      </c>
      <c r="D1208">
        <v>786</v>
      </c>
      <c r="E1208" s="17" t="s">
        <v>45</v>
      </c>
      <c r="F1208">
        <v>7</v>
      </c>
      <c r="G1208">
        <v>3</v>
      </c>
      <c r="H1208" t="s">
        <v>51</v>
      </c>
      <c r="I1208">
        <v>1693</v>
      </c>
      <c r="J1208">
        <v>4</v>
      </c>
      <c r="K1208" s="17" t="s">
        <v>46</v>
      </c>
      <c r="L1208">
        <v>76</v>
      </c>
      <c r="M1208">
        <v>3</v>
      </c>
      <c r="N1208">
        <v>1</v>
      </c>
      <c r="O1208" s="17" t="s">
        <v>50</v>
      </c>
      <c r="P1208" s="14">
        <v>4</v>
      </c>
      <c r="Q1208" t="s">
        <v>41</v>
      </c>
      <c r="R1208" s="14">
        <v>2570</v>
      </c>
      <c r="S1208" s="17" t="str">
        <f t="shared" si="36"/>
        <v>low</v>
      </c>
      <c r="T1208">
        <v>11925</v>
      </c>
      <c r="U1208">
        <v>1</v>
      </c>
      <c r="V1208" s="17" t="s">
        <v>43</v>
      </c>
      <c r="W1208">
        <v>20</v>
      </c>
      <c r="X1208">
        <v>4</v>
      </c>
      <c r="Y1208">
        <v>3</v>
      </c>
      <c r="Z1208">
        <v>0</v>
      </c>
      <c r="AA1208">
        <v>7</v>
      </c>
      <c r="AB1208">
        <v>5</v>
      </c>
      <c r="AC1208">
        <v>3</v>
      </c>
      <c r="AD1208" s="14">
        <v>7</v>
      </c>
      <c r="AE1208" t="str">
        <f t="shared" si="37"/>
        <v>6-10 years</v>
      </c>
      <c r="AF1208" s="14">
        <v>7</v>
      </c>
      <c r="AG1208" s="14">
        <v>5</v>
      </c>
      <c r="AH1208" s="14">
        <v>7</v>
      </c>
    </row>
    <row r="1209" spans="1:34" x14ac:dyDescent="0.3">
      <c r="A1209" s="14">
        <v>55</v>
      </c>
      <c r="B1209" s="17" t="s">
        <v>43</v>
      </c>
      <c r="C1209" t="s">
        <v>36</v>
      </c>
      <c r="D1209">
        <v>1441</v>
      </c>
      <c r="E1209" s="17" t="s">
        <v>45</v>
      </c>
      <c r="F1209">
        <v>22</v>
      </c>
      <c r="G1209">
        <v>3</v>
      </c>
      <c r="H1209" t="s">
        <v>60</v>
      </c>
      <c r="I1209">
        <v>1694</v>
      </c>
      <c r="J1209">
        <v>1</v>
      </c>
      <c r="K1209" s="17" t="s">
        <v>46</v>
      </c>
      <c r="L1209">
        <v>94</v>
      </c>
      <c r="M1209">
        <v>2</v>
      </c>
      <c r="N1209">
        <v>1</v>
      </c>
      <c r="O1209" s="17" t="s">
        <v>47</v>
      </c>
      <c r="P1209" s="14">
        <v>2</v>
      </c>
      <c r="Q1209" t="s">
        <v>52</v>
      </c>
      <c r="R1209" s="14">
        <v>3537</v>
      </c>
      <c r="S1209" s="17" t="str">
        <f t="shared" si="36"/>
        <v>medium</v>
      </c>
      <c r="T1209">
        <v>23737</v>
      </c>
      <c r="U1209">
        <v>5</v>
      </c>
      <c r="V1209" s="17" t="s">
        <v>43</v>
      </c>
      <c r="W1209">
        <v>12</v>
      </c>
      <c r="X1209">
        <v>3</v>
      </c>
      <c r="Y1209">
        <v>4</v>
      </c>
      <c r="Z1209">
        <v>1</v>
      </c>
      <c r="AA1209">
        <v>8</v>
      </c>
      <c r="AB1209">
        <v>1</v>
      </c>
      <c r="AC1209">
        <v>3</v>
      </c>
      <c r="AD1209" s="14">
        <v>4</v>
      </c>
      <c r="AE1209" t="str">
        <f t="shared" si="37"/>
        <v>3-5 years</v>
      </c>
      <c r="AF1209" s="14">
        <v>2</v>
      </c>
      <c r="AG1209" s="14">
        <v>1</v>
      </c>
      <c r="AH1209" s="14">
        <v>2</v>
      </c>
    </row>
    <row r="1210" spans="1:34" x14ac:dyDescent="0.3">
      <c r="A1210" s="14">
        <v>34</v>
      </c>
      <c r="B1210" s="17" t="s">
        <v>43</v>
      </c>
      <c r="C1210" t="s">
        <v>36</v>
      </c>
      <c r="D1210">
        <v>1157</v>
      </c>
      <c r="E1210" s="17" t="s">
        <v>45</v>
      </c>
      <c r="F1210">
        <v>5</v>
      </c>
      <c r="G1210">
        <v>2</v>
      </c>
      <c r="H1210" t="s">
        <v>51</v>
      </c>
      <c r="I1210">
        <v>1696</v>
      </c>
      <c r="J1210">
        <v>2</v>
      </c>
      <c r="K1210" s="17" t="s">
        <v>46</v>
      </c>
      <c r="L1210">
        <v>57</v>
      </c>
      <c r="M1210">
        <v>2</v>
      </c>
      <c r="N1210">
        <v>2</v>
      </c>
      <c r="O1210" s="17" t="s">
        <v>50</v>
      </c>
      <c r="P1210" s="14">
        <v>4</v>
      </c>
      <c r="Q1210" t="s">
        <v>48</v>
      </c>
      <c r="R1210" s="14">
        <v>3986</v>
      </c>
      <c r="S1210" s="17" t="str">
        <f t="shared" si="36"/>
        <v>medium</v>
      </c>
      <c r="T1210">
        <v>11912</v>
      </c>
      <c r="U1210">
        <v>1</v>
      </c>
      <c r="V1210" s="17" t="s">
        <v>43</v>
      </c>
      <c r="W1210">
        <v>14</v>
      </c>
      <c r="X1210">
        <v>3</v>
      </c>
      <c r="Y1210">
        <v>3</v>
      </c>
      <c r="Z1210">
        <v>1</v>
      </c>
      <c r="AA1210">
        <v>15</v>
      </c>
      <c r="AB1210">
        <v>3</v>
      </c>
      <c r="AC1210">
        <v>4</v>
      </c>
      <c r="AD1210" s="14">
        <v>15</v>
      </c>
      <c r="AE1210" t="str">
        <f t="shared" si="37"/>
        <v>10+ years</v>
      </c>
      <c r="AF1210" s="14">
        <v>10</v>
      </c>
      <c r="AG1210" s="14">
        <v>4</v>
      </c>
      <c r="AH1210" s="14">
        <v>13</v>
      </c>
    </row>
    <row r="1211" spans="1:34" x14ac:dyDescent="0.3">
      <c r="A1211" s="14">
        <v>60</v>
      </c>
      <c r="B1211" s="17" t="s">
        <v>43</v>
      </c>
      <c r="C1211" t="s">
        <v>36</v>
      </c>
      <c r="D1211">
        <v>370</v>
      </c>
      <c r="E1211" s="17" t="s">
        <v>45</v>
      </c>
      <c r="F1211">
        <v>1</v>
      </c>
      <c r="G1211">
        <v>4</v>
      </c>
      <c r="H1211" t="s">
        <v>51</v>
      </c>
      <c r="I1211">
        <v>1697</v>
      </c>
      <c r="J1211">
        <v>3</v>
      </c>
      <c r="K1211" s="17" t="s">
        <v>46</v>
      </c>
      <c r="L1211">
        <v>92</v>
      </c>
      <c r="M1211">
        <v>1</v>
      </c>
      <c r="N1211">
        <v>3</v>
      </c>
      <c r="O1211" s="17" t="s">
        <v>54</v>
      </c>
      <c r="P1211" s="14">
        <v>4</v>
      </c>
      <c r="Q1211" t="s">
        <v>52</v>
      </c>
      <c r="R1211" s="14">
        <v>10883</v>
      </c>
      <c r="S1211" s="17" t="str">
        <f t="shared" si="36"/>
        <v>high</v>
      </c>
      <c r="T1211">
        <v>20467</v>
      </c>
      <c r="U1211">
        <v>3</v>
      </c>
      <c r="V1211" s="17" t="s">
        <v>43</v>
      </c>
      <c r="W1211">
        <v>20</v>
      </c>
      <c r="X1211">
        <v>4</v>
      </c>
      <c r="Y1211">
        <v>3</v>
      </c>
      <c r="Z1211">
        <v>1</v>
      </c>
      <c r="AA1211">
        <v>19</v>
      </c>
      <c r="AB1211">
        <v>2</v>
      </c>
      <c r="AC1211">
        <v>4</v>
      </c>
      <c r="AD1211" s="14">
        <v>1</v>
      </c>
      <c r="AE1211" t="str">
        <f t="shared" si="37"/>
        <v>0-2 years</v>
      </c>
      <c r="AF1211" s="14">
        <v>0</v>
      </c>
      <c r="AG1211" s="14">
        <v>0</v>
      </c>
      <c r="AH1211" s="14">
        <v>0</v>
      </c>
    </row>
    <row r="1212" spans="1:34" x14ac:dyDescent="0.3">
      <c r="A1212" s="14">
        <v>33</v>
      </c>
      <c r="B1212" s="17" t="s">
        <v>43</v>
      </c>
      <c r="C1212" t="s">
        <v>36</v>
      </c>
      <c r="D1212">
        <v>267</v>
      </c>
      <c r="E1212" s="17" t="s">
        <v>45</v>
      </c>
      <c r="F1212">
        <v>21</v>
      </c>
      <c r="G1212">
        <v>3</v>
      </c>
      <c r="H1212" t="s">
        <v>51</v>
      </c>
      <c r="I1212">
        <v>1698</v>
      </c>
      <c r="J1212">
        <v>2</v>
      </c>
      <c r="K1212" s="17" t="s">
        <v>46</v>
      </c>
      <c r="L1212">
        <v>79</v>
      </c>
      <c r="M1212">
        <v>4</v>
      </c>
      <c r="N1212">
        <v>1</v>
      </c>
      <c r="O1212" s="17" t="s">
        <v>50</v>
      </c>
      <c r="P1212" s="14">
        <v>2</v>
      </c>
      <c r="Q1212" t="s">
        <v>48</v>
      </c>
      <c r="R1212" s="14">
        <v>2028</v>
      </c>
      <c r="S1212" s="17" t="str">
        <f t="shared" si="36"/>
        <v>low</v>
      </c>
      <c r="T1212">
        <v>13637</v>
      </c>
      <c r="U1212">
        <v>1</v>
      </c>
      <c r="V1212" s="17" t="s">
        <v>43</v>
      </c>
      <c r="W1212">
        <v>18</v>
      </c>
      <c r="X1212">
        <v>3</v>
      </c>
      <c r="Y1212">
        <v>4</v>
      </c>
      <c r="Z1212">
        <v>3</v>
      </c>
      <c r="AA1212">
        <v>14</v>
      </c>
      <c r="AB1212">
        <v>6</v>
      </c>
      <c r="AC1212">
        <v>3</v>
      </c>
      <c r="AD1212" s="14">
        <v>14</v>
      </c>
      <c r="AE1212" t="str">
        <f t="shared" si="37"/>
        <v>10+ years</v>
      </c>
      <c r="AF1212" s="14">
        <v>11</v>
      </c>
      <c r="AG1212" s="14">
        <v>2</v>
      </c>
      <c r="AH1212" s="14">
        <v>13</v>
      </c>
    </row>
    <row r="1213" spans="1:34" x14ac:dyDescent="0.3">
      <c r="A1213" s="14">
        <v>37</v>
      </c>
      <c r="B1213" s="17" t="s">
        <v>43</v>
      </c>
      <c r="C1213" t="s">
        <v>44</v>
      </c>
      <c r="D1213">
        <v>1278</v>
      </c>
      <c r="E1213" s="17" t="s">
        <v>37</v>
      </c>
      <c r="F1213">
        <v>1</v>
      </c>
      <c r="G1213">
        <v>4</v>
      </c>
      <c r="H1213" t="s">
        <v>51</v>
      </c>
      <c r="I1213">
        <v>1700</v>
      </c>
      <c r="J1213">
        <v>3</v>
      </c>
      <c r="K1213" s="17" t="s">
        <v>46</v>
      </c>
      <c r="L1213">
        <v>31</v>
      </c>
      <c r="M1213">
        <v>1</v>
      </c>
      <c r="N1213">
        <v>2</v>
      </c>
      <c r="O1213" s="17" t="s">
        <v>40</v>
      </c>
      <c r="P1213" s="14">
        <v>4</v>
      </c>
      <c r="Q1213" t="s">
        <v>52</v>
      </c>
      <c r="R1213" s="14">
        <v>9525</v>
      </c>
      <c r="S1213" s="17" t="str">
        <f t="shared" si="36"/>
        <v>high</v>
      </c>
      <c r="T1213">
        <v>7677</v>
      </c>
      <c r="U1213">
        <v>1</v>
      </c>
      <c r="V1213" s="17" t="s">
        <v>43</v>
      </c>
      <c r="W1213">
        <v>14</v>
      </c>
      <c r="X1213">
        <v>3</v>
      </c>
      <c r="Y1213">
        <v>3</v>
      </c>
      <c r="Z1213">
        <v>2</v>
      </c>
      <c r="AA1213">
        <v>6</v>
      </c>
      <c r="AB1213">
        <v>2</v>
      </c>
      <c r="AC1213">
        <v>2</v>
      </c>
      <c r="AD1213" s="14">
        <v>6</v>
      </c>
      <c r="AE1213" t="str">
        <f t="shared" si="37"/>
        <v>6-10 years</v>
      </c>
      <c r="AF1213" s="14">
        <v>3</v>
      </c>
      <c r="AG1213" s="14">
        <v>1</v>
      </c>
      <c r="AH1213" s="14">
        <v>3</v>
      </c>
    </row>
    <row r="1214" spans="1:34" x14ac:dyDescent="0.3">
      <c r="A1214" s="14">
        <v>34</v>
      </c>
      <c r="B1214" s="17" t="s">
        <v>43</v>
      </c>
      <c r="C1214" t="s">
        <v>36</v>
      </c>
      <c r="D1214">
        <v>678</v>
      </c>
      <c r="E1214" s="17" t="s">
        <v>45</v>
      </c>
      <c r="F1214">
        <v>19</v>
      </c>
      <c r="G1214">
        <v>3</v>
      </c>
      <c r="H1214" t="s">
        <v>38</v>
      </c>
      <c r="I1214">
        <v>1701</v>
      </c>
      <c r="J1214">
        <v>2</v>
      </c>
      <c r="K1214" s="17" t="s">
        <v>39</v>
      </c>
      <c r="L1214">
        <v>35</v>
      </c>
      <c r="M1214">
        <v>2</v>
      </c>
      <c r="N1214">
        <v>1</v>
      </c>
      <c r="O1214" s="17" t="s">
        <v>47</v>
      </c>
      <c r="P1214" s="14">
        <v>4</v>
      </c>
      <c r="Q1214" t="s">
        <v>48</v>
      </c>
      <c r="R1214" s="14">
        <v>2929</v>
      </c>
      <c r="S1214" s="17" t="str">
        <f t="shared" si="36"/>
        <v>low</v>
      </c>
      <c r="T1214">
        <v>20338</v>
      </c>
      <c r="U1214">
        <v>1</v>
      </c>
      <c r="V1214" s="17" t="s">
        <v>43</v>
      </c>
      <c r="W1214">
        <v>12</v>
      </c>
      <c r="X1214">
        <v>3</v>
      </c>
      <c r="Y1214">
        <v>2</v>
      </c>
      <c r="Z1214">
        <v>0</v>
      </c>
      <c r="AA1214">
        <v>10</v>
      </c>
      <c r="AB1214">
        <v>3</v>
      </c>
      <c r="AC1214">
        <v>3</v>
      </c>
      <c r="AD1214" s="14">
        <v>10</v>
      </c>
      <c r="AE1214" t="str">
        <f t="shared" si="37"/>
        <v>6-10 years</v>
      </c>
      <c r="AF1214" s="14">
        <v>9</v>
      </c>
      <c r="AG1214" s="14">
        <v>8</v>
      </c>
      <c r="AH1214" s="14">
        <v>7</v>
      </c>
    </row>
    <row r="1215" spans="1:34" x14ac:dyDescent="0.3">
      <c r="A1215" s="14">
        <v>23</v>
      </c>
      <c r="B1215" s="17" t="s">
        <v>35</v>
      </c>
      <c r="C1215" t="s">
        <v>36</v>
      </c>
      <c r="D1215">
        <v>427</v>
      </c>
      <c r="E1215" s="17" t="s">
        <v>37</v>
      </c>
      <c r="F1215">
        <v>7</v>
      </c>
      <c r="G1215">
        <v>3</v>
      </c>
      <c r="H1215" t="s">
        <v>38</v>
      </c>
      <c r="I1215">
        <v>1702</v>
      </c>
      <c r="J1215">
        <v>3</v>
      </c>
      <c r="K1215" s="17" t="s">
        <v>46</v>
      </c>
      <c r="L1215">
        <v>99</v>
      </c>
      <c r="M1215">
        <v>3</v>
      </c>
      <c r="N1215">
        <v>1</v>
      </c>
      <c r="O1215" s="17" t="s">
        <v>57</v>
      </c>
      <c r="P1215" s="14">
        <v>4</v>
      </c>
      <c r="Q1215" t="s">
        <v>52</v>
      </c>
      <c r="R1215" s="14">
        <v>2275</v>
      </c>
      <c r="S1215" s="17" t="str">
        <f t="shared" si="36"/>
        <v>low</v>
      </c>
      <c r="T1215">
        <v>25103</v>
      </c>
      <c r="U1215">
        <v>1</v>
      </c>
      <c r="V1215" s="17" t="s">
        <v>35</v>
      </c>
      <c r="W1215">
        <v>21</v>
      </c>
      <c r="X1215">
        <v>4</v>
      </c>
      <c r="Y1215">
        <v>2</v>
      </c>
      <c r="Z1215">
        <v>1</v>
      </c>
      <c r="AA1215">
        <v>3</v>
      </c>
      <c r="AB1215">
        <v>2</v>
      </c>
      <c r="AC1215">
        <v>3</v>
      </c>
      <c r="AD1215" s="14">
        <v>3</v>
      </c>
      <c r="AE1215" t="str">
        <f t="shared" si="37"/>
        <v>3-5 years</v>
      </c>
      <c r="AF1215" s="14">
        <v>2</v>
      </c>
      <c r="AG1215" s="14">
        <v>0</v>
      </c>
      <c r="AH1215" s="14">
        <v>2</v>
      </c>
    </row>
    <row r="1216" spans="1:34" x14ac:dyDescent="0.3">
      <c r="A1216" s="14">
        <v>44</v>
      </c>
      <c r="B1216" s="17" t="s">
        <v>43</v>
      </c>
      <c r="C1216" t="s">
        <v>36</v>
      </c>
      <c r="D1216">
        <v>921</v>
      </c>
      <c r="E1216" s="17" t="s">
        <v>45</v>
      </c>
      <c r="F1216">
        <v>2</v>
      </c>
      <c r="G1216">
        <v>3</v>
      </c>
      <c r="H1216" t="s">
        <v>38</v>
      </c>
      <c r="I1216">
        <v>1703</v>
      </c>
      <c r="J1216">
        <v>3</v>
      </c>
      <c r="K1216" s="17" t="s">
        <v>39</v>
      </c>
      <c r="L1216">
        <v>96</v>
      </c>
      <c r="M1216">
        <v>4</v>
      </c>
      <c r="N1216">
        <v>3</v>
      </c>
      <c r="O1216" s="17" t="s">
        <v>54</v>
      </c>
      <c r="P1216" s="14">
        <v>4</v>
      </c>
      <c r="Q1216" t="s">
        <v>48</v>
      </c>
      <c r="R1216" s="14">
        <v>7879</v>
      </c>
      <c r="S1216" s="17" t="str">
        <f t="shared" si="36"/>
        <v>high</v>
      </c>
      <c r="T1216">
        <v>14810</v>
      </c>
      <c r="U1216">
        <v>1</v>
      </c>
      <c r="V1216" s="17" t="s">
        <v>35</v>
      </c>
      <c r="W1216">
        <v>19</v>
      </c>
      <c r="X1216">
        <v>3</v>
      </c>
      <c r="Y1216">
        <v>2</v>
      </c>
      <c r="Z1216">
        <v>1</v>
      </c>
      <c r="AA1216">
        <v>9</v>
      </c>
      <c r="AB1216">
        <v>2</v>
      </c>
      <c r="AC1216">
        <v>3</v>
      </c>
      <c r="AD1216" s="14">
        <v>8</v>
      </c>
      <c r="AE1216" t="str">
        <f t="shared" si="37"/>
        <v>6-10 years</v>
      </c>
      <c r="AF1216" s="14">
        <v>7</v>
      </c>
      <c r="AG1216" s="14">
        <v>6</v>
      </c>
      <c r="AH1216" s="14">
        <v>7</v>
      </c>
    </row>
    <row r="1217" spans="1:34" x14ac:dyDescent="0.3">
      <c r="A1217" s="14">
        <v>35</v>
      </c>
      <c r="B1217" s="17" t="s">
        <v>43</v>
      </c>
      <c r="C1217" t="s">
        <v>44</v>
      </c>
      <c r="D1217">
        <v>146</v>
      </c>
      <c r="E1217" s="17" t="s">
        <v>45</v>
      </c>
      <c r="F1217">
        <v>2</v>
      </c>
      <c r="G1217">
        <v>4</v>
      </c>
      <c r="H1217" t="s">
        <v>51</v>
      </c>
      <c r="I1217">
        <v>1704</v>
      </c>
      <c r="J1217">
        <v>1</v>
      </c>
      <c r="K1217" s="17" t="s">
        <v>46</v>
      </c>
      <c r="L1217">
        <v>79</v>
      </c>
      <c r="M1217">
        <v>2</v>
      </c>
      <c r="N1217">
        <v>1</v>
      </c>
      <c r="O1217" s="17" t="s">
        <v>47</v>
      </c>
      <c r="P1217" s="14">
        <v>4</v>
      </c>
      <c r="Q1217" t="s">
        <v>41</v>
      </c>
      <c r="R1217" s="14">
        <v>4930</v>
      </c>
      <c r="S1217" s="17" t="str">
        <f t="shared" si="36"/>
        <v>medium</v>
      </c>
      <c r="T1217">
        <v>13970</v>
      </c>
      <c r="U1217">
        <v>0</v>
      </c>
      <c r="V1217" s="17" t="s">
        <v>35</v>
      </c>
      <c r="W1217">
        <v>14</v>
      </c>
      <c r="X1217">
        <v>3</v>
      </c>
      <c r="Y1217">
        <v>3</v>
      </c>
      <c r="Z1217">
        <v>0</v>
      </c>
      <c r="AA1217">
        <v>6</v>
      </c>
      <c r="AB1217">
        <v>2</v>
      </c>
      <c r="AC1217">
        <v>4</v>
      </c>
      <c r="AD1217" s="14">
        <v>5</v>
      </c>
      <c r="AE1217" t="str">
        <f t="shared" si="37"/>
        <v>3-5 years</v>
      </c>
      <c r="AF1217" s="14">
        <v>4</v>
      </c>
      <c r="AG1217" s="14">
        <v>1</v>
      </c>
      <c r="AH1217" s="14">
        <v>4</v>
      </c>
    </row>
    <row r="1218" spans="1:34" x14ac:dyDescent="0.3">
      <c r="A1218" s="14">
        <v>43</v>
      </c>
      <c r="B1218" s="17" t="s">
        <v>43</v>
      </c>
      <c r="C1218" t="s">
        <v>36</v>
      </c>
      <c r="D1218">
        <v>1179</v>
      </c>
      <c r="E1218" s="17" t="s">
        <v>37</v>
      </c>
      <c r="F1218">
        <v>2</v>
      </c>
      <c r="G1218">
        <v>3</v>
      </c>
      <c r="H1218" t="s">
        <v>51</v>
      </c>
      <c r="I1218">
        <v>1706</v>
      </c>
      <c r="J1218">
        <v>4</v>
      </c>
      <c r="K1218" s="17" t="s">
        <v>46</v>
      </c>
      <c r="L1218">
        <v>73</v>
      </c>
      <c r="M1218">
        <v>3</v>
      </c>
      <c r="N1218">
        <v>2</v>
      </c>
      <c r="O1218" s="17" t="s">
        <v>40</v>
      </c>
      <c r="P1218" s="14">
        <v>4</v>
      </c>
      <c r="Q1218" t="s">
        <v>48</v>
      </c>
      <c r="R1218" s="14">
        <v>7847</v>
      </c>
      <c r="S1218" s="17" t="str">
        <f t="shared" ref="S1218:S1281" si="38">IF(R1218&lt;=3000, "low",IF(R1218&lt;=7000,"medium","high"))</f>
        <v>high</v>
      </c>
      <c r="T1218">
        <v>6069</v>
      </c>
      <c r="U1218">
        <v>1</v>
      </c>
      <c r="V1218" s="17" t="s">
        <v>35</v>
      </c>
      <c r="W1218">
        <v>17</v>
      </c>
      <c r="X1218">
        <v>3</v>
      </c>
      <c r="Y1218">
        <v>1</v>
      </c>
      <c r="Z1218">
        <v>1</v>
      </c>
      <c r="AA1218">
        <v>10</v>
      </c>
      <c r="AB1218">
        <v>3</v>
      </c>
      <c r="AC1218">
        <v>3</v>
      </c>
      <c r="AD1218" s="14">
        <v>10</v>
      </c>
      <c r="AE1218" t="str">
        <f t="shared" ref="AE1218:AE1281" si="39">IF(AD1218&lt;=2,"0-2 years", IF(AD1218&lt;=5,"3-5 years", IF(AD1218&lt;=10,"6-10 years","10+ years")))</f>
        <v>6-10 years</v>
      </c>
      <c r="AF1218" s="14">
        <v>9</v>
      </c>
      <c r="AG1218" s="14">
        <v>8</v>
      </c>
      <c r="AH1218" s="14">
        <v>8</v>
      </c>
    </row>
    <row r="1219" spans="1:34" x14ac:dyDescent="0.3">
      <c r="A1219" s="14">
        <v>24</v>
      </c>
      <c r="B1219" s="17" t="s">
        <v>43</v>
      </c>
      <c r="C1219" t="s">
        <v>36</v>
      </c>
      <c r="D1219">
        <v>581</v>
      </c>
      <c r="E1219" s="17" t="s">
        <v>45</v>
      </c>
      <c r="F1219">
        <v>9</v>
      </c>
      <c r="G1219">
        <v>3</v>
      </c>
      <c r="H1219" t="s">
        <v>51</v>
      </c>
      <c r="I1219">
        <v>1707</v>
      </c>
      <c r="J1219">
        <v>3</v>
      </c>
      <c r="K1219" s="17" t="s">
        <v>46</v>
      </c>
      <c r="L1219">
        <v>62</v>
      </c>
      <c r="M1219">
        <v>4</v>
      </c>
      <c r="N1219">
        <v>1</v>
      </c>
      <c r="O1219" s="17" t="s">
        <v>47</v>
      </c>
      <c r="P1219" s="14">
        <v>3</v>
      </c>
      <c r="Q1219" t="s">
        <v>48</v>
      </c>
      <c r="R1219" s="14">
        <v>4401</v>
      </c>
      <c r="S1219" s="17" t="str">
        <f t="shared" si="38"/>
        <v>medium</v>
      </c>
      <c r="T1219">
        <v>17616</v>
      </c>
      <c r="U1219">
        <v>1</v>
      </c>
      <c r="V1219" s="17" t="s">
        <v>43</v>
      </c>
      <c r="W1219">
        <v>16</v>
      </c>
      <c r="X1219">
        <v>3</v>
      </c>
      <c r="Y1219">
        <v>4</v>
      </c>
      <c r="Z1219">
        <v>1</v>
      </c>
      <c r="AA1219">
        <v>5</v>
      </c>
      <c r="AB1219">
        <v>1</v>
      </c>
      <c r="AC1219">
        <v>3</v>
      </c>
      <c r="AD1219" s="14">
        <v>5</v>
      </c>
      <c r="AE1219" t="str">
        <f t="shared" si="39"/>
        <v>3-5 years</v>
      </c>
      <c r="AF1219" s="14">
        <v>3</v>
      </c>
      <c r="AG1219" s="14">
        <v>0</v>
      </c>
      <c r="AH1219" s="14">
        <v>4</v>
      </c>
    </row>
    <row r="1220" spans="1:34" x14ac:dyDescent="0.3">
      <c r="A1220" s="14">
        <v>41</v>
      </c>
      <c r="B1220" s="17" t="s">
        <v>43</v>
      </c>
      <c r="C1220" t="s">
        <v>36</v>
      </c>
      <c r="D1220">
        <v>918</v>
      </c>
      <c r="E1220" s="17" t="s">
        <v>37</v>
      </c>
      <c r="F1220">
        <v>6</v>
      </c>
      <c r="G1220">
        <v>3</v>
      </c>
      <c r="H1220" t="s">
        <v>59</v>
      </c>
      <c r="I1220">
        <v>1708</v>
      </c>
      <c r="J1220">
        <v>4</v>
      </c>
      <c r="K1220" s="17" t="s">
        <v>46</v>
      </c>
      <c r="L1220">
        <v>35</v>
      </c>
      <c r="M1220">
        <v>3</v>
      </c>
      <c r="N1220">
        <v>3</v>
      </c>
      <c r="O1220" s="17" t="s">
        <v>40</v>
      </c>
      <c r="P1220" s="14">
        <v>3</v>
      </c>
      <c r="Q1220" t="s">
        <v>41</v>
      </c>
      <c r="R1220" s="14">
        <v>9241</v>
      </c>
      <c r="S1220" s="17" t="str">
        <f t="shared" si="38"/>
        <v>high</v>
      </c>
      <c r="T1220">
        <v>15869</v>
      </c>
      <c r="U1220">
        <v>1</v>
      </c>
      <c r="V1220" s="17" t="s">
        <v>43</v>
      </c>
      <c r="W1220">
        <v>12</v>
      </c>
      <c r="X1220">
        <v>3</v>
      </c>
      <c r="Y1220">
        <v>2</v>
      </c>
      <c r="Z1220">
        <v>0</v>
      </c>
      <c r="AA1220">
        <v>10</v>
      </c>
      <c r="AB1220">
        <v>3</v>
      </c>
      <c r="AC1220">
        <v>3</v>
      </c>
      <c r="AD1220" s="14">
        <v>10</v>
      </c>
      <c r="AE1220" t="str">
        <f t="shared" si="39"/>
        <v>6-10 years</v>
      </c>
      <c r="AF1220" s="14">
        <v>8</v>
      </c>
      <c r="AG1220" s="14">
        <v>8</v>
      </c>
      <c r="AH1220" s="14">
        <v>7</v>
      </c>
    </row>
    <row r="1221" spans="1:34" x14ac:dyDescent="0.3">
      <c r="A1221" s="14">
        <v>29</v>
      </c>
      <c r="B1221" s="17" t="s">
        <v>43</v>
      </c>
      <c r="C1221" t="s">
        <v>36</v>
      </c>
      <c r="D1221">
        <v>1082</v>
      </c>
      <c r="E1221" s="17" t="s">
        <v>45</v>
      </c>
      <c r="F1221">
        <v>9</v>
      </c>
      <c r="G1221">
        <v>4</v>
      </c>
      <c r="H1221" t="s">
        <v>51</v>
      </c>
      <c r="I1221">
        <v>1709</v>
      </c>
      <c r="J1221">
        <v>4</v>
      </c>
      <c r="K1221" s="17" t="s">
        <v>39</v>
      </c>
      <c r="L1221">
        <v>43</v>
      </c>
      <c r="M1221">
        <v>3</v>
      </c>
      <c r="N1221">
        <v>1</v>
      </c>
      <c r="O1221" s="17" t="s">
        <v>50</v>
      </c>
      <c r="P1221" s="14">
        <v>3</v>
      </c>
      <c r="Q1221" t="s">
        <v>48</v>
      </c>
      <c r="R1221" s="14">
        <v>2974</v>
      </c>
      <c r="S1221" s="17" t="str">
        <f t="shared" si="38"/>
        <v>low</v>
      </c>
      <c r="T1221">
        <v>25412</v>
      </c>
      <c r="U1221">
        <v>9</v>
      </c>
      <c r="V1221" s="17" t="s">
        <v>43</v>
      </c>
      <c r="W1221">
        <v>17</v>
      </c>
      <c r="X1221">
        <v>3</v>
      </c>
      <c r="Y1221">
        <v>3</v>
      </c>
      <c r="Z1221">
        <v>1</v>
      </c>
      <c r="AA1221">
        <v>9</v>
      </c>
      <c r="AB1221">
        <v>2</v>
      </c>
      <c r="AC1221">
        <v>3</v>
      </c>
      <c r="AD1221" s="14">
        <v>5</v>
      </c>
      <c r="AE1221" t="str">
        <f t="shared" si="39"/>
        <v>3-5 years</v>
      </c>
      <c r="AF1221" s="14">
        <v>3</v>
      </c>
      <c r="AG1221" s="14">
        <v>1</v>
      </c>
      <c r="AH1221" s="14">
        <v>2</v>
      </c>
    </row>
    <row r="1222" spans="1:34" x14ac:dyDescent="0.3">
      <c r="A1222" s="14">
        <v>36</v>
      </c>
      <c r="B1222" s="17" t="s">
        <v>43</v>
      </c>
      <c r="C1222" t="s">
        <v>36</v>
      </c>
      <c r="D1222">
        <v>530</v>
      </c>
      <c r="E1222" s="17" t="s">
        <v>37</v>
      </c>
      <c r="F1222">
        <v>2</v>
      </c>
      <c r="G1222">
        <v>4</v>
      </c>
      <c r="H1222" t="s">
        <v>38</v>
      </c>
      <c r="I1222">
        <v>1710</v>
      </c>
      <c r="J1222">
        <v>3</v>
      </c>
      <c r="K1222" s="17" t="s">
        <v>39</v>
      </c>
      <c r="L1222">
        <v>51</v>
      </c>
      <c r="M1222">
        <v>3</v>
      </c>
      <c r="N1222">
        <v>2</v>
      </c>
      <c r="O1222" s="17" t="s">
        <v>57</v>
      </c>
      <c r="P1222" s="14">
        <v>4</v>
      </c>
      <c r="Q1222" t="s">
        <v>41</v>
      </c>
      <c r="R1222" s="14">
        <v>4502</v>
      </c>
      <c r="S1222" s="17" t="str">
        <f t="shared" si="38"/>
        <v>medium</v>
      </c>
      <c r="T1222">
        <v>7439</v>
      </c>
      <c r="U1222">
        <v>3</v>
      </c>
      <c r="V1222" s="17" t="s">
        <v>43</v>
      </c>
      <c r="W1222">
        <v>15</v>
      </c>
      <c r="X1222">
        <v>3</v>
      </c>
      <c r="Y1222">
        <v>3</v>
      </c>
      <c r="Z1222">
        <v>0</v>
      </c>
      <c r="AA1222">
        <v>17</v>
      </c>
      <c r="AB1222">
        <v>2</v>
      </c>
      <c r="AC1222">
        <v>2</v>
      </c>
      <c r="AD1222" s="14">
        <v>13</v>
      </c>
      <c r="AE1222" t="str">
        <f t="shared" si="39"/>
        <v>10+ years</v>
      </c>
      <c r="AF1222" s="14">
        <v>7</v>
      </c>
      <c r="AG1222" s="14">
        <v>6</v>
      </c>
      <c r="AH1222" s="14">
        <v>7</v>
      </c>
    </row>
    <row r="1223" spans="1:34" x14ac:dyDescent="0.3">
      <c r="A1223" s="14">
        <v>45</v>
      </c>
      <c r="B1223" s="17" t="s">
        <v>43</v>
      </c>
      <c r="C1223" t="s">
        <v>55</v>
      </c>
      <c r="D1223">
        <v>1238</v>
      </c>
      <c r="E1223" s="17" t="s">
        <v>45</v>
      </c>
      <c r="F1223">
        <v>1</v>
      </c>
      <c r="G1223">
        <v>1</v>
      </c>
      <c r="H1223" t="s">
        <v>38</v>
      </c>
      <c r="I1223">
        <v>1712</v>
      </c>
      <c r="J1223">
        <v>3</v>
      </c>
      <c r="K1223" s="17" t="s">
        <v>46</v>
      </c>
      <c r="L1223">
        <v>74</v>
      </c>
      <c r="M1223">
        <v>2</v>
      </c>
      <c r="N1223">
        <v>3</v>
      </c>
      <c r="O1223" s="17" t="s">
        <v>54</v>
      </c>
      <c r="P1223" s="14">
        <v>3</v>
      </c>
      <c r="Q1223" t="s">
        <v>48</v>
      </c>
      <c r="R1223" s="14">
        <v>10748</v>
      </c>
      <c r="S1223" s="17" t="str">
        <f t="shared" si="38"/>
        <v>high</v>
      </c>
      <c r="T1223">
        <v>3395</v>
      </c>
      <c r="U1223">
        <v>3</v>
      </c>
      <c r="V1223" s="17" t="s">
        <v>43</v>
      </c>
      <c r="W1223">
        <v>23</v>
      </c>
      <c r="X1223">
        <v>4</v>
      </c>
      <c r="Y1223">
        <v>4</v>
      </c>
      <c r="Z1223">
        <v>1</v>
      </c>
      <c r="AA1223">
        <v>25</v>
      </c>
      <c r="AB1223">
        <v>3</v>
      </c>
      <c r="AC1223">
        <v>2</v>
      </c>
      <c r="AD1223" s="14">
        <v>23</v>
      </c>
      <c r="AE1223" t="str">
        <f t="shared" si="39"/>
        <v>10+ years</v>
      </c>
      <c r="AF1223" s="14">
        <v>15</v>
      </c>
      <c r="AG1223" s="14">
        <v>14</v>
      </c>
      <c r="AH1223" s="14">
        <v>4</v>
      </c>
    </row>
    <row r="1224" spans="1:34" x14ac:dyDescent="0.3">
      <c r="A1224" s="14">
        <v>24</v>
      </c>
      <c r="B1224" s="17" t="s">
        <v>35</v>
      </c>
      <c r="C1224" t="s">
        <v>36</v>
      </c>
      <c r="D1224">
        <v>240</v>
      </c>
      <c r="E1224" s="17" t="s">
        <v>61</v>
      </c>
      <c r="F1224">
        <v>22</v>
      </c>
      <c r="G1224">
        <v>1</v>
      </c>
      <c r="H1224" t="s">
        <v>61</v>
      </c>
      <c r="I1224">
        <v>1714</v>
      </c>
      <c r="J1224">
        <v>4</v>
      </c>
      <c r="K1224" s="17" t="s">
        <v>46</v>
      </c>
      <c r="L1224">
        <v>58</v>
      </c>
      <c r="M1224">
        <v>1</v>
      </c>
      <c r="N1224">
        <v>1</v>
      </c>
      <c r="O1224" s="17" t="s">
        <v>61</v>
      </c>
      <c r="P1224" s="14">
        <v>3</v>
      </c>
      <c r="Q1224" t="s">
        <v>48</v>
      </c>
      <c r="R1224" s="14">
        <v>1555</v>
      </c>
      <c r="S1224" s="17" t="str">
        <f t="shared" si="38"/>
        <v>low</v>
      </c>
      <c r="T1224">
        <v>11585</v>
      </c>
      <c r="U1224">
        <v>1</v>
      </c>
      <c r="V1224" s="17" t="s">
        <v>43</v>
      </c>
      <c r="W1224">
        <v>11</v>
      </c>
      <c r="X1224">
        <v>3</v>
      </c>
      <c r="Y1224">
        <v>3</v>
      </c>
      <c r="Z1224">
        <v>1</v>
      </c>
      <c r="AA1224">
        <v>1</v>
      </c>
      <c r="AB1224">
        <v>2</v>
      </c>
      <c r="AC1224">
        <v>3</v>
      </c>
      <c r="AD1224" s="14">
        <v>1</v>
      </c>
      <c r="AE1224" t="str">
        <f t="shared" si="39"/>
        <v>0-2 years</v>
      </c>
      <c r="AF1224" s="14">
        <v>0</v>
      </c>
      <c r="AG1224" s="14">
        <v>0</v>
      </c>
      <c r="AH1224" s="14">
        <v>0</v>
      </c>
    </row>
    <row r="1225" spans="1:34" x14ac:dyDescent="0.3">
      <c r="A1225" s="14">
        <v>47</v>
      </c>
      <c r="B1225" s="17" t="s">
        <v>35</v>
      </c>
      <c r="C1225" t="s">
        <v>44</v>
      </c>
      <c r="D1225">
        <v>1093</v>
      </c>
      <c r="E1225" s="17" t="s">
        <v>37</v>
      </c>
      <c r="F1225">
        <v>9</v>
      </c>
      <c r="G1225">
        <v>3</v>
      </c>
      <c r="H1225" t="s">
        <v>38</v>
      </c>
      <c r="I1225">
        <v>1716</v>
      </c>
      <c r="J1225">
        <v>3</v>
      </c>
      <c r="K1225" s="17" t="s">
        <v>46</v>
      </c>
      <c r="L1225">
        <v>82</v>
      </c>
      <c r="M1225">
        <v>1</v>
      </c>
      <c r="N1225">
        <v>4</v>
      </c>
      <c r="O1225" s="17" t="s">
        <v>40</v>
      </c>
      <c r="P1225" s="14">
        <v>3</v>
      </c>
      <c r="Q1225" t="s">
        <v>48</v>
      </c>
      <c r="R1225" s="14">
        <v>12936</v>
      </c>
      <c r="S1225" s="17" t="str">
        <f t="shared" si="38"/>
        <v>high</v>
      </c>
      <c r="T1225">
        <v>24164</v>
      </c>
      <c r="U1225">
        <v>7</v>
      </c>
      <c r="V1225" s="17" t="s">
        <v>43</v>
      </c>
      <c r="W1225">
        <v>11</v>
      </c>
      <c r="X1225">
        <v>3</v>
      </c>
      <c r="Y1225">
        <v>3</v>
      </c>
      <c r="Z1225">
        <v>0</v>
      </c>
      <c r="AA1225">
        <v>25</v>
      </c>
      <c r="AB1225">
        <v>3</v>
      </c>
      <c r="AC1225">
        <v>1</v>
      </c>
      <c r="AD1225" s="14">
        <v>23</v>
      </c>
      <c r="AE1225" t="str">
        <f t="shared" si="39"/>
        <v>10+ years</v>
      </c>
      <c r="AF1225" s="14">
        <v>5</v>
      </c>
      <c r="AG1225" s="14">
        <v>14</v>
      </c>
      <c r="AH1225" s="14">
        <v>10</v>
      </c>
    </row>
    <row r="1226" spans="1:34" x14ac:dyDescent="0.3">
      <c r="A1226" s="14">
        <v>26</v>
      </c>
      <c r="B1226" s="17" t="s">
        <v>43</v>
      </c>
      <c r="C1226" t="s">
        <v>36</v>
      </c>
      <c r="D1226">
        <v>390</v>
      </c>
      <c r="E1226" s="17" t="s">
        <v>45</v>
      </c>
      <c r="F1226">
        <v>17</v>
      </c>
      <c r="G1226">
        <v>4</v>
      </c>
      <c r="H1226" t="s">
        <v>51</v>
      </c>
      <c r="I1226">
        <v>1718</v>
      </c>
      <c r="J1226">
        <v>4</v>
      </c>
      <c r="K1226" s="17" t="s">
        <v>46</v>
      </c>
      <c r="L1226">
        <v>62</v>
      </c>
      <c r="M1226">
        <v>1</v>
      </c>
      <c r="N1226">
        <v>1</v>
      </c>
      <c r="O1226" s="17" t="s">
        <v>50</v>
      </c>
      <c r="P1226" s="14">
        <v>3</v>
      </c>
      <c r="Q1226" t="s">
        <v>48</v>
      </c>
      <c r="R1226" s="14">
        <v>2305</v>
      </c>
      <c r="S1226" s="17" t="str">
        <f t="shared" si="38"/>
        <v>low</v>
      </c>
      <c r="T1226">
        <v>6217</v>
      </c>
      <c r="U1226">
        <v>1</v>
      </c>
      <c r="V1226" s="17" t="s">
        <v>43</v>
      </c>
      <c r="W1226">
        <v>15</v>
      </c>
      <c r="X1226">
        <v>3</v>
      </c>
      <c r="Y1226">
        <v>3</v>
      </c>
      <c r="Z1226">
        <v>3</v>
      </c>
      <c r="AA1226">
        <v>3</v>
      </c>
      <c r="AB1226">
        <v>3</v>
      </c>
      <c r="AC1226">
        <v>4</v>
      </c>
      <c r="AD1226" s="14">
        <v>3</v>
      </c>
      <c r="AE1226" t="str">
        <f t="shared" si="39"/>
        <v>3-5 years</v>
      </c>
      <c r="AF1226" s="14">
        <v>2</v>
      </c>
      <c r="AG1226" s="14">
        <v>0</v>
      </c>
      <c r="AH1226" s="14">
        <v>2</v>
      </c>
    </row>
    <row r="1227" spans="1:34" x14ac:dyDescent="0.3">
      <c r="A1227" s="14">
        <v>45</v>
      </c>
      <c r="B1227" s="17" t="s">
        <v>43</v>
      </c>
      <c r="C1227" t="s">
        <v>36</v>
      </c>
      <c r="D1227">
        <v>1005</v>
      </c>
      <c r="E1227" s="17" t="s">
        <v>45</v>
      </c>
      <c r="F1227">
        <v>28</v>
      </c>
      <c r="G1227">
        <v>2</v>
      </c>
      <c r="H1227" t="s">
        <v>60</v>
      </c>
      <c r="I1227">
        <v>1719</v>
      </c>
      <c r="J1227">
        <v>4</v>
      </c>
      <c r="K1227" s="17" t="s">
        <v>39</v>
      </c>
      <c r="L1227">
        <v>48</v>
      </c>
      <c r="M1227">
        <v>2</v>
      </c>
      <c r="N1227">
        <v>4</v>
      </c>
      <c r="O1227" s="17" t="s">
        <v>58</v>
      </c>
      <c r="P1227" s="14">
        <v>2</v>
      </c>
      <c r="Q1227" t="s">
        <v>41</v>
      </c>
      <c r="R1227" s="14">
        <v>16704</v>
      </c>
      <c r="S1227" s="17" t="str">
        <f t="shared" si="38"/>
        <v>high</v>
      </c>
      <c r="T1227">
        <v>17119</v>
      </c>
      <c r="U1227">
        <v>1</v>
      </c>
      <c r="V1227" s="17" t="s">
        <v>43</v>
      </c>
      <c r="W1227">
        <v>11</v>
      </c>
      <c r="X1227">
        <v>3</v>
      </c>
      <c r="Y1227">
        <v>3</v>
      </c>
      <c r="Z1227">
        <v>0</v>
      </c>
      <c r="AA1227">
        <v>21</v>
      </c>
      <c r="AB1227">
        <v>2</v>
      </c>
      <c r="AC1227">
        <v>3</v>
      </c>
      <c r="AD1227" s="14">
        <v>21</v>
      </c>
      <c r="AE1227" t="str">
        <f t="shared" si="39"/>
        <v>10+ years</v>
      </c>
      <c r="AF1227" s="14">
        <v>6</v>
      </c>
      <c r="AG1227" s="14">
        <v>8</v>
      </c>
      <c r="AH1227" s="14">
        <v>6</v>
      </c>
    </row>
    <row r="1228" spans="1:34" x14ac:dyDescent="0.3">
      <c r="A1228" s="14">
        <v>32</v>
      </c>
      <c r="B1228" s="17" t="s">
        <v>43</v>
      </c>
      <c r="C1228" t="s">
        <v>44</v>
      </c>
      <c r="D1228">
        <v>585</v>
      </c>
      <c r="E1228" s="17" t="s">
        <v>45</v>
      </c>
      <c r="F1228">
        <v>10</v>
      </c>
      <c r="G1228">
        <v>3</v>
      </c>
      <c r="H1228" t="s">
        <v>38</v>
      </c>
      <c r="I1228">
        <v>1720</v>
      </c>
      <c r="J1228">
        <v>1</v>
      </c>
      <c r="K1228" s="17" t="s">
        <v>46</v>
      </c>
      <c r="L1228">
        <v>56</v>
      </c>
      <c r="M1228">
        <v>3</v>
      </c>
      <c r="N1228">
        <v>1</v>
      </c>
      <c r="O1228" s="17" t="s">
        <v>47</v>
      </c>
      <c r="P1228" s="14">
        <v>3</v>
      </c>
      <c r="Q1228" t="s">
        <v>48</v>
      </c>
      <c r="R1228" s="14">
        <v>3433</v>
      </c>
      <c r="S1228" s="17" t="str">
        <f t="shared" si="38"/>
        <v>medium</v>
      </c>
      <c r="T1228">
        <v>17360</v>
      </c>
      <c r="U1228">
        <v>6</v>
      </c>
      <c r="V1228" s="17" t="s">
        <v>43</v>
      </c>
      <c r="W1228">
        <v>13</v>
      </c>
      <c r="X1228">
        <v>3</v>
      </c>
      <c r="Y1228">
        <v>1</v>
      </c>
      <c r="Z1228">
        <v>1</v>
      </c>
      <c r="AA1228">
        <v>10</v>
      </c>
      <c r="AB1228">
        <v>3</v>
      </c>
      <c r="AC1228">
        <v>2</v>
      </c>
      <c r="AD1228" s="14">
        <v>5</v>
      </c>
      <c r="AE1228" t="str">
        <f t="shared" si="39"/>
        <v>3-5 years</v>
      </c>
      <c r="AF1228" s="14">
        <v>2</v>
      </c>
      <c r="AG1228" s="14">
        <v>1</v>
      </c>
      <c r="AH1228" s="14">
        <v>3</v>
      </c>
    </row>
    <row r="1229" spans="1:34" x14ac:dyDescent="0.3">
      <c r="A1229" s="14">
        <v>31</v>
      </c>
      <c r="B1229" s="17" t="s">
        <v>43</v>
      </c>
      <c r="C1229" t="s">
        <v>36</v>
      </c>
      <c r="D1229">
        <v>741</v>
      </c>
      <c r="E1229" s="17" t="s">
        <v>45</v>
      </c>
      <c r="F1229">
        <v>2</v>
      </c>
      <c r="G1229">
        <v>4</v>
      </c>
      <c r="H1229" t="s">
        <v>38</v>
      </c>
      <c r="I1229">
        <v>1721</v>
      </c>
      <c r="J1229">
        <v>2</v>
      </c>
      <c r="K1229" s="17" t="s">
        <v>46</v>
      </c>
      <c r="L1229">
        <v>69</v>
      </c>
      <c r="M1229">
        <v>3</v>
      </c>
      <c r="N1229">
        <v>1</v>
      </c>
      <c r="O1229" s="17" t="s">
        <v>50</v>
      </c>
      <c r="P1229" s="14">
        <v>3</v>
      </c>
      <c r="Q1229" t="s">
        <v>48</v>
      </c>
      <c r="R1229" s="14">
        <v>3477</v>
      </c>
      <c r="S1229" s="17" t="str">
        <f t="shared" si="38"/>
        <v>medium</v>
      </c>
      <c r="T1229">
        <v>18103</v>
      </c>
      <c r="U1229">
        <v>1</v>
      </c>
      <c r="V1229" s="17" t="s">
        <v>43</v>
      </c>
      <c r="W1229">
        <v>14</v>
      </c>
      <c r="X1229">
        <v>3</v>
      </c>
      <c r="Y1229">
        <v>4</v>
      </c>
      <c r="Z1229">
        <v>1</v>
      </c>
      <c r="AA1229">
        <v>6</v>
      </c>
      <c r="AB1229">
        <v>2</v>
      </c>
      <c r="AC1229">
        <v>4</v>
      </c>
      <c r="AD1229" s="14">
        <v>5</v>
      </c>
      <c r="AE1229" t="str">
        <f t="shared" si="39"/>
        <v>3-5 years</v>
      </c>
      <c r="AF1229" s="14">
        <v>2</v>
      </c>
      <c r="AG1229" s="14">
        <v>0</v>
      </c>
      <c r="AH1229" s="14">
        <v>3</v>
      </c>
    </row>
    <row r="1230" spans="1:34" x14ac:dyDescent="0.3">
      <c r="A1230" s="14">
        <v>41</v>
      </c>
      <c r="B1230" s="17" t="s">
        <v>43</v>
      </c>
      <c r="C1230" t="s">
        <v>55</v>
      </c>
      <c r="D1230">
        <v>552</v>
      </c>
      <c r="E1230" s="17" t="s">
        <v>61</v>
      </c>
      <c r="F1230">
        <v>4</v>
      </c>
      <c r="G1230">
        <v>3</v>
      </c>
      <c r="H1230" t="s">
        <v>61</v>
      </c>
      <c r="I1230">
        <v>1722</v>
      </c>
      <c r="J1230">
        <v>3</v>
      </c>
      <c r="K1230" s="17" t="s">
        <v>46</v>
      </c>
      <c r="L1230">
        <v>60</v>
      </c>
      <c r="M1230">
        <v>1</v>
      </c>
      <c r="N1230">
        <v>2</v>
      </c>
      <c r="O1230" s="17" t="s">
        <v>61</v>
      </c>
      <c r="P1230" s="14">
        <v>2</v>
      </c>
      <c r="Q1230" t="s">
        <v>48</v>
      </c>
      <c r="R1230" s="14">
        <v>6430</v>
      </c>
      <c r="S1230" s="17" t="str">
        <f t="shared" si="38"/>
        <v>medium</v>
      </c>
      <c r="T1230">
        <v>20794</v>
      </c>
      <c r="U1230">
        <v>6</v>
      </c>
      <c r="V1230" s="17" t="s">
        <v>43</v>
      </c>
      <c r="W1230">
        <v>19</v>
      </c>
      <c r="X1230">
        <v>3</v>
      </c>
      <c r="Y1230">
        <v>2</v>
      </c>
      <c r="Z1230">
        <v>1</v>
      </c>
      <c r="AA1230">
        <v>10</v>
      </c>
      <c r="AB1230">
        <v>4</v>
      </c>
      <c r="AC1230">
        <v>3</v>
      </c>
      <c r="AD1230" s="14">
        <v>3</v>
      </c>
      <c r="AE1230" t="str">
        <f t="shared" si="39"/>
        <v>3-5 years</v>
      </c>
      <c r="AF1230" s="14">
        <v>2</v>
      </c>
      <c r="AG1230" s="14">
        <v>1</v>
      </c>
      <c r="AH1230" s="14">
        <v>2</v>
      </c>
    </row>
    <row r="1231" spans="1:34" x14ac:dyDescent="0.3">
      <c r="A1231" s="14">
        <v>40</v>
      </c>
      <c r="B1231" s="17" t="s">
        <v>43</v>
      </c>
      <c r="C1231" t="s">
        <v>36</v>
      </c>
      <c r="D1231">
        <v>369</v>
      </c>
      <c r="E1231" s="17" t="s">
        <v>45</v>
      </c>
      <c r="F1231">
        <v>8</v>
      </c>
      <c r="G1231">
        <v>2</v>
      </c>
      <c r="H1231" t="s">
        <v>38</v>
      </c>
      <c r="I1231">
        <v>1724</v>
      </c>
      <c r="J1231">
        <v>2</v>
      </c>
      <c r="K1231" s="17" t="s">
        <v>39</v>
      </c>
      <c r="L1231">
        <v>92</v>
      </c>
      <c r="M1231">
        <v>3</v>
      </c>
      <c r="N1231">
        <v>2</v>
      </c>
      <c r="O1231" s="17" t="s">
        <v>53</v>
      </c>
      <c r="P1231" s="14">
        <v>1</v>
      </c>
      <c r="Q1231" t="s">
        <v>48</v>
      </c>
      <c r="R1231" s="14">
        <v>6516</v>
      </c>
      <c r="S1231" s="17" t="str">
        <f t="shared" si="38"/>
        <v>medium</v>
      </c>
      <c r="T1231">
        <v>5041</v>
      </c>
      <c r="U1231">
        <v>2</v>
      </c>
      <c r="V1231" s="17" t="s">
        <v>35</v>
      </c>
      <c r="W1231">
        <v>16</v>
      </c>
      <c r="X1231">
        <v>3</v>
      </c>
      <c r="Y1231">
        <v>2</v>
      </c>
      <c r="Z1231">
        <v>1</v>
      </c>
      <c r="AA1231">
        <v>18</v>
      </c>
      <c r="AB1231">
        <v>3</v>
      </c>
      <c r="AC1231">
        <v>3</v>
      </c>
      <c r="AD1231" s="14">
        <v>1</v>
      </c>
      <c r="AE1231" t="str">
        <f t="shared" si="39"/>
        <v>0-2 years</v>
      </c>
      <c r="AF1231" s="14">
        <v>0</v>
      </c>
      <c r="AG1231" s="14">
        <v>0</v>
      </c>
      <c r="AH1231" s="14">
        <v>0</v>
      </c>
    </row>
    <row r="1232" spans="1:34" x14ac:dyDescent="0.3">
      <c r="A1232" s="14">
        <v>24</v>
      </c>
      <c r="B1232" s="17" t="s">
        <v>43</v>
      </c>
      <c r="C1232" t="s">
        <v>36</v>
      </c>
      <c r="D1232">
        <v>506</v>
      </c>
      <c r="E1232" s="17" t="s">
        <v>45</v>
      </c>
      <c r="F1232">
        <v>29</v>
      </c>
      <c r="G1232">
        <v>1</v>
      </c>
      <c r="H1232" t="s">
        <v>51</v>
      </c>
      <c r="I1232">
        <v>1725</v>
      </c>
      <c r="J1232">
        <v>2</v>
      </c>
      <c r="K1232" s="17" t="s">
        <v>46</v>
      </c>
      <c r="L1232">
        <v>91</v>
      </c>
      <c r="M1232">
        <v>3</v>
      </c>
      <c r="N1232">
        <v>1</v>
      </c>
      <c r="O1232" s="17" t="s">
        <v>50</v>
      </c>
      <c r="P1232" s="14">
        <v>1</v>
      </c>
      <c r="Q1232" t="s">
        <v>52</v>
      </c>
      <c r="R1232" s="14">
        <v>3907</v>
      </c>
      <c r="S1232" s="17" t="str">
        <f t="shared" si="38"/>
        <v>medium</v>
      </c>
      <c r="T1232">
        <v>3622</v>
      </c>
      <c r="U1232">
        <v>1</v>
      </c>
      <c r="V1232" s="17" t="s">
        <v>43</v>
      </c>
      <c r="W1232">
        <v>13</v>
      </c>
      <c r="X1232">
        <v>3</v>
      </c>
      <c r="Y1232">
        <v>2</v>
      </c>
      <c r="Z1232">
        <v>3</v>
      </c>
      <c r="AA1232">
        <v>6</v>
      </c>
      <c r="AB1232">
        <v>2</v>
      </c>
      <c r="AC1232">
        <v>4</v>
      </c>
      <c r="AD1232" s="14">
        <v>6</v>
      </c>
      <c r="AE1232" t="str">
        <f t="shared" si="39"/>
        <v>6-10 years</v>
      </c>
      <c r="AF1232" s="14">
        <v>2</v>
      </c>
      <c r="AG1232" s="14">
        <v>1</v>
      </c>
      <c r="AH1232" s="14">
        <v>2</v>
      </c>
    </row>
    <row r="1233" spans="1:34" x14ac:dyDescent="0.3">
      <c r="A1233" s="14">
        <v>46</v>
      </c>
      <c r="B1233" s="17" t="s">
        <v>43</v>
      </c>
      <c r="C1233" t="s">
        <v>36</v>
      </c>
      <c r="D1233">
        <v>717</v>
      </c>
      <c r="E1233" s="17" t="s">
        <v>45</v>
      </c>
      <c r="F1233">
        <v>13</v>
      </c>
      <c r="G1233">
        <v>4</v>
      </c>
      <c r="H1233" t="s">
        <v>38</v>
      </c>
      <c r="I1233">
        <v>1727</v>
      </c>
      <c r="J1233">
        <v>3</v>
      </c>
      <c r="K1233" s="17" t="s">
        <v>46</v>
      </c>
      <c r="L1233">
        <v>34</v>
      </c>
      <c r="M1233">
        <v>3</v>
      </c>
      <c r="N1233">
        <v>2</v>
      </c>
      <c r="O1233" s="17" t="s">
        <v>54</v>
      </c>
      <c r="P1233" s="14">
        <v>2</v>
      </c>
      <c r="Q1233" t="s">
        <v>41</v>
      </c>
      <c r="R1233" s="14">
        <v>5562</v>
      </c>
      <c r="S1233" s="17" t="str">
        <f t="shared" si="38"/>
        <v>medium</v>
      </c>
      <c r="T1233">
        <v>9697</v>
      </c>
      <c r="U1233">
        <v>6</v>
      </c>
      <c r="V1233" s="17" t="s">
        <v>43</v>
      </c>
      <c r="W1233">
        <v>14</v>
      </c>
      <c r="X1233">
        <v>3</v>
      </c>
      <c r="Y1233">
        <v>4</v>
      </c>
      <c r="Z1233">
        <v>0</v>
      </c>
      <c r="AA1233">
        <v>19</v>
      </c>
      <c r="AB1233">
        <v>3</v>
      </c>
      <c r="AC1233">
        <v>3</v>
      </c>
      <c r="AD1233" s="14">
        <v>10</v>
      </c>
      <c r="AE1233" t="str">
        <f t="shared" si="39"/>
        <v>6-10 years</v>
      </c>
      <c r="AF1233" s="14">
        <v>7</v>
      </c>
      <c r="AG1233" s="14">
        <v>0</v>
      </c>
      <c r="AH1233" s="14">
        <v>9</v>
      </c>
    </row>
    <row r="1234" spans="1:34" x14ac:dyDescent="0.3">
      <c r="A1234" s="14">
        <v>35</v>
      </c>
      <c r="B1234" s="17" t="s">
        <v>43</v>
      </c>
      <c r="C1234" t="s">
        <v>36</v>
      </c>
      <c r="D1234">
        <v>1370</v>
      </c>
      <c r="E1234" s="17" t="s">
        <v>45</v>
      </c>
      <c r="F1234">
        <v>27</v>
      </c>
      <c r="G1234">
        <v>4</v>
      </c>
      <c r="H1234" t="s">
        <v>38</v>
      </c>
      <c r="I1234">
        <v>1728</v>
      </c>
      <c r="J1234">
        <v>4</v>
      </c>
      <c r="K1234" s="17" t="s">
        <v>46</v>
      </c>
      <c r="L1234">
        <v>49</v>
      </c>
      <c r="M1234">
        <v>3</v>
      </c>
      <c r="N1234">
        <v>2</v>
      </c>
      <c r="O1234" s="17" t="s">
        <v>53</v>
      </c>
      <c r="P1234" s="14">
        <v>3</v>
      </c>
      <c r="Q1234" t="s">
        <v>48</v>
      </c>
      <c r="R1234" s="14">
        <v>6883</v>
      </c>
      <c r="S1234" s="17" t="str">
        <f t="shared" si="38"/>
        <v>medium</v>
      </c>
      <c r="T1234">
        <v>5151</v>
      </c>
      <c r="U1234">
        <v>2</v>
      </c>
      <c r="V1234" s="17" t="s">
        <v>43</v>
      </c>
      <c r="W1234">
        <v>16</v>
      </c>
      <c r="X1234">
        <v>3</v>
      </c>
      <c r="Y1234">
        <v>2</v>
      </c>
      <c r="Z1234">
        <v>1</v>
      </c>
      <c r="AA1234">
        <v>17</v>
      </c>
      <c r="AB1234">
        <v>3</v>
      </c>
      <c r="AC1234">
        <v>3</v>
      </c>
      <c r="AD1234" s="14">
        <v>7</v>
      </c>
      <c r="AE1234" t="str">
        <f t="shared" si="39"/>
        <v>6-10 years</v>
      </c>
      <c r="AF1234" s="14">
        <v>7</v>
      </c>
      <c r="AG1234" s="14">
        <v>0</v>
      </c>
      <c r="AH1234" s="14">
        <v>7</v>
      </c>
    </row>
    <row r="1235" spans="1:34" x14ac:dyDescent="0.3">
      <c r="A1235" s="14">
        <v>30</v>
      </c>
      <c r="B1235" s="17" t="s">
        <v>43</v>
      </c>
      <c r="C1235" t="s">
        <v>36</v>
      </c>
      <c r="D1235">
        <v>793</v>
      </c>
      <c r="E1235" s="17" t="s">
        <v>45</v>
      </c>
      <c r="F1235">
        <v>16</v>
      </c>
      <c r="G1235">
        <v>1</v>
      </c>
      <c r="H1235" t="s">
        <v>38</v>
      </c>
      <c r="I1235">
        <v>1729</v>
      </c>
      <c r="J1235">
        <v>2</v>
      </c>
      <c r="K1235" s="17" t="s">
        <v>46</v>
      </c>
      <c r="L1235">
        <v>33</v>
      </c>
      <c r="M1235">
        <v>3</v>
      </c>
      <c r="N1235">
        <v>1</v>
      </c>
      <c r="O1235" s="17" t="s">
        <v>47</v>
      </c>
      <c r="P1235" s="14">
        <v>4</v>
      </c>
      <c r="Q1235" t="s">
        <v>48</v>
      </c>
      <c r="R1235" s="14">
        <v>2862</v>
      </c>
      <c r="S1235" s="17" t="str">
        <f t="shared" si="38"/>
        <v>low</v>
      </c>
      <c r="T1235">
        <v>3811</v>
      </c>
      <c r="U1235">
        <v>1</v>
      </c>
      <c r="V1235" s="17" t="s">
        <v>43</v>
      </c>
      <c r="W1235">
        <v>12</v>
      </c>
      <c r="X1235">
        <v>3</v>
      </c>
      <c r="Y1235">
        <v>2</v>
      </c>
      <c r="Z1235">
        <v>1</v>
      </c>
      <c r="AA1235">
        <v>10</v>
      </c>
      <c r="AB1235">
        <v>2</v>
      </c>
      <c r="AC1235">
        <v>2</v>
      </c>
      <c r="AD1235" s="14">
        <v>10</v>
      </c>
      <c r="AE1235" t="str">
        <f t="shared" si="39"/>
        <v>6-10 years</v>
      </c>
      <c r="AF1235" s="14">
        <v>0</v>
      </c>
      <c r="AG1235" s="14">
        <v>0</v>
      </c>
      <c r="AH1235" s="14">
        <v>8</v>
      </c>
    </row>
    <row r="1236" spans="1:34" x14ac:dyDescent="0.3">
      <c r="A1236" s="14">
        <v>47</v>
      </c>
      <c r="B1236" s="17" t="s">
        <v>43</v>
      </c>
      <c r="C1236" t="s">
        <v>55</v>
      </c>
      <c r="D1236">
        <v>543</v>
      </c>
      <c r="E1236" s="17" t="s">
        <v>37</v>
      </c>
      <c r="F1236">
        <v>2</v>
      </c>
      <c r="G1236">
        <v>4</v>
      </c>
      <c r="H1236" t="s">
        <v>59</v>
      </c>
      <c r="I1236">
        <v>1731</v>
      </c>
      <c r="J1236">
        <v>3</v>
      </c>
      <c r="K1236" s="17" t="s">
        <v>46</v>
      </c>
      <c r="L1236">
        <v>87</v>
      </c>
      <c r="M1236">
        <v>3</v>
      </c>
      <c r="N1236">
        <v>2</v>
      </c>
      <c r="O1236" s="17" t="s">
        <v>40</v>
      </c>
      <c r="P1236" s="14">
        <v>2</v>
      </c>
      <c r="Q1236" t="s">
        <v>48</v>
      </c>
      <c r="R1236" s="14">
        <v>4978</v>
      </c>
      <c r="S1236" s="17" t="str">
        <f t="shared" si="38"/>
        <v>medium</v>
      </c>
      <c r="T1236">
        <v>3536</v>
      </c>
      <c r="U1236">
        <v>7</v>
      </c>
      <c r="V1236" s="17" t="s">
        <v>43</v>
      </c>
      <c r="W1236">
        <v>11</v>
      </c>
      <c r="X1236">
        <v>3</v>
      </c>
      <c r="Y1236">
        <v>4</v>
      </c>
      <c r="Z1236">
        <v>1</v>
      </c>
      <c r="AA1236">
        <v>4</v>
      </c>
      <c r="AB1236">
        <v>3</v>
      </c>
      <c r="AC1236">
        <v>1</v>
      </c>
      <c r="AD1236" s="14">
        <v>1</v>
      </c>
      <c r="AE1236" t="str">
        <f t="shared" si="39"/>
        <v>0-2 years</v>
      </c>
      <c r="AF1236" s="14">
        <v>0</v>
      </c>
      <c r="AG1236" s="14">
        <v>0</v>
      </c>
      <c r="AH1236" s="14">
        <v>0</v>
      </c>
    </row>
    <row r="1237" spans="1:34" x14ac:dyDescent="0.3">
      <c r="A1237" s="14">
        <v>46</v>
      </c>
      <c r="B1237" s="17" t="s">
        <v>43</v>
      </c>
      <c r="C1237" t="s">
        <v>36</v>
      </c>
      <c r="D1237">
        <v>1277</v>
      </c>
      <c r="E1237" s="17" t="s">
        <v>37</v>
      </c>
      <c r="F1237">
        <v>2</v>
      </c>
      <c r="G1237">
        <v>3</v>
      </c>
      <c r="H1237" t="s">
        <v>38</v>
      </c>
      <c r="I1237">
        <v>1732</v>
      </c>
      <c r="J1237">
        <v>3</v>
      </c>
      <c r="K1237" s="17" t="s">
        <v>46</v>
      </c>
      <c r="L1237">
        <v>74</v>
      </c>
      <c r="M1237">
        <v>3</v>
      </c>
      <c r="N1237">
        <v>3</v>
      </c>
      <c r="O1237" s="17" t="s">
        <v>40</v>
      </c>
      <c r="P1237" s="14">
        <v>4</v>
      </c>
      <c r="Q1237" t="s">
        <v>52</v>
      </c>
      <c r="R1237" s="14">
        <v>10368</v>
      </c>
      <c r="S1237" s="17" t="str">
        <f t="shared" si="38"/>
        <v>high</v>
      </c>
      <c r="T1237">
        <v>5596</v>
      </c>
      <c r="U1237">
        <v>4</v>
      </c>
      <c r="V1237" s="17" t="s">
        <v>35</v>
      </c>
      <c r="W1237">
        <v>12</v>
      </c>
      <c r="X1237">
        <v>3</v>
      </c>
      <c r="Y1237">
        <v>2</v>
      </c>
      <c r="Z1237">
        <v>1</v>
      </c>
      <c r="AA1237">
        <v>13</v>
      </c>
      <c r="AB1237">
        <v>5</v>
      </c>
      <c r="AC1237">
        <v>2</v>
      </c>
      <c r="AD1237" s="14">
        <v>10</v>
      </c>
      <c r="AE1237" t="str">
        <f t="shared" si="39"/>
        <v>6-10 years</v>
      </c>
      <c r="AF1237" s="14">
        <v>6</v>
      </c>
      <c r="AG1237" s="14">
        <v>0</v>
      </c>
      <c r="AH1237" s="14">
        <v>3</v>
      </c>
    </row>
    <row r="1238" spans="1:34" x14ac:dyDescent="0.3">
      <c r="A1238" s="14">
        <v>36</v>
      </c>
      <c r="B1238" s="17" t="s">
        <v>35</v>
      </c>
      <c r="C1238" t="s">
        <v>36</v>
      </c>
      <c r="D1238">
        <v>1456</v>
      </c>
      <c r="E1238" s="17" t="s">
        <v>37</v>
      </c>
      <c r="F1238">
        <v>13</v>
      </c>
      <c r="G1238">
        <v>5</v>
      </c>
      <c r="H1238" t="s">
        <v>59</v>
      </c>
      <c r="I1238">
        <v>1733</v>
      </c>
      <c r="J1238">
        <v>2</v>
      </c>
      <c r="K1238" s="17" t="s">
        <v>46</v>
      </c>
      <c r="L1238">
        <v>96</v>
      </c>
      <c r="M1238">
        <v>2</v>
      </c>
      <c r="N1238">
        <v>2</v>
      </c>
      <c r="O1238" s="17" t="s">
        <v>40</v>
      </c>
      <c r="P1238" s="14">
        <v>1</v>
      </c>
      <c r="Q1238" t="s">
        <v>52</v>
      </c>
      <c r="R1238" s="14">
        <v>6134</v>
      </c>
      <c r="S1238" s="17" t="str">
        <f t="shared" si="38"/>
        <v>medium</v>
      </c>
      <c r="T1238">
        <v>8658</v>
      </c>
      <c r="U1238">
        <v>5</v>
      </c>
      <c r="V1238" s="17" t="s">
        <v>35</v>
      </c>
      <c r="W1238">
        <v>13</v>
      </c>
      <c r="X1238">
        <v>3</v>
      </c>
      <c r="Y1238">
        <v>2</v>
      </c>
      <c r="Z1238">
        <v>3</v>
      </c>
      <c r="AA1238">
        <v>16</v>
      </c>
      <c r="AB1238">
        <v>3</v>
      </c>
      <c r="AC1238">
        <v>3</v>
      </c>
      <c r="AD1238" s="14">
        <v>2</v>
      </c>
      <c r="AE1238" t="str">
        <f t="shared" si="39"/>
        <v>0-2 years</v>
      </c>
      <c r="AF1238" s="14">
        <v>2</v>
      </c>
      <c r="AG1238" s="14">
        <v>2</v>
      </c>
      <c r="AH1238" s="14">
        <v>2</v>
      </c>
    </row>
    <row r="1239" spans="1:34" x14ac:dyDescent="0.3">
      <c r="A1239" s="14">
        <v>32</v>
      </c>
      <c r="B1239" s="17" t="s">
        <v>35</v>
      </c>
      <c r="C1239" t="s">
        <v>36</v>
      </c>
      <c r="D1239">
        <v>964</v>
      </c>
      <c r="E1239" s="17" t="s">
        <v>37</v>
      </c>
      <c r="F1239">
        <v>1</v>
      </c>
      <c r="G1239">
        <v>2</v>
      </c>
      <c r="H1239" t="s">
        <v>38</v>
      </c>
      <c r="I1239">
        <v>1734</v>
      </c>
      <c r="J1239">
        <v>1</v>
      </c>
      <c r="K1239" s="17" t="s">
        <v>46</v>
      </c>
      <c r="L1239">
        <v>34</v>
      </c>
      <c r="M1239">
        <v>1</v>
      </c>
      <c r="N1239">
        <v>2</v>
      </c>
      <c r="O1239" s="17" t="s">
        <v>40</v>
      </c>
      <c r="P1239" s="14">
        <v>2</v>
      </c>
      <c r="Q1239" t="s">
        <v>41</v>
      </c>
      <c r="R1239" s="14">
        <v>6735</v>
      </c>
      <c r="S1239" s="17" t="str">
        <f t="shared" si="38"/>
        <v>medium</v>
      </c>
      <c r="T1239">
        <v>12147</v>
      </c>
      <c r="U1239">
        <v>6</v>
      </c>
      <c r="V1239" s="17" t="s">
        <v>43</v>
      </c>
      <c r="W1239">
        <v>15</v>
      </c>
      <c r="X1239">
        <v>3</v>
      </c>
      <c r="Y1239">
        <v>2</v>
      </c>
      <c r="Z1239">
        <v>0</v>
      </c>
      <c r="AA1239">
        <v>10</v>
      </c>
      <c r="AB1239">
        <v>2</v>
      </c>
      <c r="AC1239">
        <v>3</v>
      </c>
      <c r="AD1239" s="14">
        <v>0</v>
      </c>
      <c r="AE1239" t="str">
        <f t="shared" si="39"/>
        <v>0-2 years</v>
      </c>
      <c r="AF1239" s="14">
        <v>0</v>
      </c>
      <c r="AG1239" s="14">
        <v>0</v>
      </c>
      <c r="AH1239" s="14">
        <v>0</v>
      </c>
    </row>
    <row r="1240" spans="1:34" x14ac:dyDescent="0.3">
      <c r="A1240" s="14">
        <v>23</v>
      </c>
      <c r="B1240" s="17" t="s">
        <v>43</v>
      </c>
      <c r="C1240" t="s">
        <v>36</v>
      </c>
      <c r="D1240">
        <v>160</v>
      </c>
      <c r="E1240" s="17" t="s">
        <v>45</v>
      </c>
      <c r="F1240">
        <v>4</v>
      </c>
      <c r="G1240">
        <v>1</v>
      </c>
      <c r="H1240" t="s">
        <v>51</v>
      </c>
      <c r="I1240">
        <v>1735</v>
      </c>
      <c r="J1240">
        <v>3</v>
      </c>
      <c r="K1240" s="17" t="s">
        <v>39</v>
      </c>
      <c r="L1240">
        <v>51</v>
      </c>
      <c r="M1240">
        <v>3</v>
      </c>
      <c r="N1240">
        <v>1</v>
      </c>
      <c r="O1240" s="17" t="s">
        <v>50</v>
      </c>
      <c r="P1240" s="14">
        <v>2</v>
      </c>
      <c r="Q1240" t="s">
        <v>41</v>
      </c>
      <c r="R1240" s="14">
        <v>3295</v>
      </c>
      <c r="S1240" s="17" t="str">
        <f t="shared" si="38"/>
        <v>medium</v>
      </c>
      <c r="T1240">
        <v>12862</v>
      </c>
      <c r="U1240">
        <v>1</v>
      </c>
      <c r="V1240" s="17" t="s">
        <v>43</v>
      </c>
      <c r="W1240">
        <v>13</v>
      </c>
      <c r="X1240">
        <v>3</v>
      </c>
      <c r="Y1240">
        <v>3</v>
      </c>
      <c r="Z1240">
        <v>0</v>
      </c>
      <c r="AA1240">
        <v>3</v>
      </c>
      <c r="AB1240">
        <v>3</v>
      </c>
      <c r="AC1240">
        <v>1</v>
      </c>
      <c r="AD1240" s="14">
        <v>3</v>
      </c>
      <c r="AE1240" t="str">
        <f t="shared" si="39"/>
        <v>3-5 years</v>
      </c>
      <c r="AF1240" s="14">
        <v>2</v>
      </c>
      <c r="AG1240" s="14">
        <v>1</v>
      </c>
      <c r="AH1240" s="14">
        <v>2</v>
      </c>
    </row>
    <row r="1241" spans="1:34" x14ac:dyDescent="0.3">
      <c r="A1241" s="14">
        <v>31</v>
      </c>
      <c r="B1241" s="17" t="s">
        <v>43</v>
      </c>
      <c r="C1241" t="s">
        <v>44</v>
      </c>
      <c r="D1241">
        <v>163</v>
      </c>
      <c r="E1241" s="17" t="s">
        <v>45</v>
      </c>
      <c r="F1241">
        <v>24</v>
      </c>
      <c r="G1241">
        <v>1</v>
      </c>
      <c r="H1241" t="s">
        <v>60</v>
      </c>
      <c r="I1241">
        <v>1736</v>
      </c>
      <c r="J1241">
        <v>4</v>
      </c>
      <c r="K1241" s="17" t="s">
        <v>39</v>
      </c>
      <c r="L1241">
        <v>30</v>
      </c>
      <c r="M1241">
        <v>3</v>
      </c>
      <c r="N1241">
        <v>2</v>
      </c>
      <c r="O1241" s="17" t="s">
        <v>53</v>
      </c>
      <c r="P1241" s="14">
        <v>4</v>
      </c>
      <c r="Q1241" t="s">
        <v>41</v>
      </c>
      <c r="R1241" s="14">
        <v>5238</v>
      </c>
      <c r="S1241" s="17" t="str">
        <f t="shared" si="38"/>
        <v>medium</v>
      </c>
      <c r="T1241">
        <v>6670</v>
      </c>
      <c r="U1241">
        <v>2</v>
      </c>
      <c r="V1241" s="17" t="s">
        <v>43</v>
      </c>
      <c r="W1241">
        <v>20</v>
      </c>
      <c r="X1241">
        <v>4</v>
      </c>
      <c r="Y1241">
        <v>4</v>
      </c>
      <c r="Z1241">
        <v>0</v>
      </c>
      <c r="AA1241">
        <v>9</v>
      </c>
      <c r="AB1241">
        <v>3</v>
      </c>
      <c r="AC1241">
        <v>2</v>
      </c>
      <c r="AD1241" s="14">
        <v>5</v>
      </c>
      <c r="AE1241" t="str">
        <f t="shared" si="39"/>
        <v>3-5 years</v>
      </c>
      <c r="AF1241" s="14">
        <v>4</v>
      </c>
      <c r="AG1241" s="14">
        <v>1</v>
      </c>
      <c r="AH1241" s="14">
        <v>4</v>
      </c>
    </row>
    <row r="1242" spans="1:34" x14ac:dyDescent="0.3">
      <c r="A1242" s="14">
        <v>39</v>
      </c>
      <c r="B1242" s="17" t="s">
        <v>43</v>
      </c>
      <c r="C1242" t="s">
        <v>55</v>
      </c>
      <c r="D1242">
        <v>792</v>
      </c>
      <c r="E1242" s="17" t="s">
        <v>45</v>
      </c>
      <c r="F1242">
        <v>1</v>
      </c>
      <c r="G1242">
        <v>3</v>
      </c>
      <c r="H1242" t="s">
        <v>38</v>
      </c>
      <c r="I1242">
        <v>1737</v>
      </c>
      <c r="J1242">
        <v>4</v>
      </c>
      <c r="K1242" s="17" t="s">
        <v>46</v>
      </c>
      <c r="L1242">
        <v>77</v>
      </c>
      <c r="M1242">
        <v>3</v>
      </c>
      <c r="N1242">
        <v>2</v>
      </c>
      <c r="O1242" s="17" t="s">
        <v>50</v>
      </c>
      <c r="P1242" s="14">
        <v>4</v>
      </c>
      <c r="Q1242" t="s">
        <v>48</v>
      </c>
      <c r="R1242" s="14">
        <v>6472</v>
      </c>
      <c r="S1242" s="17" t="str">
        <f t="shared" si="38"/>
        <v>medium</v>
      </c>
      <c r="T1242">
        <v>8989</v>
      </c>
      <c r="U1242">
        <v>1</v>
      </c>
      <c r="V1242" s="17" t="s">
        <v>35</v>
      </c>
      <c r="W1242">
        <v>15</v>
      </c>
      <c r="X1242">
        <v>3</v>
      </c>
      <c r="Y1242">
        <v>4</v>
      </c>
      <c r="Z1242">
        <v>1</v>
      </c>
      <c r="AA1242">
        <v>9</v>
      </c>
      <c r="AB1242">
        <v>2</v>
      </c>
      <c r="AC1242">
        <v>3</v>
      </c>
      <c r="AD1242" s="14">
        <v>9</v>
      </c>
      <c r="AE1242" t="str">
        <f t="shared" si="39"/>
        <v>6-10 years</v>
      </c>
      <c r="AF1242" s="14">
        <v>8</v>
      </c>
      <c r="AG1242" s="14">
        <v>5</v>
      </c>
      <c r="AH1242" s="14">
        <v>8</v>
      </c>
    </row>
    <row r="1243" spans="1:34" x14ac:dyDescent="0.3">
      <c r="A1243" s="14">
        <v>32</v>
      </c>
      <c r="B1243" s="17" t="s">
        <v>43</v>
      </c>
      <c r="C1243" t="s">
        <v>36</v>
      </c>
      <c r="D1243">
        <v>371</v>
      </c>
      <c r="E1243" s="17" t="s">
        <v>37</v>
      </c>
      <c r="F1243">
        <v>19</v>
      </c>
      <c r="G1243">
        <v>3</v>
      </c>
      <c r="H1243" t="s">
        <v>38</v>
      </c>
      <c r="I1243">
        <v>1739</v>
      </c>
      <c r="J1243">
        <v>4</v>
      </c>
      <c r="K1243" s="17" t="s">
        <v>46</v>
      </c>
      <c r="L1243">
        <v>80</v>
      </c>
      <c r="M1243">
        <v>1</v>
      </c>
      <c r="N1243">
        <v>3</v>
      </c>
      <c r="O1243" s="17" t="s">
        <v>40</v>
      </c>
      <c r="P1243" s="14">
        <v>3</v>
      </c>
      <c r="Q1243" t="s">
        <v>48</v>
      </c>
      <c r="R1243" s="14">
        <v>9610</v>
      </c>
      <c r="S1243" s="17" t="str">
        <f t="shared" si="38"/>
        <v>high</v>
      </c>
      <c r="T1243">
        <v>3840</v>
      </c>
      <c r="U1243">
        <v>3</v>
      </c>
      <c r="V1243" s="17" t="s">
        <v>43</v>
      </c>
      <c r="W1243">
        <v>13</v>
      </c>
      <c r="X1243">
        <v>3</v>
      </c>
      <c r="Y1243">
        <v>3</v>
      </c>
      <c r="Z1243">
        <v>1</v>
      </c>
      <c r="AA1243">
        <v>10</v>
      </c>
      <c r="AB1243">
        <v>2</v>
      </c>
      <c r="AC1243">
        <v>1</v>
      </c>
      <c r="AD1243" s="14">
        <v>4</v>
      </c>
      <c r="AE1243" t="str">
        <f t="shared" si="39"/>
        <v>3-5 years</v>
      </c>
      <c r="AF1243" s="14">
        <v>3</v>
      </c>
      <c r="AG1243" s="14">
        <v>0</v>
      </c>
      <c r="AH1243" s="14">
        <v>2</v>
      </c>
    </row>
    <row r="1244" spans="1:34" x14ac:dyDescent="0.3">
      <c r="A1244" s="14">
        <v>40</v>
      </c>
      <c r="B1244" s="17" t="s">
        <v>43</v>
      </c>
      <c r="C1244" t="s">
        <v>36</v>
      </c>
      <c r="D1244">
        <v>611</v>
      </c>
      <c r="E1244" s="17" t="s">
        <v>37</v>
      </c>
      <c r="F1244">
        <v>7</v>
      </c>
      <c r="G1244">
        <v>4</v>
      </c>
      <c r="H1244" t="s">
        <v>51</v>
      </c>
      <c r="I1244">
        <v>1740</v>
      </c>
      <c r="J1244">
        <v>2</v>
      </c>
      <c r="K1244" s="17" t="s">
        <v>46</v>
      </c>
      <c r="L1244">
        <v>88</v>
      </c>
      <c r="M1244">
        <v>3</v>
      </c>
      <c r="N1244">
        <v>5</v>
      </c>
      <c r="O1244" s="17" t="s">
        <v>56</v>
      </c>
      <c r="P1244" s="14">
        <v>2</v>
      </c>
      <c r="Q1244" t="s">
        <v>41</v>
      </c>
      <c r="R1244" s="14">
        <v>19833</v>
      </c>
      <c r="S1244" s="17" t="str">
        <f t="shared" si="38"/>
        <v>high</v>
      </c>
      <c r="T1244">
        <v>4349</v>
      </c>
      <c r="U1244">
        <v>1</v>
      </c>
      <c r="V1244" s="17" t="s">
        <v>43</v>
      </c>
      <c r="W1244">
        <v>14</v>
      </c>
      <c r="X1244">
        <v>3</v>
      </c>
      <c r="Y1244">
        <v>2</v>
      </c>
      <c r="Z1244">
        <v>0</v>
      </c>
      <c r="AA1244">
        <v>21</v>
      </c>
      <c r="AB1244">
        <v>3</v>
      </c>
      <c r="AC1244">
        <v>2</v>
      </c>
      <c r="AD1244" s="14">
        <v>21</v>
      </c>
      <c r="AE1244" t="str">
        <f t="shared" si="39"/>
        <v>10+ years</v>
      </c>
      <c r="AF1244" s="14">
        <v>8</v>
      </c>
      <c r="AG1244" s="14">
        <v>12</v>
      </c>
      <c r="AH1244" s="14">
        <v>8</v>
      </c>
    </row>
    <row r="1245" spans="1:34" x14ac:dyDescent="0.3">
      <c r="A1245" s="14">
        <v>45</v>
      </c>
      <c r="B1245" s="17" t="s">
        <v>43</v>
      </c>
      <c r="C1245" t="s">
        <v>36</v>
      </c>
      <c r="D1245">
        <v>176</v>
      </c>
      <c r="E1245" s="17" t="s">
        <v>61</v>
      </c>
      <c r="F1245">
        <v>4</v>
      </c>
      <c r="G1245">
        <v>3</v>
      </c>
      <c r="H1245" t="s">
        <v>38</v>
      </c>
      <c r="I1245">
        <v>1744</v>
      </c>
      <c r="J1245">
        <v>3</v>
      </c>
      <c r="K1245" s="17" t="s">
        <v>39</v>
      </c>
      <c r="L1245">
        <v>56</v>
      </c>
      <c r="M1245">
        <v>1</v>
      </c>
      <c r="N1245">
        <v>3</v>
      </c>
      <c r="O1245" s="17" t="s">
        <v>61</v>
      </c>
      <c r="P1245" s="14">
        <v>3</v>
      </c>
      <c r="Q1245" t="s">
        <v>48</v>
      </c>
      <c r="R1245" s="14">
        <v>9756</v>
      </c>
      <c r="S1245" s="17" t="str">
        <f t="shared" si="38"/>
        <v>high</v>
      </c>
      <c r="T1245">
        <v>6595</v>
      </c>
      <c r="U1245">
        <v>4</v>
      </c>
      <c r="V1245" s="17" t="s">
        <v>43</v>
      </c>
      <c r="W1245">
        <v>21</v>
      </c>
      <c r="X1245">
        <v>4</v>
      </c>
      <c r="Y1245">
        <v>3</v>
      </c>
      <c r="Z1245">
        <v>2</v>
      </c>
      <c r="AA1245">
        <v>9</v>
      </c>
      <c r="AB1245">
        <v>2</v>
      </c>
      <c r="AC1245">
        <v>4</v>
      </c>
      <c r="AD1245" s="14">
        <v>5</v>
      </c>
      <c r="AE1245" t="str">
        <f t="shared" si="39"/>
        <v>3-5 years</v>
      </c>
      <c r="AF1245" s="14">
        <v>0</v>
      </c>
      <c r="AG1245" s="14">
        <v>0</v>
      </c>
      <c r="AH1245" s="14">
        <v>3</v>
      </c>
    </row>
    <row r="1246" spans="1:34" x14ac:dyDescent="0.3">
      <c r="A1246" s="14">
        <v>30</v>
      </c>
      <c r="B1246" s="17" t="s">
        <v>43</v>
      </c>
      <c r="C1246" t="s">
        <v>44</v>
      </c>
      <c r="D1246">
        <v>1312</v>
      </c>
      <c r="E1246" s="17" t="s">
        <v>45</v>
      </c>
      <c r="F1246">
        <v>2</v>
      </c>
      <c r="G1246">
        <v>4</v>
      </c>
      <c r="H1246" t="s">
        <v>60</v>
      </c>
      <c r="I1246">
        <v>1745</v>
      </c>
      <c r="J1246">
        <v>4</v>
      </c>
      <c r="K1246" s="17" t="s">
        <v>39</v>
      </c>
      <c r="L1246">
        <v>78</v>
      </c>
      <c r="M1246">
        <v>2</v>
      </c>
      <c r="N1246">
        <v>1</v>
      </c>
      <c r="O1246" s="17" t="s">
        <v>47</v>
      </c>
      <c r="P1246" s="14">
        <v>1</v>
      </c>
      <c r="Q1246" t="s">
        <v>41</v>
      </c>
      <c r="R1246" s="14">
        <v>4968</v>
      </c>
      <c r="S1246" s="17" t="str">
        <f t="shared" si="38"/>
        <v>medium</v>
      </c>
      <c r="T1246">
        <v>26427</v>
      </c>
      <c r="U1246">
        <v>0</v>
      </c>
      <c r="V1246" s="17" t="s">
        <v>43</v>
      </c>
      <c r="W1246">
        <v>16</v>
      </c>
      <c r="X1246">
        <v>3</v>
      </c>
      <c r="Y1246">
        <v>4</v>
      </c>
      <c r="Z1246">
        <v>0</v>
      </c>
      <c r="AA1246">
        <v>10</v>
      </c>
      <c r="AB1246">
        <v>2</v>
      </c>
      <c r="AC1246">
        <v>3</v>
      </c>
      <c r="AD1246" s="14">
        <v>9</v>
      </c>
      <c r="AE1246" t="str">
        <f t="shared" si="39"/>
        <v>6-10 years</v>
      </c>
      <c r="AF1246" s="14">
        <v>7</v>
      </c>
      <c r="AG1246" s="14">
        <v>0</v>
      </c>
      <c r="AH1246" s="14">
        <v>7</v>
      </c>
    </row>
    <row r="1247" spans="1:34" x14ac:dyDescent="0.3">
      <c r="A1247" s="14">
        <v>24</v>
      </c>
      <c r="B1247" s="17" t="s">
        <v>43</v>
      </c>
      <c r="C1247" t="s">
        <v>44</v>
      </c>
      <c r="D1247">
        <v>897</v>
      </c>
      <c r="E1247" s="17" t="s">
        <v>61</v>
      </c>
      <c r="F1247">
        <v>10</v>
      </c>
      <c r="G1247">
        <v>3</v>
      </c>
      <c r="H1247" t="s">
        <v>51</v>
      </c>
      <c r="I1247">
        <v>1746</v>
      </c>
      <c r="J1247">
        <v>1</v>
      </c>
      <c r="K1247" s="17" t="s">
        <v>46</v>
      </c>
      <c r="L1247">
        <v>59</v>
      </c>
      <c r="M1247">
        <v>3</v>
      </c>
      <c r="N1247">
        <v>1</v>
      </c>
      <c r="O1247" s="17" t="s">
        <v>61</v>
      </c>
      <c r="P1247" s="14">
        <v>4</v>
      </c>
      <c r="Q1247" t="s">
        <v>48</v>
      </c>
      <c r="R1247" s="14">
        <v>2145</v>
      </c>
      <c r="S1247" s="17" t="str">
        <f t="shared" si="38"/>
        <v>low</v>
      </c>
      <c r="T1247">
        <v>2097</v>
      </c>
      <c r="U1247">
        <v>0</v>
      </c>
      <c r="V1247" s="17" t="s">
        <v>43</v>
      </c>
      <c r="W1247">
        <v>14</v>
      </c>
      <c r="X1247">
        <v>3</v>
      </c>
      <c r="Y1247">
        <v>4</v>
      </c>
      <c r="Z1247">
        <v>1</v>
      </c>
      <c r="AA1247">
        <v>3</v>
      </c>
      <c r="AB1247">
        <v>2</v>
      </c>
      <c r="AC1247">
        <v>3</v>
      </c>
      <c r="AD1247" s="14">
        <v>2</v>
      </c>
      <c r="AE1247" t="str">
        <f t="shared" si="39"/>
        <v>0-2 years</v>
      </c>
      <c r="AF1247" s="14">
        <v>2</v>
      </c>
      <c r="AG1247" s="14">
        <v>2</v>
      </c>
      <c r="AH1247" s="14">
        <v>1</v>
      </c>
    </row>
    <row r="1248" spans="1:34" x14ac:dyDescent="0.3">
      <c r="A1248" s="14">
        <v>30</v>
      </c>
      <c r="B1248" s="17" t="s">
        <v>35</v>
      </c>
      <c r="C1248" t="s">
        <v>44</v>
      </c>
      <c r="D1248">
        <v>600</v>
      </c>
      <c r="E1248" s="17" t="s">
        <v>61</v>
      </c>
      <c r="F1248">
        <v>8</v>
      </c>
      <c r="G1248">
        <v>3</v>
      </c>
      <c r="H1248" t="s">
        <v>61</v>
      </c>
      <c r="I1248">
        <v>1747</v>
      </c>
      <c r="J1248">
        <v>3</v>
      </c>
      <c r="K1248" s="17" t="s">
        <v>39</v>
      </c>
      <c r="L1248">
        <v>66</v>
      </c>
      <c r="M1248">
        <v>2</v>
      </c>
      <c r="N1248">
        <v>1</v>
      </c>
      <c r="O1248" s="17" t="s">
        <v>61</v>
      </c>
      <c r="P1248" s="14">
        <v>4</v>
      </c>
      <c r="Q1248" t="s">
        <v>52</v>
      </c>
      <c r="R1248" s="14">
        <v>2180</v>
      </c>
      <c r="S1248" s="17" t="str">
        <f t="shared" si="38"/>
        <v>low</v>
      </c>
      <c r="T1248">
        <v>9732</v>
      </c>
      <c r="U1248">
        <v>6</v>
      </c>
      <c r="V1248" s="17" t="s">
        <v>43</v>
      </c>
      <c r="W1248">
        <v>11</v>
      </c>
      <c r="X1248">
        <v>3</v>
      </c>
      <c r="Y1248">
        <v>3</v>
      </c>
      <c r="Z1248">
        <v>1</v>
      </c>
      <c r="AA1248">
        <v>6</v>
      </c>
      <c r="AB1248">
        <v>0</v>
      </c>
      <c r="AC1248">
        <v>2</v>
      </c>
      <c r="AD1248" s="14">
        <v>4</v>
      </c>
      <c r="AE1248" t="str">
        <f t="shared" si="39"/>
        <v>3-5 years</v>
      </c>
      <c r="AF1248" s="14">
        <v>2</v>
      </c>
      <c r="AG1248" s="14">
        <v>1</v>
      </c>
      <c r="AH1248" s="14">
        <v>2</v>
      </c>
    </row>
    <row r="1249" spans="1:34" x14ac:dyDescent="0.3">
      <c r="A1249" s="14">
        <v>31</v>
      </c>
      <c r="B1249" s="17" t="s">
        <v>43</v>
      </c>
      <c r="C1249" t="s">
        <v>36</v>
      </c>
      <c r="D1249">
        <v>1003</v>
      </c>
      <c r="E1249" s="17" t="s">
        <v>37</v>
      </c>
      <c r="F1249">
        <v>5</v>
      </c>
      <c r="G1249">
        <v>3</v>
      </c>
      <c r="H1249" t="s">
        <v>60</v>
      </c>
      <c r="I1249">
        <v>1749</v>
      </c>
      <c r="J1249">
        <v>1</v>
      </c>
      <c r="K1249" s="17" t="s">
        <v>46</v>
      </c>
      <c r="L1249">
        <v>51</v>
      </c>
      <c r="M1249">
        <v>3</v>
      </c>
      <c r="N1249">
        <v>2</v>
      </c>
      <c r="O1249" s="17" t="s">
        <v>40</v>
      </c>
      <c r="P1249" s="14">
        <v>3</v>
      </c>
      <c r="Q1249" t="s">
        <v>48</v>
      </c>
      <c r="R1249" s="14">
        <v>8346</v>
      </c>
      <c r="S1249" s="17" t="str">
        <f t="shared" si="38"/>
        <v>high</v>
      </c>
      <c r="T1249">
        <v>20943</v>
      </c>
      <c r="U1249">
        <v>1</v>
      </c>
      <c r="V1249" s="17" t="s">
        <v>43</v>
      </c>
      <c r="W1249">
        <v>19</v>
      </c>
      <c r="X1249">
        <v>3</v>
      </c>
      <c r="Y1249">
        <v>3</v>
      </c>
      <c r="Z1249">
        <v>1</v>
      </c>
      <c r="AA1249">
        <v>6</v>
      </c>
      <c r="AB1249">
        <v>3</v>
      </c>
      <c r="AC1249">
        <v>3</v>
      </c>
      <c r="AD1249" s="14">
        <v>5</v>
      </c>
      <c r="AE1249" t="str">
        <f t="shared" si="39"/>
        <v>3-5 years</v>
      </c>
      <c r="AF1249" s="14">
        <v>2</v>
      </c>
      <c r="AG1249" s="14">
        <v>0</v>
      </c>
      <c r="AH1249" s="14">
        <v>2</v>
      </c>
    </row>
    <row r="1250" spans="1:34" x14ac:dyDescent="0.3">
      <c r="A1250" s="14">
        <v>27</v>
      </c>
      <c r="B1250" s="17" t="s">
        <v>43</v>
      </c>
      <c r="C1250" t="s">
        <v>36</v>
      </c>
      <c r="D1250">
        <v>1054</v>
      </c>
      <c r="E1250" s="17" t="s">
        <v>45</v>
      </c>
      <c r="F1250">
        <v>8</v>
      </c>
      <c r="G1250">
        <v>3</v>
      </c>
      <c r="H1250" t="s">
        <v>51</v>
      </c>
      <c r="I1250">
        <v>1751</v>
      </c>
      <c r="J1250">
        <v>3</v>
      </c>
      <c r="K1250" s="17" t="s">
        <v>39</v>
      </c>
      <c r="L1250">
        <v>67</v>
      </c>
      <c r="M1250">
        <v>3</v>
      </c>
      <c r="N1250">
        <v>1</v>
      </c>
      <c r="O1250" s="17" t="s">
        <v>47</v>
      </c>
      <c r="P1250" s="14">
        <v>4</v>
      </c>
      <c r="Q1250" t="s">
        <v>41</v>
      </c>
      <c r="R1250" s="14">
        <v>3445</v>
      </c>
      <c r="S1250" s="17" t="str">
        <f t="shared" si="38"/>
        <v>medium</v>
      </c>
      <c r="T1250">
        <v>6152</v>
      </c>
      <c r="U1250">
        <v>1</v>
      </c>
      <c r="V1250" s="17" t="s">
        <v>43</v>
      </c>
      <c r="W1250">
        <v>11</v>
      </c>
      <c r="X1250">
        <v>3</v>
      </c>
      <c r="Y1250">
        <v>3</v>
      </c>
      <c r="Z1250">
        <v>0</v>
      </c>
      <c r="AA1250">
        <v>6</v>
      </c>
      <c r="AB1250">
        <v>5</v>
      </c>
      <c r="AC1250">
        <v>2</v>
      </c>
      <c r="AD1250" s="14">
        <v>6</v>
      </c>
      <c r="AE1250" t="str">
        <f t="shared" si="39"/>
        <v>6-10 years</v>
      </c>
      <c r="AF1250" s="14">
        <v>2</v>
      </c>
      <c r="AG1250" s="14">
        <v>1</v>
      </c>
      <c r="AH1250" s="14">
        <v>4</v>
      </c>
    </row>
    <row r="1251" spans="1:34" x14ac:dyDescent="0.3">
      <c r="A1251" s="14">
        <v>29</v>
      </c>
      <c r="B1251" s="17" t="s">
        <v>35</v>
      </c>
      <c r="C1251" t="s">
        <v>36</v>
      </c>
      <c r="D1251">
        <v>428</v>
      </c>
      <c r="E1251" s="17" t="s">
        <v>37</v>
      </c>
      <c r="F1251">
        <v>9</v>
      </c>
      <c r="G1251">
        <v>3</v>
      </c>
      <c r="H1251" t="s">
        <v>59</v>
      </c>
      <c r="I1251">
        <v>1752</v>
      </c>
      <c r="J1251">
        <v>2</v>
      </c>
      <c r="K1251" s="17" t="s">
        <v>39</v>
      </c>
      <c r="L1251">
        <v>52</v>
      </c>
      <c r="M1251">
        <v>1</v>
      </c>
      <c r="N1251">
        <v>1</v>
      </c>
      <c r="O1251" s="17" t="s">
        <v>57</v>
      </c>
      <c r="P1251" s="14">
        <v>2</v>
      </c>
      <c r="Q1251" t="s">
        <v>41</v>
      </c>
      <c r="R1251" s="14">
        <v>2760</v>
      </c>
      <c r="S1251" s="17" t="str">
        <f t="shared" si="38"/>
        <v>low</v>
      </c>
      <c r="T1251">
        <v>14630</v>
      </c>
      <c r="U1251">
        <v>1</v>
      </c>
      <c r="V1251" s="17" t="s">
        <v>43</v>
      </c>
      <c r="W1251">
        <v>13</v>
      </c>
      <c r="X1251">
        <v>3</v>
      </c>
      <c r="Y1251">
        <v>3</v>
      </c>
      <c r="Z1251">
        <v>0</v>
      </c>
      <c r="AA1251">
        <v>2</v>
      </c>
      <c r="AB1251">
        <v>3</v>
      </c>
      <c r="AC1251">
        <v>3</v>
      </c>
      <c r="AD1251" s="14">
        <v>2</v>
      </c>
      <c r="AE1251" t="str">
        <f t="shared" si="39"/>
        <v>0-2 years</v>
      </c>
      <c r="AF1251" s="14">
        <v>2</v>
      </c>
      <c r="AG1251" s="14">
        <v>2</v>
      </c>
      <c r="AH1251" s="14">
        <v>2</v>
      </c>
    </row>
    <row r="1252" spans="1:34" x14ac:dyDescent="0.3">
      <c r="A1252" s="14">
        <v>29</v>
      </c>
      <c r="B1252" s="17" t="s">
        <v>43</v>
      </c>
      <c r="C1252" t="s">
        <v>44</v>
      </c>
      <c r="D1252">
        <v>461</v>
      </c>
      <c r="E1252" s="17" t="s">
        <v>45</v>
      </c>
      <c r="F1252">
        <v>1</v>
      </c>
      <c r="G1252">
        <v>3</v>
      </c>
      <c r="H1252" t="s">
        <v>38</v>
      </c>
      <c r="I1252">
        <v>1753</v>
      </c>
      <c r="J1252">
        <v>4</v>
      </c>
      <c r="K1252" s="17" t="s">
        <v>46</v>
      </c>
      <c r="L1252">
        <v>70</v>
      </c>
      <c r="M1252">
        <v>4</v>
      </c>
      <c r="N1252">
        <v>2</v>
      </c>
      <c r="O1252" s="17" t="s">
        <v>54</v>
      </c>
      <c r="P1252" s="14">
        <v>3</v>
      </c>
      <c r="Q1252" t="s">
        <v>41</v>
      </c>
      <c r="R1252" s="14">
        <v>6294</v>
      </c>
      <c r="S1252" s="17" t="str">
        <f t="shared" si="38"/>
        <v>medium</v>
      </c>
      <c r="T1252">
        <v>23060</v>
      </c>
      <c r="U1252">
        <v>8</v>
      </c>
      <c r="V1252" s="17" t="s">
        <v>35</v>
      </c>
      <c r="W1252">
        <v>12</v>
      </c>
      <c r="X1252">
        <v>3</v>
      </c>
      <c r="Y1252">
        <v>4</v>
      </c>
      <c r="Z1252">
        <v>0</v>
      </c>
      <c r="AA1252">
        <v>10</v>
      </c>
      <c r="AB1252">
        <v>5</v>
      </c>
      <c r="AC1252">
        <v>4</v>
      </c>
      <c r="AD1252" s="14">
        <v>3</v>
      </c>
      <c r="AE1252" t="str">
        <f t="shared" si="39"/>
        <v>3-5 years</v>
      </c>
      <c r="AF1252" s="14">
        <v>2</v>
      </c>
      <c r="AG1252" s="14">
        <v>0</v>
      </c>
      <c r="AH1252" s="14">
        <v>2</v>
      </c>
    </row>
    <row r="1253" spans="1:34" x14ac:dyDescent="0.3">
      <c r="A1253" s="14">
        <v>30</v>
      </c>
      <c r="B1253" s="17" t="s">
        <v>43</v>
      </c>
      <c r="C1253" t="s">
        <v>36</v>
      </c>
      <c r="D1253">
        <v>979</v>
      </c>
      <c r="E1253" s="17" t="s">
        <v>37</v>
      </c>
      <c r="F1253">
        <v>15</v>
      </c>
      <c r="G1253">
        <v>2</v>
      </c>
      <c r="H1253" t="s">
        <v>59</v>
      </c>
      <c r="I1253">
        <v>1754</v>
      </c>
      <c r="J1253">
        <v>3</v>
      </c>
      <c r="K1253" s="17" t="s">
        <v>46</v>
      </c>
      <c r="L1253">
        <v>94</v>
      </c>
      <c r="M1253">
        <v>2</v>
      </c>
      <c r="N1253">
        <v>3</v>
      </c>
      <c r="O1253" s="17" t="s">
        <v>40</v>
      </c>
      <c r="P1253" s="14">
        <v>1</v>
      </c>
      <c r="Q1253" t="s">
        <v>52</v>
      </c>
      <c r="R1253" s="14">
        <v>7140</v>
      </c>
      <c r="S1253" s="17" t="str">
        <f t="shared" si="38"/>
        <v>high</v>
      </c>
      <c r="T1253">
        <v>3088</v>
      </c>
      <c r="U1253">
        <v>2</v>
      </c>
      <c r="V1253" s="17" t="s">
        <v>43</v>
      </c>
      <c r="W1253">
        <v>11</v>
      </c>
      <c r="X1253">
        <v>3</v>
      </c>
      <c r="Y1253">
        <v>1</v>
      </c>
      <c r="Z1253">
        <v>1</v>
      </c>
      <c r="AA1253">
        <v>12</v>
      </c>
      <c r="AB1253">
        <v>2</v>
      </c>
      <c r="AC1253">
        <v>3</v>
      </c>
      <c r="AD1253" s="14">
        <v>7</v>
      </c>
      <c r="AE1253" t="str">
        <f t="shared" si="39"/>
        <v>6-10 years</v>
      </c>
      <c r="AF1253" s="14">
        <v>7</v>
      </c>
      <c r="AG1253" s="14">
        <v>1</v>
      </c>
      <c r="AH1253" s="14">
        <v>7</v>
      </c>
    </row>
    <row r="1254" spans="1:34" x14ac:dyDescent="0.3">
      <c r="A1254" s="14">
        <v>34</v>
      </c>
      <c r="B1254" s="17" t="s">
        <v>43</v>
      </c>
      <c r="C1254" t="s">
        <v>36</v>
      </c>
      <c r="D1254">
        <v>181</v>
      </c>
      <c r="E1254" s="17" t="s">
        <v>45</v>
      </c>
      <c r="F1254">
        <v>2</v>
      </c>
      <c r="G1254">
        <v>4</v>
      </c>
      <c r="H1254" t="s">
        <v>51</v>
      </c>
      <c r="I1254">
        <v>1755</v>
      </c>
      <c r="J1254">
        <v>4</v>
      </c>
      <c r="K1254" s="17" t="s">
        <v>46</v>
      </c>
      <c r="L1254">
        <v>97</v>
      </c>
      <c r="M1254">
        <v>4</v>
      </c>
      <c r="N1254">
        <v>1</v>
      </c>
      <c r="O1254" s="17" t="s">
        <v>47</v>
      </c>
      <c r="P1254" s="14">
        <v>4</v>
      </c>
      <c r="Q1254" t="s">
        <v>48</v>
      </c>
      <c r="R1254" s="14">
        <v>2932</v>
      </c>
      <c r="S1254" s="17" t="str">
        <f t="shared" si="38"/>
        <v>low</v>
      </c>
      <c r="T1254">
        <v>5586</v>
      </c>
      <c r="U1254">
        <v>0</v>
      </c>
      <c r="V1254" s="17" t="s">
        <v>35</v>
      </c>
      <c r="W1254">
        <v>14</v>
      </c>
      <c r="X1254">
        <v>3</v>
      </c>
      <c r="Y1254">
        <v>1</v>
      </c>
      <c r="Z1254">
        <v>3</v>
      </c>
      <c r="AA1254">
        <v>6</v>
      </c>
      <c r="AB1254">
        <v>3</v>
      </c>
      <c r="AC1254">
        <v>3</v>
      </c>
      <c r="AD1254" s="14">
        <v>5</v>
      </c>
      <c r="AE1254" t="str">
        <f t="shared" si="39"/>
        <v>3-5 years</v>
      </c>
      <c r="AF1254" s="14">
        <v>0</v>
      </c>
      <c r="AG1254" s="14">
        <v>1</v>
      </c>
      <c r="AH1254" s="14">
        <v>2</v>
      </c>
    </row>
    <row r="1255" spans="1:34" x14ac:dyDescent="0.3">
      <c r="A1255" s="14">
        <v>33</v>
      </c>
      <c r="B1255" s="17" t="s">
        <v>43</v>
      </c>
      <c r="C1255" t="s">
        <v>55</v>
      </c>
      <c r="D1255">
        <v>1283</v>
      </c>
      <c r="E1255" s="17" t="s">
        <v>37</v>
      </c>
      <c r="F1255">
        <v>2</v>
      </c>
      <c r="G1255">
        <v>3</v>
      </c>
      <c r="H1255" t="s">
        <v>59</v>
      </c>
      <c r="I1255">
        <v>1756</v>
      </c>
      <c r="J1255">
        <v>4</v>
      </c>
      <c r="K1255" s="17" t="s">
        <v>39</v>
      </c>
      <c r="L1255">
        <v>62</v>
      </c>
      <c r="M1255">
        <v>3</v>
      </c>
      <c r="N1255">
        <v>2</v>
      </c>
      <c r="O1255" s="17" t="s">
        <v>40</v>
      </c>
      <c r="P1255" s="14">
        <v>2</v>
      </c>
      <c r="Q1255" t="s">
        <v>41</v>
      </c>
      <c r="R1255" s="14">
        <v>5147</v>
      </c>
      <c r="S1255" s="17" t="str">
        <f t="shared" si="38"/>
        <v>medium</v>
      </c>
      <c r="T1255">
        <v>10697</v>
      </c>
      <c r="U1255">
        <v>8</v>
      </c>
      <c r="V1255" s="17" t="s">
        <v>43</v>
      </c>
      <c r="W1255">
        <v>15</v>
      </c>
      <c r="X1255">
        <v>3</v>
      </c>
      <c r="Y1255">
        <v>4</v>
      </c>
      <c r="Z1255">
        <v>0</v>
      </c>
      <c r="AA1255">
        <v>13</v>
      </c>
      <c r="AB1255">
        <v>2</v>
      </c>
      <c r="AC1255">
        <v>2</v>
      </c>
      <c r="AD1255" s="14">
        <v>11</v>
      </c>
      <c r="AE1255" t="str">
        <f t="shared" si="39"/>
        <v>10+ years</v>
      </c>
      <c r="AF1255" s="14">
        <v>7</v>
      </c>
      <c r="AG1255" s="14">
        <v>1</v>
      </c>
      <c r="AH1255" s="14">
        <v>7</v>
      </c>
    </row>
    <row r="1256" spans="1:34" x14ac:dyDescent="0.3">
      <c r="A1256" s="14">
        <v>49</v>
      </c>
      <c r="B1256" s="17" t="s">
        <v>43</v>
      </c>
      <c r="C1256" t="s">
        <v>36</v>
      </c>
      <c r="D1256">
        <v>1313</v>
      </c>
      <c r="E1256" s="17" t="s">
        <v>37</v>
      </c>
      <c r="F1256">
        <v>11</v>
      </c>
      <c r="G1256">
        <v>4</v>
      </c>
      <c r="H1256" t="s">
        <v>59</v>
      </c>
      <c r="I1256">
        <v>1757</v>
      </c>
      <c r="J1256">
        <v>4</v>
      </c>
      <c r="K1256" s="17" t="s">
        <v>39</v>
      </c>
      <c r="L1256">
        <v>80</v>
      </c>
      <c r="M1256">
        <v>3</v>
      </c>
      <c r="N1256">
        <v>2</v>
      </c>
      <c r="O1256" s="17" t="s">
        <v>40</v>
      </c>
      <c r="P1256" s="14">
        <v>4</v>
      </c>
      <c r="Q1256" t="s">
        <v>41</v>
      </c>
      <c r="R1256" s="14">
        <v>4507</v>
      </c>
      <c r="S1256" s="17" t="str">
        <f t="shared" si="38"/>
        <v>medium</v>
      </c>
      <c r="T1256">
        <v>8191</v>
      </c>
      <c r="U1256">
        <v>3</v>
      </c>
      <c r="V1256" s="17" t="s">
        <v>43</v>
      </c>
      <c r="W1256">
        <v>12</v>
      </c>
      <c r="X1256">
        <v>3</v>
      </c>
      <c r="Y1256">
        <v>3</v>
      </c>
      <c r="Z1256">
        <v>0</v>
      </c>
      <c r="AA1256">
        <v>8</v>
      </c>
      <c r="AB1256">
        <v>1</v>
      </c>
      <c r="AC1256">
        <v>4</v>
      </c>
      <c r="AD1256" s="14">
        <v>5</v>
      </c>
      <c r="AE1256" t="str">
        <f t="shared" si="39"/>
        <v>3-5 years</v>
      </c>
      <c r="AF1256" s="14">
        <v>1</v>
      </c>
      <c r="AG1256" s="14">
        <v>0</v>
      </c>
      <c r="AH1256" s="14">
        <v>4</v>
      </c>
    </row>
    <row r="1257" spans="1:34" x14ac:dyDescent="0.3">
      <c r="A1257" s="14">
        <v>33</v>
      </c>
      <c r="B1257" s="17" t="s">
        <v>35</v>
      </c>
      <c r="C1257" t="s">
        <v>36</v>
      </c>
      <c r="D1257">
        <v>211</v>
      </c>
      <c r="E1257" s="17" t="s">
        <v>37</v>
      </c>
      <c r="F1257">
        <v>16</v>
      </c>
      <c r="G1257">
        <v>3</v>
      </c>
      <c r="H1257" t="s">
        <v>38</v>
      </c>
      <c r="I1257">
        <v>1758</v>
      </c>
      <c r="J1257">
        <v>1</v>
      </c>
      <c r="K1257" s="17" t="s">
        <v>39</v>
      </c>
      <c r="L1257">
        <v>74</v>
      </c>
      <c r="M1257">
        <v>3</v>
      </c>
      <c r="N1257">
        <v>3</v>
      </c>
      <c r="O1257" s="17" t="s">
        <v>40</v>
      </c>
      <c r="P1257" s="14">
        <v>1</v>
      </c>
      <c r="Q1257" t="s">
        <v>41</v>
      </c>
      <c r="R1257" s="14">
        <v>8564</v>
      </c>
      <c r="S1257" s="17" t="str">
        <f t="shared" si="38"/>
        <v>high</v>
      </c>
      <c r="T1257">
        <v>10092</v>
      </c>
      <c r="U1257">
        <v>2</v>
      </c>
      <c r="V1257" s="17" t="s">
        <v>35</v>
      </c>
      <c r="W1257">
        <v>20</v>
      </c>
      <c r="X1257">
        <v>4</v>
      </c>
      <c r="Y1257">
        <v>3</v>
      </c>
      <c r="Z1257">
        <v>0</v>
      </c>
      <c r="AA1257">
        <v>11</v>
      </c>
      <c r="AB1257">
        <v>2</v>
      </c>
      <c r="AC1257">
        <v>2</v>
      </c>
      <c r="AD1257" s="14">
        <v>0</v>
      </c>
      <c r="AE1257" t="str">
        <f t="shared" si="39"/>
        <v>0-2 years</v>
      </c>
      <c r="AF1257" s="14">
        <v>0</v>
      </c>
      <c r="AG1257" s="14">
        <v>0</v>
      </c>
      <c r="AH1257" s="14">
        <v>0</v>
      </c>
    </row>
    <row r="1258" spans="1:34" x14ac:dyDescent="0.3">
      <c r="A1258" s="14">
        <v>38</v>
      </c>
      <c r="B1258" s="17" t="s">
        <v>43</v>
      </c>
      <c r="C1258" t="s">
        <v>44</v>
      </c>
      <c r="D1258">
        <v>594</v>
      </c>
      <c r="E1258" s="17" t="s">
        <v>45</v>
      </c>
      <c r="F1258">
        <v>2</v>
      </c>
      <c r="G1258">
        <v>2</v>
      </c>
      <c r="H1258" t="s">
        <v>51</v>
      </c>
      <c r="I1258">
        <v>1760</v>
      </c>
      <c r="J1258">
        <v>3</v>
      </c>
      <c r="K1258" s="17" t="s">
        <v>39</v>
      </c>
      <c r="L1258">
        <v>75</v>
      </c>
      <c r="M1258">
        <v>2</v>
      </c>
      <c r="N1258">
        <v>1</v>
      </c>
      <c r="O1258" s="17" t="s">
        <v>50</v>
      </c>
      <c r="P1258" s="14">
        <v>2</v>
      </c>
      <c r="Q1258" t="s">
        <v>48</v>
      </c>
      <c r="R1258" s="14">
        <v>2468</v>
      </c>
      <c r="S1258" s="17" t="str">
        <f t="shared" si="38"/>
        <v>low</v>
      </c>
      <c r="T1258">
        <v>15963</v>
      </c>
      <c r="U1258">
        <v>4</v>
      </c>
      <c r="V1258" s="17" t="s">
        <v>43</v>
      </c>
      <c r="W1258">
        <v>14</v>
      </c>
      <c r="X1258">
        <v>3</v>
      </c>
      <c r="Y1258">
        <v>2</v>
      </c>
      <c r="Z1258">
        <v>1</v>
      </c>
      <c r="AA1258">
        <v>9</v>
      </c>
      <c r="AB1258">
        <v>4</v>
      </c>
      <c r="AC1258">
        <v>2</v>
      </c>
      <c r="AD1258" s="14">
        <v>6</v>
      </c>
      <c r="AE1258" t="str">
        <f t="shared" si="39"/>
        <v>6-10 years</v>
      </c>
      <c r="AF1258" s="14">
        <v>1</v>
      </c>
      <c r="AG1258" s="14">
        <v>0</v>
      </c>
      <c r="AH1258" s="14">
        <v>5</v>
      </c>
    </row>
    <row r="1259" spans="1:34" x14ac:dyDescent="0.3">
      <c r="A1259" s="14">
        <v>31</v>
      </c>
      <c r="B1259" s="17" t="s">
        <v>35</v>
      </c>
      <c r="C1259" t="s">
        <v>36</v>
      </c>
      <c r="D1259">
        <v>1079</v>
      </c>
      <c r="E1259" s="17" t="s">
        <v>37</v>
      </c>
      <c r="F1259">
        <v>16</v>
      </c>
      <c r="G1259">
        <v>4</v>
      </c>
      <c r="H1259" t="s">
        <v>59</v>
      </c>
      <c r="I1259">
        <v>1761</v>
      </c>
      <c r="J1259">
        <v>1</v>
      </c>
      <c r="K1259" s="17" t="s">
        <v>46</v>
      </c>
      <c r="L1259">
        <v>70</v>
      </c>
      <c r="M1259">
        <v>3</v>
      </c>
      <c r="N1259">
        <v>3</v>
      </c>
      <c r="O1259" s="17" t="s">
        <v>40</v>
      </c>
      <c r="P1259" s="14">
        <v>3</v>
      </c>
      <c r="Q1259" t="s">
        <v>48</v>
      </c>
      <c r="R1259" s="14">
        <v>8161</v>
      </c>
      <c r="S1259" s="17" t="str">
        <f t="shared" si="38"/>
        <v>high</v>
      </c>
      <c r="T1259">
        <v>19002</v>
      </c>
      <c r="U1259">
        <v>2</v>
      </c>
      <c r="V1259" s="17" t="s">
        <v>43</v>
      </c>
      <c r="W1259">
        <v>13</v>
      </c>
      <c r="X1259">
        <v>3</v>
      </c>
      <c r="Y1259">
        <v>1</v>
      </c>
      <c r="Z1259">
        <v>3</v>
      </c>
      <c r="AA1259">
        <v>10</v>
      </c>
      <c r="AB1259">
        <v>2</v>
      </c>
      <c r="AC1259">
        <v>3</v>
      </c>
      <c r="AD1259" s="14">
        <v>1</v>
      </c>
      <c r="AE1259" t="str">
        <f t="shared" si="39"/>
        <v>0-2 years</v>
      </c>
      <c r="AF1259" s="14">
        <v>0</v>
      </c>
      <c r="AG1259" s="14">
        <v>0</v>
      </c>
      <c r="AH1259" s="14">
        <v>0</v>
      </c>
    </row>
    <row r="1260" spans="1:34" x14ac:dyDescent="0.3">
      <c r="A1260" s="14">
        <v>29</v>
      </c>
      <c r="B1260" s="17" t="s">
        <v>43</v>
      </c>
      <c r="C1260" t="s">
        <v>36</v>
      </c>
      <c r="D1260">
        <v>590</v>
      </c>
      <c r="E1260" s="17" t="s">
        <v>45</v>
      </c>
      <c r="F1260">
        <v>4</v>
      </c>
      <c r="G1260">
        <v>3</v>
      </c>
      <c r="H1260" t="s">
        <v>60</v>
      </c>
      <c r="I1260">
        <v>1762</v>
      </c>
      <c r="J1260">
        <v>4</v>
      </c>
      <c r="K1260" s="17" t="s">
        <v>39</v>
      </c>
      <c r="L1260">
        <v>91</v>
      </c>
      <c r="M1260">
        <v>2</v>
      </c>
      <c r="N1260">
        <v>1</v>
      </c>
      <c r="O1260" s="17" t="s">
        <v>47</v>
      </c>
      <c r="P1260" s="14">
        <v>1</v>
      </c>
      <c r="Q1260" t="s">
        <v>52</v>
      </c>
      <c r="R1260" s="14">
        <v>2109</v>
      </c>
      <c r="S1260" s="17" t="str">
        <f t="shared" si="38"/>
        <v>low</v>
      </c>
      <c r="T1260">
        <v>10007</v>
      </c>
      <c r="U1260">
        <v>1</v>
      </c>
      <c r="V1260" s="17" t="s">
        <v>43</v>
      </c>
      <c r="W1260">
        <v>13</v>
      </c>
      <c r="X1260">
        <v>3</v>
      </c>
      <c r="Y1260">
        <v>3</v>
      </c>
      <c r="Z1260">
        <v>1</v>
      </c>
      <c r="AA1260">
        <v>1</v>
      </c>
      <c r="AB1260">
        <v>2</v>
      </c>
      <c r="AC1260">
        <v>3</v>
      </c>
      <c r="AD1260" s="14">
        <v>1</v>
      </c>
      <c r="AE1260" t="str">
        <f t="shared" si="39"/>
        <v>0-2 years</v>
      </c>
      <c r="AF1260" s="14">
        <v>0</v>
      </c>
      <c r="AG1260" s="14">
        <v>0</v>
      </c>
      <c r="AH1260" s="14">
        <v>0</v>
      </c>
    </row>
    <row r="1261" spans="1:34" x14ac:dyDescent="0.3">
      <c r="A1261" s="14">
        <v>30</v>
      </c>
      <c r="B1261" s="17" t="s">
        <v>43</v>
      </c>
      <c r="C1261" t="s">
        <v>36</v>
      </c>
      <c r="D1261">
        <v>305</v>
      </c>
      <c r="E1261" s="17" t="s">
        <v>45</v>
      </c>
      <c r="F1261">
        <v>16</v>
      </c>
      <c r="G1261">
        <v>3</v>
      </c>
      <c r="H1261" t="s">
        <v>38</v>
      </c>
      <c r="I1261">
        <v>1763</v>
      </c>
      <c r="J1261">
        <v>3</v>
      </c>
      <c r="K1261" s="17" t="s">
        <v>46</v>
      </c>
      <c r="L1261">
        <v>58</v>
      </c>
      <c r="M1261">
        <v>4</v>
      </c>
      <c r="N1261">
        <v>2</v>
      </c>
      <c r="O1261" s="17" t="s">
        <v>54</v>
      </c>
      <c r="P1261" s="14">
        <v>3</v>
      </c>
      <c r="Q1261" t="s">
        <v>48</v>
      </c>
      <c r="R1261" s="14">
        <v>5294</v>
      </c>
      <c r="S1261" s="17" t="str">
        <f t="shared" si="38"/>
        <v>medium</v>
      </c>
      <c r="T1261">
        <v>9128</v>
      </c>
      <c r="U1261">
        <v>3</v>
      </c>
      <c r="V1261" s="17" t="s">
        <v>43</v>
      </c>
      <c r="W1261">
        <v>16</v>
      </c>
      <c r="X1261">
        <v>3</v>
      </c>
      <c r="Y1261">
        <v>3</v>
      </c>
      <c r="Z1261">
        <v>1</v>
      </c>
      <c r="AA1261">
        <v>10</v>
      </c>
      <c r="AB1261">
        <v>3</v>
      </c>
      <c r="AC1261">
        <v>3</v>
      </c>
      <c r="AD1261" s="14">
        <v>7</v>
      </c>
      <c r="AE1261" t="str">
        <f t="shared" si="39"/>
        <v>6-10 years</v>
      </c>
      <c r="AF1261" s="14">
        <v>0</v>
      </c>
      <c r="AG1261" s="14">
        <v>1</v>
      </c>
      <c r="AH1261" s="14">
        <v>7</v>
      </c>
    </row>
    <row r="1262" spans="1:34" x14ac:dyDescent="0.3">
      <c r="A1262" s="14">
        <v>32</v>
      </c>
      <c r="B1262" s="17" t="s">
        <v>43</v>
      </c>
      <c r="C1262" t="s">
        <v>55</v>
      </c>
      <c r="D1262">
        <v>953</v>
      </c>
      <c r="E1262" s="17" t="s">
        <v>45</v>
      </c>
      <c r="F1262">
        <v>5</v>
      </c>
      <c r="G1262">
        <v>4</v>
      </c>
      <c r="H1262" t="s">
        <v>60</v>
      </c>
      <c r="I1262">
        <v>1764</v>
      </c>
      <c r="J1262">
        <v>2</v>
      </c>
      <c r="K1262" s="17" t="s">
        <v>46</v>
      </c>
      <c r="L1262">
        <v>65</v>
      </c>
      <c r="M1262">
        <v>3</v>
      </c>
      <c r="N1262">
        <v>1</v>
      </c>
      <c r="O1262" s="17" t="s">
        <v>47</v>
      </c>
      <c r="P1262" s="14">
        <v>2</v>
      </c>
      <c r="Q1262" t="s">
        <v>41</v>
      </c>
      <c r="R1262" s="14">
        <v>2718</v>
      </c>
      <c r="S1262" s="17" t="str">
        <f t="shared" si="38"/>
        <v>low</v>
      </c>
      <c r="T1262">
        <v>17674</v>
      </c>
      <c r="U1262">
        <v>2</v>
      </c>
      <c r="V1262" s="17" t="s">
        <v>43</v>
      </c>
      <c r="W1262">
        <v>14</v>
      </c>
      <c r="X1262">
        <v>3</v>
      </c>
      <c r="Y1262">
        <v>2</v>
      </c>
      <c r="Z1262">
        <v>0</v>
      </c>
      <c r="AA1262">
        <v>12</v>
      </c>
      <c r="AB1262">
        <v>3</v>
      </c>
      <c r="AC1262">
        <v>3</v>
      </c>
      <c r="AD1262" s="14">
        <v>7</v>
      </c>
      <c r="AE1262" t="str">
        <f t="shared" si="39"/>
        <v>6-10 years</v>
      </c>
      <c r="AF1262" s="14">
        <v>7</v>
      </c>
      <c r="AG1262" s="14">
        <v>0</v>
      </c>
      <c r="AH1262" s="14">
        <v>7</v>
      </c>
    </row>
    <row r="1263" spans="1:34" x14ac:dyDescent="0.3">
      <c r="A1263" s="14">
        <v>38</v>
      </c>
      <c r="B1263" s="17" t="s">
        <v>43</v>
      </c>
      <c r="C1263" t="s">
        <v>36</v>
      </c>
      <c r="D1263">
        <v>833</v>
      </c>
      <c r="E1263" s="17" t="s">
        <v>45</v>
      </c>
      <c r="F1263">
        <v>18</v>
      </c>
      <c r="G1263">
        <v>3</v>
      </c>
      <c r="H1263" t="s">
        <v>51</v>
      </c>
      <c r="I1263">
        <v>1766</v>
      </c>
      <c r="J1263">
        <v>2</v>
      </c>
      <c r="K1263" s="17" t="s">
        <v>46</v>
      </c>
      <c r="L1263">
        <v>60</v>
      </c>
      <c r="M1263">
        <v>1</v>
      </c>
      <c r="N1263">
        <v>2</v>
      </c>
      <c r="O1263" s="17" t="s">
        <v>54</v>
      </c>
      <c r="P1263" s="14">
        <v>4</v>
      </c>
      <c r="Q1263" t="s">
        <v>48</v>
      </c>
      <c r="R1263" s="14">
        <v>5811</v>
      </c>
      <c r="S1263" s="17" t="str">
        <f t="shared" si="38"/>
        <v>medium</v>
      </c>
      <c r="T1263">
        <v>24539</v>
      </c>
      <c r="U1263">
        <v>3</v>
      </c>
      <c r="V1263" s="17" t="s">
        <v>35</v>
      </c>
      <c r="W1263">
        <v>16</v>
      </c>
      <c r="X1263">
        <v>3</v>
      </c>
      <c r="Y1263">
        <v>3</v>
      </c>
      <c r="Z1263">
        <v>1</v>
      </c>
      <c r="AA1263">
        <v>15</v>
      </c>
      <c r="AB1263">
        <v>2</v>
      </c>
      <c r="AC1263">
        <v>3</v>
      </c>
      <c r="AD1263" s="14">
        <v>1</v>
      </c>
      <c r="AE1263" t="str">
        <f t="shared" si="39"/>
        <v>0-2 years</v>
      </c>
      <c r="AF1263" s="14">
        <v>0</v>
      </c>
      <c r="AG1263" s="14">
        <v>1</v>
      </c>
      <c r="AH1263" s="14">
        <v>0</v>
      </c>
    </row>
    <row r="1264" spans="1:34" x14ac:dyDescent="0.3">
      <c r="A1264" s="14">
        <v>43</v>
      </c>
      <c r="B1264" s="17" t="s">
        <v>35</v>
      </c>
      <c r="C1264" t="s">
        <v>44</v>
      </c>
      <c r="D1264">
        <v>807</v>
      </c>
      <c r="E1264" s="17" t="s">
        <v>45</v>
      </c>
      <c r="F1264">
        <v>17</v>
      </c>
      <c r="G1264">
        <v>3</v>
      </c>
      <c r="H1264" t="s">
        <v>60</v>
      </c>
      <c r="I1264">
        <v>1767</v>
      </c>
      <c r="J1264">
        <v>3</v>
      </c>
      <c r="K1264" s="17" t="s">
        <v>46</v>
      </c>
      <c r="L1264">
        <v>38</v>
      </c>
      <c r="M1264">
        <v>2</v>
      </c>
      <c r="N1264">
        <v>1</v>
      </c>
      <c r="O1264" s="17" t="s">
        <v>47</v>
      </c>
      <c r="P1264" s="14">
        <v>3</v>
      </c>
      <c r="Q1264" t="s">
        <v>48</v>
      </c>
      <c r="R1264" s="14">
        <v>2437</v>
      </c>
      <c r="S1264" s="17" t="str">
        <f t="shared" si="38"/>
        <v>low</v>
      </c>
      <c r="T1264">
        <v>15587</v>
      </c>
      <c r="U1264">
        <v>9</v>
      </c>
      <c r="V1264" s="17" t="s">
        <v>35</v>
      </c>
      <c r="W1264">
        <v>16</v>
      </c>
      <c r="X1264">
        <v>3</v>
      </c>
      <c r="Y1264">
        <v>4</v>
      </c>
      <c r="Z1264">
        <v>1</v>
      </c>
      <c r="AA1264">
        <v>6</v>
      </c>
      <c r="AB1264">
        <v>4</v>
      </c>
      <c r="AC1264">
        <v>3</v>
      </c>
      <c r="AD1264" s="14">
        <v>1</v>
      </c>
      <c r="AE1264" t="str">
        <f t="shared" si="39"/>
        <v>0-2 years</v>
      </c>
      <c r="AF1264" s="14">
        <v>0</v>
      </c>
      <c r="AG1264" s="14">
        <v>0</v>
      </c>
      <c r="AH1264" s="14">
        <v>0</v>
      </c>
    </row>
    <row r="1265" spans="1:34" x14ac:dyDescent="0.3">
      <c r="A1265" s="14">
        <v>42</v>
      </c>
      <c r="B1265" s="17" t="s">
        <v>43</v>
      </c>
      <c r="C1265" t="s">
        <v>36</v>
      </c>
      <c r="D1265">
        <v>855</v>
      </c>
      <c r="E1265" s="17" t="s">
        <v>45</v>
      </c>
      <c r="F1265">
        <v>12</v>
      </c>
      <c r="G1265">
        <v>3</v>
      </c>
      <c r="H1265" t="s">
        <v>51</v>
      </c>
      <c r="I1265">
        <v>1768</v>
      </c>
      <c r="J1265">
        <v>2</v>
      </c>
      <c r="K1265" s="17" t="s">
        <v>46</v>
      </c>
      <c r="L1265">
        <v>57</v>
      </c>
      <c r="M1265">
        <v>3</v>
      </c>
      <c r="N1265">
        <v>1</v>
      </c>
      <c r="O1265" s="17" t="s">
        <v>50</v>
      </c>
      <c r="P1265" s="14">
        <v>2</v>
      </c>
      <c r="Q1265" t="s">
        <v>52</v>
      </c>
      <c r="R1265" s="14">
        <v>2766</v>
      </c>
      <c r="S1265" s="17" t="str">
        <f t="shared" si="38"/>
        <v>low</v>
      </c>
      <c r="T1265">
        <v>8952</v>
      </c>
      <c r="U1265">
        <v>8</v>
      </c>
      <c r="V1265" s="17" t="s">
        <v>43</v>
      </c>
      <c r="W1265">
        <v>22</v>
      </c>
      <c r="X1265">
        <v>4</v>
      </c>
      <c r="Y1265">
        <v>2</v>
      </c>
      <c r="Z1265">
        <v>3</v>
      </c>
      <c r="AA1265">
        <v>7</v>
      </c>
      <c r="AB1265">
        <v>6</v>
      </c>
      <c r="AC1265">
        <v>2</v>
      </c>
      <c r="AD1265" s="14">
        <v>5</v>
      </c>
      <c r="AE1265" t="str">
        <f t="shared" si="39"/>
        <v>3-5 years</v>
      </c>
      <c r="AF1265" s="14">
        <v>3</v>
      </c>
      <c r="AG1265" s="14">
        <v>0</v>
      </c>
      <c r="AH1265" s="14">
        <v>4</v>
      </c>
    </row>
    <row r="1266" spans="1:34" x14ac:dyDescent="0.3">
      <c r="A1266" s="14">
        <v>55</v>
      </c>
      <c r="B1266" s="17" t="s">
        <v>43</v>
      </c>
      <c r="C1266" t="s">
        <v>36</v>
      </c>
      <c r="D1266">
        <v>478</v>
      </c>
      <c r="E1266" s="17" t="s">
        <v>45</v>
      </c>
      <c r="F1266">
        <v>2</v>
      </c>
      <c r="G1266">
        <v>3</v>
      </c>
      <c r="H1266" t="s">
        <v>51</v>
      </c>
      <c r="I1266">
        <v>1770</v>
      </c>
      <c r="J1266">
        <v>3</v>
      </c>
      <c r="K1266" s="17" t="s">
        <v>46</v>
      </c>
      <c r="L1266">
        <v>60</v>
      </c>
      <c r="M1266">
        <v>2</v>
      </c>
      <c r="N1266">
        <v>5</v>
      </c>
      <c r="O1266" s="17" t="s">
        <v>58</v>
      </c>
      <c r="P1266" s="14">
        <v>1</v>
      </c>
      <c r="Q1266" t="s">
        <v>48</v>
      </c>
      <c r="R1266" s="14">
        <v>19038</v>
      </c>
      <c r="S1266" s="17" t="str">
        <f t="shared" si="38"/>
        <v>high</v>
      </c>
      <c r="T1266">
        <v>19805</v>
      </c>
      <c r="U1266">
        <v>8</v>
      </c>
      <c r="V1266" s="17" t="s">
        <v>43</v>
      </c>
      <c r="W1266">
        <v>12</v>
      </c>
      <c r="X1266">
        <v>3</v>
      </c>
      <c r="Y1266">
        <v>2</v>
      </c>
      <c r="Z1266">
        <v>3</v>
      </c>
      <c r="AA1266">
        <v>34</v>
      </c>
      <c r="AB1266">
        <v>2</v>
      </c>
      <c r="AC1266">
        <v>3</v>
      </c>
      <c r="AD1266" s="14">
        <v>1</v>
      </c>
      <c r="AE1266" t="str">
        <f t="shared" si="39"/>
        <v>0-2 years</v>
      </c>
      <c r="AF1266" s="14">
        <v>0</v>
      </c>
      <c r="AG1266" s="14">
        <v>0</v>
      </c>
      <c r="AH1266" s="14">
        <v>0</v>
      </c>
    </row>
    <row r="1267" spans="1:34" x14ac:dyDescent="0.3">
      <c r="A1267" s="14">
        <v>33</v>
      </c>
      <c r="B1267" s="17" t="s">
        <v>43</v>
      </c>
      <c r="C1267" t="s">
        <v>55</v>
      </c>
      <c r="D1267">
        <v>775</v>
      </c>
      <c r="E1267" s="17" t="s">
        <v>45</v>
      </c>
      <c r="F1267">
        <v>4</v>
      </c>
      <c r="G1267">
        <v>3</v>
      </c>
      <c r="H1267" t="s">
        <v>60</v>
      </c>
      <c r="I1267">
        <v>1771</v>
      </c>
      <c r="J1267">
        <v>4</v>
      </c>
      <c r="K1267" s="17" t="s">
        <v>46</v>
      </c>
      <c r="L1267">
        <v>90</v>
      </c>
      <c r="M1267">
        <v>3</v>
      </c>
      <c r="N1267">
        <v>2</v>
      </c>
      <c r="O1267" s="17" t="s">
        <v>47</v>
      </c>
      <c r="P1267" s="14">
        <v>2</v>
      </c>
      <c r="Q1267" t="s">
        <v>52</v>
      </c>
      <c r="R1267" s="14">
        <v>3055</v>
      </c>
      <c r="S1267" s="17" t="str">
        <f t="shared" si="38"/>
        <v>medium</v>
      </c>
      <c r="T1267">
        <v>6194</v>
      </c>
      <c r="U1267">
        <v>5</v>
      </c>
      <c r="V1267" s="17" t="s">
        <v>43</v>
      </c>
      <c r="W1267">
        <v>15</v>
      </c>
      <c r="X1267">
        <v>3</v>
      </c>
      <c r="Y1267">
        <v>4</v>
      </c>
      <c r="Z1267">
        <v>2</v>
      </c>
      <c r="AA1267">
        <v>11</v>
      </c>
      <c r="AB1267">
        <v>2</v>
      </c>
      <c r="AC1267">
        <v>2</v>
      </c>
      <c r="AD1267" s="14">
        <v>9</v>
      </c>
      <c r="AE1267" t="str">
        <f t="shared" si="39"/>
        <v>6-10 years</v>
      </c>
      <c r="AF1267" s="14">
        <v>8</v>
      </c>
      <c r="AG1267" s="14">
        <v>1</v>
      </c>
      <c r="AH1267" s="14">
        <v>7</v>
      </c>
    </row>
    <row r="1268" spans="1:34" x14ac:dyDescent="0.3">
      <c r="A1268" s="14">
        <v>41</v>
      </c>
      <c r="B1268" s="17" t="s">
        <v>43</v>
      </c>
      <c r="C1268" t="s">
        <v>36</v>
      </c>
      <c r="D1268">
        <v>548</v>
      </c>
      <c r="E1268" s="17" t="s">
        <v>45</v>
      </c>
      <c r="F1268">
        <v>9</v>
      </c>
      <c r="G1268">
        <v>4</v>
      </c>
      <c r="H1268" t="s">
        <v>38</v>
      </c>
      <c r="I1268">
        <v>1772</v>
      </c>
      <c r="J1268">
        <v>3</v>
      </c>
      <c r="K1268" s="17" t="s">
        <v>46</v>
      </c>
      <c r="L1268">
        <v>94</v>
      </c>
      <c r="M1268">
        <v>3</v>
      </c>
      <c r="N1268">
        <v>1</v>
      </c>
      <c r="O1268" s="17" t="s">
        <v>50</v>
      </c>
      <c r="P1268" s="14">
        <v>1</v>
      </c>
      <c r="Q1268" t="s">
        <v>52</v>
      </c>
      <c r="R1268" s="14">
        <v>2289</v>
      </c>
      <c r="S1268" s="17" t="str">
        <f t="shared" si="38"/>
        <v>low</v>
      </c>
      <c r="T1268">
        <v>20520</v>
      </c>
      <c r="U1268">
        <v>1</v>
      </c>
      <c r="V1268" s="17" t="s">
        <v>43</v>
      </c>
      <c r="W1268">
        <v>20</v>
      </c>
      <c r="X1268">
        <v>4</v>
      </c>
      <c r="Y1268">
        <v>2</v>
      </c>
      <c r="Z1268">
        <v>2</v>
      </c>
      <c r="AA1268">
        <v>5</v>
      </c>
      <c r="AB1268">
        <v>2</v>
      </c>
      <c r="AC1268">
        <v>3</v>
      </c>
      <c r="AD1268" s="14">
        <v>5</v>
      </c>
      <c r="AE1268" t="str">
        <f t="shared" si="39"/>
        <v>3-5 years</v>
      </c>
      <c r="AF1268" s="14">
        <v>3</v>
      </c>
      <c r="AG1268" s="14">
        <v>0</v>
      </c>
      <c r="AH1268" s="14">
        <v>4</v>
      </c>
    </row>
    <row r="1269" spans="1:34" x14ac:dyDescent="0.3">
      <c r="A1269" s="14">
        <v>34</v>
      </c>
      <c r="B1269" s="17" t="s">
        <v>43</v>
      </c>
      <c r="C1269" t="s">
        <v>55</v>
      </c>
      <c r="D1269">
        <v>1375</v>
      </c>
      <c r="E1269" s="17" t="s">
        <v>37</v>
      </c>
      <c r="F1269">
        <v>10</v>
      </c>
      <c r="G1269">
        <v>3</v>
      </c>
      <c r="H1269" t="s">
        <v>38</v>
      </c>
      <c r="I1269">
        <v>1774</v>
      </c>
      <c r="J1269">
        <v>4</v>
      </c>
      <c r="K1269" s="17" t="s">
        <v>46</v>
      </c>
      <c r="L1269">
        <v>87</v>
      </c>
      <c r="M1269">
        <v>3</v>
      </c>
      <c r="N1269">
        <v>2</v>
      </c>
      <c r="O1269" s="17" t="s">
        <v>40</v>
      </c>
      <c r="P1269" s="14">
        <v>3</v>
      </c>
      <c r="Q1269" t="s">
        <v>52</v>
      </c>
      <c r="R1269" s="14">
        <v>4001</v>
      </c>
      <c r="S1269" s="17" t="str">
        <f t="shared" si="38"/>
        <v>medium</v>
      </c>
      <c r="T1269">
        <v>12313</v>
      </c>
      <c r="U1269">
        <v>1</v>
      </c>
      <c r="V1269" s="17" t="s">
        <v>35</v>
      </c>
      <c r="W1269">
        <v>14</v>
      </c>
      <c r="X1269">
        <v>3</v>
      </c>
      <c r="Y1269">
        <v>3</v>
      </c>
      <c r="Z1269">
        <v>1</v>
      </c>
      <c r="AA1269">
        <v>15</v>
      </c>
      <c r="AB1269">
        <v>3</v>
      </c>
      <c r="AC1269">
        <v>3</v>
      </c>
      <c r="AD1269" s="14">
        <v>15</v>
      </c>
      <c r="AE1269" t="str">
        <f t="shared" si="39"/>
        <v>10+ years</v>
      </c>
      <c r="AF1269" s="14">
        <v>14</v>
      </c>
      <c r="AG1269" s="14">
        <v>0</v>
      </c>
      <c r="AH1269" s="14">
        <v>7</v>
      </c>
    </row>
    <row r="1270" spans="1:34" x14ac:dyDescent="0.3">
      <c r="A1270" s="14">
        <v>53</v>
      </c>
      <c r="B1270" s="17" t="s">
        <v>43</v>
      </c>
      <c r="C1270" t="s">
        <v>55</v>
      </c>
      <c r="D1270">
        <v>661</v>
      </c>
      <c r="E1270" s="17" t="s">
        <v>45</v>
      </c>
      <c r="F1270">
        <v>1</v>
      </c>
      <c r="G1270">
        <v>4</v>
      </c>
      <c r="H1270" t="s">
        <v>51</v>
      </c>
      <c r="I1270">
        <v>1775</v>
      </c>
      <c r="J1270">
        <v>1</v>
      </c>
      <c r="K1270" s="17" t="s">
        <v>39</v>
      </c>
      <c r="L1270">
        <v>60</v>
      </c>
      <c r="M1270">
        <v>2</v>
      </c>
      <c r="N1270">
        <v>4</v>
      </c>
      <c r="O1270" s="17" t="s">
        <v>53</v>
      </c>
      <c r="P1270" s="14">
        <v>3</v>
      </c>
      <c r="Q1270" t="s">
        <v>48</v>
      </c>
      <c r="R1270" s="14">
        <v>12965</v>
      </c>
      <c r="S1270" s="17" t="str">
        <f t="shared" si="38"/>
        <v>high</v>
      </c>
      <c r="T1270">
        <v>22308</v>
      </c>
      <c r="U1270">
        <v>4</v>
      </c>
      <c r="V1270" s="17" t="s">
        <v>35</v>
      </c>
      <c r="W1270">
        <v>20</v>
      </c>
      <c r="X1270">
        <v>4</v>
      </c>
      <c r="Y1270">
        <v>4</v>
      </c>
      <c r="Z1270">
        <v>3</v>
      </c>
      <c r="AA1270">
        <v>27</v>
      </c>
      <c r="AB1270">
        <v>2</v>
      </c>
      <c r="AC1270">
        <v>2</v>
      </c>
      <c r="AD1270" s="14">
        <v>3</v>
      </c>
      <c r="AE1270" t="str">
        <f t="shared" si="39"/>
        <v>3-5 years</v>
      </c>
      <c r="AF1270" s="14">
        <v>2</v>
      </c>
      <c r="AG1270" s="14">
        <v>0</v>
      </c>
      <c r="AH1270" s="14">
        <v>2</v>
      </c>
    </row>
    <row r="1271" spans="1:34" x14ac:dyDescent="0.3">
      <c r="A1271" s="14">
        <v>43</v>
      </c>
      <c r="B1271" s="17" t="s">
        <v>43</v>
      </c>
      <c r="C1271" t="s">
        <v>36</v>
      </c>
      <c r="D1271">
        <v>244</v>
      </c>
      <c r="E1271" s="17" t="s">
        <v>61</v>
      </c>
      <c r="F1271">
        <v>2</v>
      </c>
      <c r="G1271">
        <v>3</v>
      </c>
      <c r="H1271" t="s">
        <v>38</v>
      </c>
      <c r="I1271">
        <v>1778</v>
      </c>
      <c r="J1271">
        <v>2</v>
      </c>
      <c r="K1271" s="17" t="s">
        <v>46</v>
      </c>
      <c r="L1271">
        <v>97</v>
      </c>
      <c r="M1271">
        <v>3</v>
      </c>
      <c r="N1271">
        <v>1</v>
      </c>
      <c r="O1271" s="17" t="s">
        <v>61</v>
      </c>
      <c r="P1271" s="14">
        <v>4</v>
      </c>
      <c r="Q1271" t="s">
        <v>41</v>
      </c>
      <c r="R1271" s="14">
        <v>3539</v>
      </c>
      <c r="S1271" s="17" t="str">
        <f t="shared" si="38"/>
        <v>medium</v>
      </c>
      <c r="T1271">
        <v>5033</v>
      </c>
      <c r="U1271">
        <v>0</v>
      </c>
      <c r="V1271" s="17" t="s">
        <v>43</v>
      </c>
      <c r="W1271">
        <v>13</v>
      </c>
      <c r="X1271">
        <v>3</v>
      </c>
      <c r="Y1271">
        <v>2</v>
      </c>
      <c r="Z1271">
        <v>0</v>
      </c>
      <c r="AA1271">
        <v>10</v>
      </c>
      <c r="AB1271">
        <v>5</v>
      </c>
      <c r="AC1271">
        <v>3</v>
      </c>
      <c r="AD1271" s="14">
        <v>9</v>
      </c>
      <c r="AE1271" t="str">
        <f t="shared" si="39"/>
        <v>6-10 years</v>
      </c>
      <c r="AF1271" s="14">
        <v>7</v>
      </c>
      <c r="AG1271" s="14">
        <v>1</v>
      </c>
      <c r="AH1271" s="14">
        <v>8</v>
      </c>
    </row>
    <row r="1272" spans="1:34" x14ac:dyDescent="0.3">
      <c r="A1272" s="14">
        <v>34</v>
      </c>
      <c r="B1272" s="17" t="s">
        <v>43</v>
      </c>
      <c r="C1272" t="s">
        <v>36</v>
      </c>
      <c r="D1272">
        <v>511</v>
      </c>
      <c r="E1272" s="17" t="s">
        <v>37</v>
      </c>
      <c r="F1272">
        <v>3</v>
      </c>
      <c r="G1272">
        <v>2</v>
      </c>
      <c r="H1272" t="s">
        <v>38</v>
      </c>
      <c r="I1272">
        <v>1779</v>
      </c>
      <c r="J1272">
        <v>4</v>
      </c>
      <c r="K1272" s="17" t="s">
        <v>39</v>
      </c>
      <c r="L1272">
        <v>32</v>
      </c>
      <c r="M1272">
        <v>1</v>
      </c>
      <c r="N1272">
        <v>2</v>
      </c>
      <c r="O1272" s="17" t="s">
        <v>40</v>
      </c>
      <c r="P1272" s="14">
        <v>4</v>
      </c>
      <c r="Q1272" t="s">
        <v>41</v>
      </c>
      <c r="R1272" s="14">
        <v>6029</v>
      </c>
      <c r="S1272" s="17" t="str">
        <f t="shared" si="38"/>
        <v>medium</v>
      </c>
      <c r="T1272">
        <v>25353</v>
      </c>
      <c r="U1272">
        <v>5</v>
      </c>
      <c r="V1272" s="17" t="s">
        <v>43</v>
      </c>
      <c r="W1272">
        <v>12</v>
      </c>
      <c r="X1272">
        <v>3</v>
      </c>
      <c r="Y1272">
        <v>1</v>
      </c>
      <c r="Z1272">
        <v>0</v>
      </c>
      <c r="AA1272">
        <v>6</v>
      </c>
      <c r="AB1272">
        <v>3</v>
      </c>
      <c r="AC1272">
        <v>3</v>
      </c>
      <c r="AD1272" s="14">
        <v>2</v>
      </c>
      <c r="AE1272" t="str">
        <f t="shared" si="39"/>
        <v>0-2 years</v>
      </c>
      <c r="AF1272" s="14">
        <v>2</v>
      </c>
      <c r="AG1272" s="14">
        <v>2</v>
      </c>
      <c r="AH1272" s="14">
        <v>2</v>
      </c>
    </row>
    <row r="1273" spans="1:34" x14ac:dyDescent="0.3">
      <c r="A1273" s="14">
        <v>21</v>
      </c>
      <c r="B1273" s="17" t="s">
        <v>35</v>
      </c>
      <c r="C1273" t="s">
        <v>36</v>
      </c>
      <c r="D1273">
        <v>337</v>
      </c>
      <c r="E1273" s="17" t="s">
        <v>37</v>
      </c>
      <c r="F1273">
        <v>7</v>
      </c>
      <c r="G1273">
        <v>1</v>
      </c>
      <c r="H1273" t="s">
        <v>59</v>
      </c>
      <c r="I1273">
        <v>1780</v>
      </c>
      <c r="J1273">
        <v>2</v>
      </c>
      <c r="K1273" s="17" t="s">
        <v>46</v>
      </c>
      <c r="L1273">
        <v>31</v>
      </c>
      <c r="M1273">
        <v>3</v>
      </c>
      <c r="N1273">
        <v>1</v>
      </c>
      <c r="O1273" s="17" t="s">
        <v>57</v>
      </c>
      <c r="P1273" s="14">
        <v>2</v>
      </c>
      <c r="Q1273" t="s">
        <v>41</v>
      </c>
      <c r="R1273" s="14">
        <v>2679</v>
      </c>
      <c r="S1273" s="17" t="str">
        <f t="shared" si="38"/>
        <v>low</v>
      </c>
      <c r="T1273">
        <v>4567</v>
      </c>
      <c r="U1273">
        <v>1</v>
      </c>
      <c r="V1273" s="17" t="s">
        <v>43</v>
      </c>
      <c r="W1273">
        <v>13</v>
      </c>
      <c r="X1273">
        <v>3</v>
      </c>
      <c r="Y1273">
        <v>2</v>
      </c>
      <c r="Z1273">
        <v>0</v>
      </c>
      <c r="AA1273">
        <v>1</v>
      </c>
      <c r="AB1273">
        <v>3</v>
      </c>
      <c r="AC1273">
        <v>3</v>
      </c>
      <c r="AD1273" s="14">
        <v>1</v>
      </c>
      <c r="AE1273" t="str">
        <f t="shared" si="39"/>
        <v>0-2 years</v>
      </c>
      <c r="AF1273" s="14">
        <v>0</v>
      </c>
      <c r="AG1273" s="14">
        <v>1</v>
      </c>
      <c r="AH1273" s="14">
        <v>0</v>
      </c>
    </row>
    <row r="1274" spans="1:34" x14ac:dyDescent="0.3">
      <c r="A1274" s="14">
        <v>38</v>
      </c>
      <c r="B1274" s="17" t="s">
        <v>43</v>
      </c>
      <c r="C1274" t="s">
        <v>36</v>
      </c>
      <c r="D1274">
        <v>1153</v>
      </c>
      <c r="E1274" s="17" t="s">
        <v>45</v>
      </c>
      <c r="F1274">
        <v>6</v>
      </c>
      <c r="G1274">
        <v>2</v>
      </c>
      <c r="H1274" t="s">
        <v>49</v>
      </c>
      <c r="I1274">
        <v>1782</v>
      </c>
      <c r="J1274">
        <v>4</v>
      </c>
      <c r="K1274" s="17" t="s">
        <v>39</v>
      </c>
      <c r="L1274">
        <v>40</v>
      </c>
      <c r="M1274">
        <v>2</v>
      </c>
      <c r="N1274">
        <v>1</v>
      </c>
      <c r="O1274" s="17" t="s">
        <v>50</v>
      </c>
      <c r="P1274" s="14">
        <v>3</v>
      </c>
      <c r="Q1274" t="s">
        <v>48</v>
      </c>
      <c r="R1274" s="14">
        <v>3702</v>
      </c>
      <c r="S1274" s="17" t="str">
        <f t="shared" si="38"/>
        <v>medium</v>
      </c>
      <c r="T1274">
        <v>16376</v>
      </c>
      <c r="U1274">
        <v>1</v>
      </c>
      <c r="V1274" s="17" t="s">
        <v>43</v>
      </c>
      <c r="W1274">
        <v>11</v>
      </c>
      <c r="X1274">
        <v>3</v>
      </c>
      <c r="Y1274">
        <v>2</v>
      </c>
      <c r="Z1274">
        <v>1</v>
      </c>
      <c r="AA1274">
        <v>5</v>
      </c>
      <c r="AB1274">
        <v>3</v>
      </c>
      <c r="AC1274">
        <v>3</v>
      </c>
      <c r="AD1274" s="14">
        <v>5</v>
      </c>
      <c r="AE1274" t="str">
        <f t="shared" si="39"/>
        <v>3-5 years</v>
      </c>
      <c r="AF1274" s="14">
        <v>4</v>
      </c>
      <c r="AG1274" s="14">
        <v>0</v>
      </c>
      <c r="AH1274" s="14">
        <v>4</v>
      </c>
    </row>
    <row r="1275" spans="1:34" x14ac:dyDescent="0.3">
      <c r="A1275" s="14">
        <v>22</v>
      </c>
      <c r="B1275" s="17" t="s">
        <v>35</v>
      </c>
      <c r="C1275" t="s">
        <v>36</v>
      </c>
      <c r="D1275">
        <v>1294</v>
      </c>
      <c r="E1275" s="17" t="s">
        <v>45</v>
      </c>
      <c r="F1275">
        <v>8</v>
      </c>
      <c r="G1275">
        <v>1</v>
      </c>
      <c r="H1275" t="s">
        <v>51</v>
      </c>
      <c r="I1275">
        <v>1783</v>
      </c>
      <c r="J1275">
        <v>3</v>
      </c>
      <c r="K1275" s="17" t="s">
        <v>39</v>
      </c>
      <c r="L1275">
        <v>79</v>
      </c>
      <c r="M1275">
        <v>3</v>
      </c>
      <c r="N1275">
        <v>1</v>
      </c>
      <c r="O1275" s="17" t="s">
        <v>50</v>
      </c>
      <c r="P1275" s="14">
        <v>1</v>
      </c>
      <c r="Q1275" t="s">
        <v>48</v>
      </c>
      <c r="R1275" s="14">
        <v>2398</v>
      </c>
      <c r="S1275" s="17" t="str">
        <f t="shared" si="38"/>
        <v>low</v>
      </c>
      <c r="T1275">
        <v>15999</v>
      </c>
      <c r="U1275">
        <v>1</v>
      </c>
      <c r="V1275" s="17" t="s">
        <v>35</v>
      </c>
      <c r="W1275">
        <v>17</v>
      </c>
      <c r="X1275">
        <v>3</v>
      </c>
      <c r="Y1275">
        <v>3</v>
      </c>
      <c r="Z1275">
        <v>0</v>
      </c>
      <c r="AA1275">
        <v>1</v>
      </c>
      <c r="AB1275">
        <v>6</v>
      </c>
      <c r="AC1275">
        <v>3</v>
      </c>
      <c r="AD1275" s="14">
        <v>1</v>
      </c>
      <c r="AE1275" t="str">
        <f t="shared" si="39"/>
        <v>0-2 years</v>
      </c>
      <c r="AF1275" s="14">
        <v>0</v>
      </c>
      <c r="AG1275" s="14">
        <v>0</v>
      </c>
      <c r="AH1275" s="14">
        <v>0</v>
      </c>
    </row>
    <row r="1276" spans="1:34" x14ac:dyDescent="0.3">
      <c r="A1276" s="14">
        <v>31</v>
      </c>
      <c r="B1276" s="17" t="s">
        <v>43</v>
      </c>
      <c r="C1276" t="s">
        <v>36</v>
      </c>
      <c r="D1276">
        <v>196</v>
      </c>
      <c r="E1276" s="17" t="s">
        <v>37</v>
      </c>
      <c r="F1276">
        <v>29</v>
      </c>
      <c r="G1276">
        <v>4</v>
      </c>
      <c r="H1276" t="s">
        <v>59</v>
      </c>
      <c r="I1276">
        <v>1784</v>
      </c>
      <c r="J1276">
        <v>1</v>
      </c>
      <c r="K1276" s="17" t="s">
        <v>39</v>
      </c>
      <c r="L1276">
        <v>91</v>
      </c>
      <c r="M1276">
        <v>2</v>
      </c>
      <c r="N1276">
        <v>2</v>
      </c>
      <c r="O1276" s="17" t="s">
        <v>40</v>
      </c>
      <c r="P1276" s="14">
        <v>4</v>
      </c>
      <c r="Q1276" t="s">
        <v>48</v>
      </c>
      <c r="R1276" s="14">
        <v>5468</v>
      </c>
      <c r="S1276" s="17" t="str">
        <f t="shared" si="38"/>
        <v>medium</v>
      </c>
      <c r="T1276">
        <v>13402</v>
      </c>
      <c r="U1276">
        <v>1</v>
      </c>
      <c r="V1276" s="17" t="s">
        <v>43</v>
      </c>
      <c r="W1276">
        <v>14</v>
      </c>
      <c r="X1276">
        <v>3</v>
      </c>
      <c r="Y1276">
        <v>1</v>
      </c>
      <c r="Z1276">
        <v>2</v>
      </c>
      <c r="AA1276">
        <v>13</v>
      </c>
      <c r="AB1276">
        <v>3</v>
      </c>
      <c r="AC1276">
        <v>3</v>
      </c>
      <c r="AD1276" s="14">
        <v>12</v>
      </c>
      <c r="AE1276" t="str">
        <f t="shared" si="39"/>
        <v>10+ years</v>
      </c>
      <c r="AF1276" s="14">
        <v>7</v>
      </c>
      <c r="AG1276" s="14">
        <v>5</v>
      </c>
      <c r="AH1276" s="14">
        <v>7</v>
      </c>
    </row>
    <row r="1277" spans="1:34" x14ac:dyDescent="0.3">
      <c r="A1277" s="14">
        <v>51</v>
      </c>
      <c r="B1277" s="17" t="s">
        <v>43</v>
      </c>
      <c r="C1277" t="s">
        <v>36</v>
      </c>
      <c r="D1277">
        <v>942</v>
      </c>
      <c r="E1277" s="17" t="s">
        <v>45</v>
      </c>
      <c r="F1277">
        <v>3</v>
      </c>
      <c r="G1277">
        <v>3</v>
      </c>
      <c r="H1277" t="s">
        <v>60</v>
      </c>
      <c r="I1277">
        <v>1786</v>
      </c>
      <c r="J1277">
        <v>1</v>
      </c>
      <c r="K1277" s="17" t="s">
        <v>39</v>
      </c>
      <c r="L1277">
        <v>53</v>
      </c>
      <c r="M1277">
        <v>3</v>
      </c>
      <c r="N1277">
        <v>3</v>
      </c>
      <c r="O1277" s="17" t="s">
        <v>56</v>
      </c>
      <c r="P1277" s="14">
        <v>3</v>
      </c>
      <c r="Q1277" t="s">
        <v>48</v>
      </c>
      <c r="R1277" s="14">
        <v>13116</v>
      </c>
      <c r="S1277" s="17" t="str">
        <f t="shared" si="38"/>
        <v>high</v>
      </c>
      <c r="T1277">
        <v>22984</v>
      </c>
      <c r="U1277">
        <v>2</v>
      </c>
      <c r="V1277" s="17" t="s">
        <v>43</v>
      </c>
      <c r="W1277">
        <v>11</v>
      </c>
      <c r="X1277">
        <v>3</v>
      </c>
      <c r="Y1277">
        <v>4</v>
      </c>
      <c r="Z1277">
        <v>0</v>
      </c>
      <c r="AA1277">
        <v>15</v>
      </c>
      <c r="AB1277">
        <v>2</v>
      </c>
      <c r="AC1277">
        <v>3</v>
      </c>
      <c r="AD1277" s="14">
        <v>2</v>
      </c>
      <c r="AE1277" t="str">
        <f t="shared" si="39"/>
        <v>0-2 years</v>
      </c>
      <c r="AF1277" s="14">
        <v>2</v>
      </c>
      <c r="AG1277" s="14">
        <v>2</v>
      </c>
      <c r="AH1277" s="14">
        <v>2</v>
      </c>
    </row>
    <row r="1278" spans="1:34" x14ac:dyDescent="0.3">
      <c r="A1278" s="14">
        <v>37</v>
      </c>
      <c r="B1278" s="17" t="s">
        <v>43</v>
      </c>
      <c r="C1278" t="s">
        <v>36</v>
      </c>
      <c r="D1278">
        <v>589</v>
      </c>
      <c r="E1278" s="17" t="s">
        <v>37</v>
      </c>
      <c r="F1278">
        <v>9</v>
      </c>
      <c r="G1278">
        <v>2</v>
      </c>
      <c r="H1278" t="s">
        <v>59</v>
      </c>
      <c r="I1278">
        <v>1787</v>
      </c>
      <c r="J1278">
        <v>2</v>
      </c>
      <c r="K1278" s="17" t="s">
        <v>46</v>
      </c>
      <c r="L1278">
        <v>46</v>
      </c>
      <c r="M1278">
        <v>2</v>
      </c>
      <c r="N1278">
        <v>2</v>
      </c>
      <c r="O1278" s="17" t="s">
        <v>40</v>
      </c>
      <c r="P1278" s="14">
        <v>2</v>
      </c>
      <c r="Q1278" t="s">
        <v>48</v>
      </c>
      <c r="R1278" s="14">
        <v>4189</v>
      </c>
      <c r="S1278" s="17" t="str">
        <f t="shared" si="38"/>
        <v>medium</v>
      </c>
      <c r="T1278">
        <v>8800</v>
      </c>
      <c r="U1278">
        <v>1</v>
      </c>
      <c r="V1278" s="17" t="s">
        <v>43</v>
      </c>
      <c r="W1278">
        <v>14</v>
      </c>
      <c r="X1278">
        <v>3</v>
      </c>
      <c r="Y1278">
        <v>1</v>
      </c>
      <c r="Z1278">
        <v>2</v>
      </c>
      <c r="AA1278">
        <v>5</v>
      </c>
      <c r="AB1278">
        <v>2</v>
      </c>
      <c r="AC1278">
        <v>3</v>
      </c>
      <c r="AD1278" s="14">
        <v>5</v>
      </c>
      <c r="AE1278" t="str">
        <f t="shared" si="39"/>
        <v>3-5 years</v>
      </c>
      <c r="AF1278" s="14">
        <v>2</v>
      </c>
      <c r="AG1278" s="14">
        <v>0</v>
      </c>
      <c r="AH1278" s="14">
        <v>3</v>
      </c>
    </row>
    <row r="1279" spans="1:34" x14ac:dyDescent="0.3">
      <c r="A1279" s="14">
        <v>46</v>
      </c>
      <c r="B1279" s="17" t="s">
        <v>43</v>
      </c>
      <c r="C1279" t="s">
        <v>36</v>
      </c>
      <c r="D1279">
        <v>734</v>
      </c>
      <c r="E1279" s="17" t="s">
        <v>45</v>
      </c>
      <c r="F1279">
        <v>2</v>
      </c>
      <c r="G1279">
        <v>4</v>
      </c>
      <c r="H1279" t="s">
        <v>51</v>
      </c>
      <c r="I1279">
        <v>1789</v>
      </c>
      <c r="J1279">
        <v>3</v>
      </c>
      <c r="K1279" s="17" t="s">
        <v>46</v>
      </c>
      <c r="L1279">
        <v>46</v>
      </c>
      <c r="M1279">
        <v>3</v>
      </c>
      <c r="N1279">
        <v>5</v>
      </c>
      <c r="O1279" s="17" t="s">
        <v>58</v>
      </c>
      <c r="P1279" s="14">
        <v>4</v>
      </c>
      <c r="Q1279" t="s">
        <v>52</v>
      </c>
      <c r="R1279" s="14">
        <v>19328</v>
      </c>
      <c r="S1279" s="17" t="str">
        <f t="shared" si="38"/>
        <v>high</v>
      </c>
      <c r="T1279">
        <v>14218</v>
      </c>
      <c r="U1279">
        <v>7</v>
      </c>
      <c r="V1279" s="17" t="s">
        <v>35</v>
      </c>
      <c r="W1279">
        <v>17</v>
      </c>
      <c r="X1279">
        <v>3</v>
      </c>
      <c r="Y1279">
        <v>3</v>
      </c>
      <c r="Z1279">
        <v>1</v>
      </c>
      <c r="AA1279">
        <v>24</v>
      </c>
      <c r="AB1279">
        <v>3</v>
      </c>
      <c r="AC1279">
        <v>3</v>
      </c>
      <c r="AD1279" s="14">
        <v>2</v>
      </c>
      <c r="AE1279" t="str">
        <f t="shared" si="39"/>
        <v>0-2 years</v>
      </c>
      <c r="AF1279" s="14">
        <v>1</v>
      </c>
      <c r="AG1279" s="14">
        <v>2</v>
      </c>
      <c r="AH1279" s="14">
        <v>2</v>
      </c>
    </row>
    <row r="1280" spans="1:34" x14ac:dyDescent="0.3">
      <c r="A1280" s="14">
        <v>36</v>
      </c>
      <c r="B1280" s="17" t="s">
        <v>43</v>
      </c>
      <c r="C1280" t="s">
        <v>36</v>
      </c>
      <c r="D1280">
        <v>1383</v>
      </c>
      <c r="E1280" s="17" t="s">
        <v>45</v>
      </c>
      <c r="F1280">
        <v>10</v>
      </c>
      <c r="G1280">
        <v>3</v>
      </c>
      <c r="H1280" t="s">
        <v>38</v>
      </c>
      <c r="I1280">
        <v>1790</v>
      </c>
      <c r="J1280">
        <v>4</v>
      </c>
      <c r="K1280" s="17" t="s">
        <v>46</v>
      </c>
      <c r="L1280">
        <v>90</v>
      </c>
      <c r="M1280">
        <v>3</v>
      </c>
      <c r="N1280">
        <v>3</v>
      </c>
      <c r="O1280" s="17" t="s">
        <v>54</v>
      </c>
      <c r="P1280" s="14">
        <v>1</v>
      </c>
      <c r="Q1280" t="s">
        <v>48</v>
      </c>
      <c r="R1280" s="14">
        <v>8321</v>
      </c>
      <c r="S1280" s="17" t="str">
        <f t="shared" si="38"/>
        <v>high</v>
      </c>
      <c r="T1280">
        <v>25949</v>
      </c>
      <c r="U1280">
        <v>7</v>
      </c>
      <c r="V1280" s="17" t="s">
        <v>35</v>
      </c>
      <c r="W1280">
        <v>13</v>
      </c>
      <c r="X1280">
        <v>3</v>
      </c>
      <c r="Y1280">
        <v>4</v>
      </c>
      <c r="Z1280">
        <v>1</v>
      </c>
      <c r="AA1280">
        <v>15</v>
      </c>
      <c r="AB1280">
        <v>1</v>
      </c>
      <c r="AC1280">
        <v>3</v>
      </c>
      <c r="AD1280" s="14">
        <v>12</v>
      </c>
      <c r="AE1280" t="str">
        <f t="shared" si="39"/>
        <v>10+ years</v>
      </c>
      <c r="AF1280" s="14">
        <v>8</v>
      </c>
      <c r="AG1280" s="14">
        <v>5</v>
      </c>
      <c r="AH1280" s="14">
        <v>7</v>
      </c>
    </row>
    <row r="1281" spans="1:34" x14ac:dyDescent="0.3">
      <c r="A1281" s="14">
        <v>44</v>
      </c>
      <c r="B1281" s="17" t="s">
        <v>35</v>
      </c>
      <c r="C1281" t="s">
        <v>44</v>
      </c>
      <c r="D1281">
        <v>429</v>
      </c>
      <c r="E1281" s="17" t="s">
        <v>45</v>
      </c>
      <c r="F1281">
        <v>1</v>
      </c>
      <c r="G1281">
        <v>2</v>
      </c>
      <c r="H1281" t="s">
        <v>51</v>
      </c>
      <c r="I1281">
        <v>1792</v>
      </c>
      <c r="J1281">
        <v>3</v>
      </c>
      <c r="K1281" s="17" t="s">
        <v>46</v>
      </c>
      <c r="L1281">
        <v>99</v>
      </c>
      <c r="M1281">
        <v>3</v>
      </c>
      <c r="N1281">
        <v>1</v>
      </c>
      <c r="O1281" s="17" t="s">
        <v>47</v>
      </c>
      <c r="P1281" s="14">
        <v>2</v>
      </c>
      <c r="Q1281" t="s">
        <v>52</v>
      </c>
      <c r="R1281" s="14">
        <v>2342</v>
      </c>
      <c r="S1281" s="17" t="str">
        <f t="shared" si="38"/>
        <v>low</v>
      </c>
      <c r="T1281">
        <v>11092</v>
      </c>
      <c r="U1281">
        <v>1</v>
      </c>
      <c r="V1281" s="17" t="s">
        <v>35</v>
      </c>
      <c r="W1281">
        <v>12</v>
      </c>
      <c r="X1281">
        <v>3</v>
      </c>
      <c r="Y1281">
        <v>3</v>
      </c>
      <c r="Z1281">
        <v>3</v>
      </c>
      <c r="AA1281">
        <v>6</v>
      </c>
      <c r="AB1281">
        <v>2</v>
      </c>
      <c r="AC1281">
        <v>2</v>
      </c>
      <c r="AD1281" s="14">
        <v>5</v>
      </c>
      <c r="AE1281" t="str">
        <f t="shared" si="39"/>
        <v>3-5 years</v>
      </c>
      <c r="AF1281" s="14">
        <v>3</v>
      </c>
      <c r="AG1281" s="14">
        <v>2</v>
      </c>
      <c r="AH1281" s="14">
        <v>3</v>
      </c>
    </row>
    <row r="1282" spans="1:34" x14ac:dyDescent="0.3">
      <c r="A1282" s="14">
        <v>37</v>
      </c>
      <c r="B1282" s="17" t="s">
        <v>43</v>
      </c>
      <c r="C1282" t="s">
        <v>36</v>
      </c>
      <c r="D1282">
        <v>1239</v>
      </c>
      <c r="E1282" s="17" t="s">
        <v>61</v>
      </c>
      <c r="F1282">
        <v>8</v>
      </c>
      <c r="G1282">
        <v>2</v>
      </c>
      <c r="H1282" t="s">
        <v>49</v>
      </c>
      <c r="I1282">
        <v>1794</v>
      </c>
      <c r="J1282">
        <v>3</v>
      </c>
      <c r="K1282" s="17" t="s">
        <v>46</v>
      </c>
      <c r="L1282">
        <v>89</v>
      </c>
      <c r="M1282">
        <v>3</v>
      </c>
      <c r="N1282">
        <v>2</v>
      </c>
      <c r="O1282" s="17" t="s">
        <v>61</v>
      </c>
      <c r="P1282" s="14">
        <v>2</v>
      </c>
      <c r="Q1282" t="s">
        <v>52</v>
      </c>
      <c r="R1282" s="14">
        <v>4071</v>
      </c>
      <c r="S1282" s="17" t="str">
        <f t="shared" ref="S1282:S1345" si="40">IF(R1282&lt;=3000, "low",IF(R1282&lt;=7000,"medium","high"))</f>
        <v>medium</v>
      </c>
      <c r="T1282">
        <v>12832</v>
      </c>
      <c r="U1282">
        <v>2</v>
      </c>
      <c r="V1282" s="17" t="s">
        <v>43</v>
      </c>
      <c r="W1282">
        <v>13</v>
      </c>
      <c r="X1282">
        <v>3</v>
      </c>
      <c r="Y1282">
        <v>3</v>
      </c>
      <c r="Z1282">
        <v>0</v>
      </c>
      <c r="AA1282">
        <v>19</v>
      </c>
      <c r="AB1282">
        <v>4</v>
      </c>
      <c r="AC1282">
        <v>2</v>
      </c>
      <c r="AD1282" s="14">
        <v>10</v>
      </c>
      <c r="AE1282" t="str">
        <f t="shared" ref="AE1282:AE1345" si="41">IF(AD1282&lt;=2,"0-2 years", IF(AD1282&lt;=5,"3-5 years", IF(AD1282&lt;=10,"6-10 years","10+ years")))</f>
        <v>6-10 years</v>
      </c>
      <c r="AF1282" s="14">
        <v>0</v>
      </c>
      <c r="AG1282" s="14">
        <v>4</v>
      </c>
      <c r="AH1282" s="14">
        <v>7</v>
      </c>
    </row>
    <row r="1283" spans="1:34" x14ac:dyDescent="0.3">
      <c r="A1283" s="14">
        <v>35</v>
      </c>
      <c r="B1283" s="17" t="s">
        <v>35</v>
      </c>
      <c r="C1283" t="s">
        <v>36</v>
      </c>
      <c r="D1283">
        <v>303</v>
      </c>
      <c r="E1283" s="17" t="s">
        <v>37</v>
      </c>
      <c r="F1283">
        <v>27</v>
      </c>
      <c r="G1283">
        <v>3</v>
      </c>
      <c r="H1283" t="s">
        <v>38</v>
      </c>
      <c r="I1283">
        <v>1797</v>
      </c>
      <c r="J1283">
        <v>3</v>
      </c>
      <c r="K1283" s="17" t="s">
        <v>46</v>
      </c>
      <c r="L1283">
        <v>84</v>
      </c>
      <c r="M1283">
        <v>3</v>
      </c>
      <c r="N1283">
        <v>2</v>
      </c>
      <c r="O1283" s="17" t="s">
        <v>40</v>
      </c>
      <c r="P1283" s="14">
        <v>4</v>
      </c>
      <c r="Q1283" t="s">
        <v>41</v>
      </c>
      <c r="R1283" s="14">
        <v>5813</v>
      </c>
      <c r="S1283" s="17" t="str">
        <f t="shared" si="40"/>
        <v>medium</v>
      </c>
      <c r="T1283">
        <v>13492</v>
      </c>
      <c r="U1283">
        <v>1</v>
      </c>
      <c r="V1283" s="17" t="s">
        <v>35</v>
      </c>
      <c r="W1283">
        <v>18</v>
      </c>
      <c r="X1283">
        <v>3</v>
      </c>
      <c r="Y1283">
        <v>4</v>
      </c>
      <c r="Z1283">
        <v>0</v>
      </c>
      <c r="AA1283">
        <v>10</v>
      </c>
      <c r="AB1283">
        <v>2</v>
      </c>
      <c r="AC1283">
        <v>3</v>
      </c>
      <c r="AD1283" s="14">
        <v>10</v>
      </c>
      <c r="AE1283" t="str">
        <f t="shared" si="41"/>
        <v>6-10 years</v>
      </c>
      <c r="AF1283" s="14">
        <v>7</v>
      </c>
      <c r="AG1283" s="14">
        <v>7</v>
      </c>
      <c r="AH1283" s="14">
        <v>7</v>
      </c>
    </row>
    <row r="1284" spans="1:34" x14ac:dyDescent="0.3">
      <c r="A1284" s="14">
        <v>33</v>
      </c>
      <c r="B1284" s="17" t="s">
        <v>43</v>
      </c>
      <c r="C1284" t="s">
        <v>36</v>
      </c>
      <c r="D1284">
        <v>867</v>
      </c>
      <c r="E1284" s="17" t="s">
        <v>45</v>
      </c>
      <c r="F1284">
        <v>8</v>
      </c>
      <c r="G1284">
        <v>4</v>
      </c>
      <c r="H1284" t="s">
        <v>38</v>
      </c>
      <c r="I1284">
        <v>1798</v>
      </c>
      <c r="J1284">
        <v>4</v>
      </c>
      <c r="K1284" s="17" t="s">
        <v>46</v>
      </c>
      <c r="L1284">
        <v>90</v>
      </c>
      <c r="M1284">
        <v>4</v>
      </c>
      <c r="N1284">
        <v>1</v>
      </c>
      <c r="O1284" s="17" t="s">
        <v>47</v>
      </c>
      <c r="P1284" s="14">
        <v>1</v>
      </c>
      <c r="Q1284" t="s">
        <v>48</v>
      </c>
      <c r="R1284" s="14">
        <v>3143</v>
      </c>
      <c r="S1284" s="17" t="str">
        <f t="shared" si="40"/>
        <v>medium</v>
      </c>
      <c r="T1284">
        <v>6076</v>
      </c>
      <c r="U1284">
        <v>6</v>
      </c>
      <c r="V1284" s="17" t="s">
        <v>43</v>
      </c>
      <c r="W1284">
        <v>19</v>
      </c>
      <c r="X1284">
        <v>3</v>
      </c>
      <c r="Y1284">
        <v>2</v>
      </c>
      <c r="Z1284">
        <v>1</v>
      </c>
      <c r="AA1284">
        <v>14</v>
      </c>
      <c r="AB1284">
        <v>1</v>
      </c>
      <c r="AC1284">
        <v>3</v>
      </c>
      <c r="AD1284" s="14">
        <v>10</v>
      </c>
      <c r="AE1284" t="str">
        <f t="shared" si="41"/>
        <v>6-10 years</v>
      </c>
      <c r="AF1284" s="14">
        <v>8</v>
      </c>
      <c r="AG1284" s="14">
        <v>7</v>
      </c>
      <c r="AH1284" s="14">
        <v>6</v>
      </c>
    </row>
    <row r="1285" spans="1:34" x14ac:dyDescent="0.3">
      <c r="A1285" s="14">
        <v>28</v>
      </c>
      <c r="B1285" s="17" t="s">
        <v>43</v>
      </c>
      <c r="C1285" t="s">
        <v>36</v>
      </c>
      <c r="D1285">
        <v>1181</v>
      </c>
      <c r="E1285" s="17" t="s">
        <v>45</v>
      </c>
      <c r="F1285">
        <v>1</v>
      </c>
      <c r="G1285">
        <v>3</v>
      </c>
      <c r="H1285" t="s">
        <v>38</v>
      </c>
      <c r="I1285">
        <v>1799</v>
      </c>
      <c r="J1285">
        <v>3</v>
      </c>
      <c r="K1285" s="17" t="s">
        <v>46</v>
      </c>
      <c r="L1285">
        <v>82</v>
      </c>
      <c r="M1285">
        <v>3</v>
      </c>
      <c r="N1285">
        <v>1</v>
      </c>
      <c r="O1285" s="17" t="s">
        <v>47</v>
      </c>
      <c r="P1285" s="14">
        <v>4</v>
      </c>
      <c r="Q1285" t="s">
        <v>48</v>
      </c>
      <c r="R1285" s="14">
        <v>2044</v>
      </c>
      <c r="S1285" s="17" t="str">
        <f t="shared" si="40"/>
        <v>low</v>
      </c>
      <c r="T1285">
        <v>5531</v>
      </c>
      <c r="U1285">
        <v>1</v>
      </c>
      <c r="V1285" s="17" t="s">
        <v>43</v>
      </c>
      <c r="W1285">
        <v>11</v>
      </c>
      <c r="X1285">
        <v>3</v>
      </c>
      <c r="Y1285">
        <v>3</v>
      </c>
      <c r="Z1285">
        <v>1</v>
      </c>
      <c r="AA1285">
        <v>5</v>
      </c>
      <c r="AB1285">
        <v>6</v>
      </c>
      <c r="AC1285">
        <v>4</v>
      </c>
      <c r="AD1285" s="14">
        <v>5</v>
      </c>
      <c r="AE1285" t="str">
        <f t="shared" si="41"/>
        <v>3-5 years</v>
      </c>
      <c r="AF1285" s="14">
        <v>3</v>
      </c>
      <c r="AG1285" s="14">
        <v>0</v>
      </c>
      <c r="AH1285" s="14">
        <v>3</v>
      </c>
    </row>
    <row r="1286" spans="1:34" x14ac:dyDescent="0.3">
      <c r="A1286" s="14">
        <v>39</v>
      </c>
      <c r="B1286" s="17" t="s">
        <v>43</v>
      </c>
      <c r="C1286" t="s">
        <v>36</v>
      </c>
      <c r="D1286">
        <v>1253</v>
      </c>
      <c r="E1286" s="17" t="s">
        <v>45</v>
      </c>
      <c r="F1286">
        <v>10</v>
      </c>
      <c r="G1286">
        <v>1</v>
      </c>
      <c r="H1286" t="s">
        <v>51</v>
      </c>
      <c r="I1286">
        <v>1800</v>
      </c>
      <c r="J1286">
        <v>3</v>
      </c>
      <c r="K1286" s="17" t="s">
        <v>46</v>
      </c>
      <c r="L1286">
        <v>65</v>
      </c>
      <c r="M1286">
        <v>3</v>
      </c>
      <c r="N1286">
        <v>3</v>
      </c>
      <c r="O1286" s="17" t="s">
        <v>58</v>
      </c>
      <c r="P1286" s="14">
        <v>3</v>
      </c>
      <c r="Q1286" t="s">
        <v>41</v>
      </c>
      <c r="R1286" s="14">
        <v>13464</v>
      </c>
      <c r="S1286" s="17" t="str">
        <f t="shared" si="40"/>
        <v>high</v>
      </c>
      <c r="T1286">
        <v>7914</v>
      </c>
      <c r="U1286">
        <v>7</v>
      </c>
      <c r="V1286" s="17" t="s">
        <v>43</v>
      </c>
      <c r="W1286">
        <v>21</v>
      </c>
      <c r="X1286">
        <v>4</v>
      </c>
      <c r="Y1286">
        <v>3</v>
      </c>
      <c r="Z1286">
        <v>0</v>
      </c>
      <c r="AA1286">
        <v>9</v>
      </c>
      <c r="AB1286">
        <v>3</v>
      </c>
      <c r="AC1286">
        <v>3</v>
      </c>
      <c r="AD1286" s="14">
        <v>4</v>
      </c>
      <c r="AE1286" t="str">
        <f t="shared" si="41"/>
        <v>3-5 years</v>
      </c>
      <c r="AF1286" s="14">
        <v>3</v>
      </c>
      <c r="AG1286" s="14">
        <v>2</v>
      </c>
      <c r="AH1286" s="14">
        <v>2</v>
      </c>
    </row>
    <row r="1287" spans="1:34" x14ac:dyDescent="0.3">
      <c r="A1287" s="14">
        <v>46</v>
      </c>
      <c r="B1287" s="17" t="s">
        <v>43</v>
      </c>
      <c r="C1287" t="s">
        <v>55</v>
      </c>
      <c r="D1287">
        <v>849</v>
      </c>
      <c r="E1287" s="17" t="s">
        <v>37</v>
      </c>
      <c r="F1287">
        <v>26</v>
      </c>
      <c r="G1287">
        <v>2</v>
      </c>
      <c r="H1287" t="s">
        <v>38</v>
      </c>
      <c r="I1287">
        <v>1801</v>
      </c>
      <c r="J1287">
        <v>2</v>
      </c>
      <c r="K1287" s="17" t="s">
        <v>46</v>
      </c>
      <c r="L1287">
        <v>98</v>
      </c>
      <c r="M1287">
        <v>2</v>
      </c>
      <c r="N1287">
        <v>2</v>
      </c>
      <c r="O1287" s="17" t="s">
        <v>40</v>
      </c>
      <c r="P1287" s="14">
        <v>2</v>
      </c>
      <c r="Q1287" t="s">
        <v>41</v>
      </c>
      <c r="R1287" s="14">
        <v>7991</v>
      </c>
      <c r="S1287" s="17" t="str">
        <f t="shared" si="40"/>
        <v>high</v>
      </c>
      <c r="T1287">
        <v>25166</v>
      </c>
      <c r="U1287">
        <v>8</v>
      </c>
      <c r="V1287" s="17" t="s">
        <v>43</v>
      </c>
      <c r="W1287">
        <v>15</v>
      </c>
      <c r="X1287">
        <v>3</v>
      </c>
      <c r="Y1287">
        <v>3</v>
      </c>
      <c r="Z1287">
        <v>0</v>
      </c>
      <c r="AA1287">
        <v>6</v>
      </c>
      <c r="AB1287">
        <v>3</v>
      </c>
      <c r="AC1287">
        <v>3</v>
      </c>
      <c r="AD1287" s="14">
        <v>2</v>
      </c>
      <c r="AE1287" t="str">
        <f t="shared" si="41"/>
        <v>0-2 years</v>
      </c>
      <c r="AF1287" s="14">
        <v>2</v>
      </c>
      <c r="AG1287" s="14">
        <v>2</v>
      </c>
      <c r="AH1287" s="14">
        <v>2</v>
      </c>
    </row>
    <row r="1288" spans="1:34" x14ac:dyDescent="0.3">
      <c r="A1288" s="14">
        <v>40</v>
      </c>
      <c r="B1288" s="17" t="s">
        <v>43</v>
      </c>
      <c r="C1288" t="s">
        <v>36</v>
      </c>
      <c r="D1288">
        <v>616</v>
      </c>
      <c r="E1288" s="17" t="s">
        <v>45</v>
      </c>
      <c r="F1288">
        <v>2</v>
      </c>
      <c r="G1288">
        <v>2</v>
      </c>
      <c r="H1288" t="s">
        <v>38</v>
      </c>
      <c r="I1288">
        <v>1802</v>
      </c>
      <c r="J1288">
        <v>3</v>
      </c>
      <c r="K1288" s="17" t="s">
        <v>39</v>
      </c>
      <c r="L1288">
        <v>99</v>
      </c>
      <c r="M1288">
        <v>3</v>
      </c>
      <c r="N1288">
        <v>1</v>
      </c>
      <c r="O1288" s="17" t="s">
        <v>50</v>
      </c>
      <c r="P1288" s="14">
        <v>1</v>
      </c>
      <c r="Q1288" t="s">
        <v>48</v>
      </c>
      <c r="R1288" s="14">
        <v>3377</v>
      </c>
      <c r="S1288" s="17" t="str">
        <f t="shared" si="40"/>
        <v>medium</v>
      </c>
      <c r="T1288">
        <v>25605</v>
      </c>
      <c r="U1288">
        <v>4</v>
      </c>
      <c r="V1288" s="17" t="s">
        <v>43</v>
      </c>
      <c r="W1288">
        <v>17</v>
      </c>
      <c r="X1288">
        <v>3</v>
      </c>
      <c r="Y1288">
        <v>4</v>
      </c>
      <c r="Z1288">
        <v>1</v>
      </c>
      <c r="AA1288">
        <v>7</v>
      </c>
      <c r="AB1288">
        <v>5</v>
      </c>
      <c r="AC1288">
        <v>2</v>
      </c>
      <c r="AD1288" s="14">
        <v>4</v>
      </c>
      <c r="AE1288" t="str">
        <f t="shared" si="41"/>
        <v>3-5 years</v>
      </c>
      <c r="AF1288" s="14">
        <v>3</v>
      </c>
      <c r="AG1288" s="14">
        <v>0</v>
      </c>
      <c r="AH1288" s="14">
        <v>2</v>
      </c>
    </row>
    <row r="1289" spans="1:34" x14ac:dyDescent="0.3">
      <c r="A1289" s="14">
        <v>42</v>
      </c>
      <c r="B1289" s="17" t="s">
        <v>43</v>
      </c>
      <c r="C1289" t="s">
        <v>36</v>
      </c>
      <c r="D1289">
        <v>1128</v>
      </c>
      <c r="E1289" s="17" t="s">
        <v>45</v>
      </c>
      <c r="F1289">
        <v>13</v>
      </c>
      <c r="G1289">
        <v>3</v>
      </c>
      <c r="H1289" t="s">
        <v>51</v>
      </c>
      <c r="I1289">
        <v>1803</v>
      </c>
      <c r="J1289">
        <v>2</v>
      </c>
      <c r="K1289" s="17" t="s">
        <v>46</v>
      </c>
      <c r="L1289">
        <v>95</v>
      </c>
      <c r="M1289">
        <v>4</v>
      </c>
      <c r="N1289">
        <v>2</v>
      </c>
      <c r="O1289" s="17" t="s">
        <v>54</v>
      </c>
      <c r="P1289" s="14">
        <v>1</v>
      </c>
      <c r="Q1289" t="s">
        <v>48</v>
      </c>
      <c r="R1289" s="14">
        <v>5538</v>
      </c>
      <c r="S1289" s="17" t="str">
        <f t="shared" si="40"/>
        <v>medium</v>
      </c>
      <c r="T1289">
        <v>5696</v>
      </c>
      <c r="U1289">
        <v>5</v>
      </c>
      <c r="V1289" s="17" t="s">
        <v>43</v>
      </c>
      <c r="W1289">
        <v>18</v>
      </c>
      <c r="X1289">
        <v>3</v>
      </c>
      <c r="Y1289">
        <v>3</v>
      </c>
      <c r="Z1289">
        <v>2</v>
      </c>
      <c r="AA1289">
        <v>10</v>
      </c>
      <c r="AB1289">
        <v>2</v>
      </c>
      <c r="AC1289">
        <v>2</v>
      </c>
      <c r="AD1289" s="14">
        <v>0</v>
      </c>
      <c r="AE1289" t="str">
        <f t="shared" si="41"/>
        <v>0-2 years</v>
      </c>
      <c r="AF1289" s="14">
        <v>0</v>
      </c>
      <c r="AG1289" s="14">
        <v>0</v>
      </c>
      <c r="AH1289" s="14">
        <v>0</v>
      </c>
    </row>
    <row r="1290" spans="1:34" x14ac:dyDescent="0.3">
      <c r="A1290" s="14">
        <v>35</v>
      </c>
      <c r="B1290" s="17" t="s">
        <v>43</v>
      </c>
      <c r="C1290" t="s">
        <v>55</v>
      </c>
      <c r="D1290">
        <v>1180</v>
      </c>
      <c r="E1290" s="17" t="s">
        <v>45</v>
      </c>
      <c r="F1290">
        <v>2</v>
      </c>
      <c r="G1290">
        <v>2</v>
      </c>
      <c r="H1290" t="s">
        <v>51</v>
      </c>
      <c r="I1290">
        <v>1804</v>
      </c>
      <c r="J1290">
        <v>2</v>
      </c>
      <c r="K1290" s="17" t="s">
        <v>46</v>
      </c>
      <c r="L1290">
        <v>90</v>
      </c>
      <c r="M1290">
        <v>3</v>
      </c>
      <c r="N1290">
        <v>2</v>
      </c>
      <c r="O1290" s="17" t="s">
        <v>53</v>
      </c>
      <c r="P1290" s="14">
        <v>4</v>
      </c>
      <c r="Q1290" t="s">
        <v>52</v>
      </c>
      <c r="R1290" s="14">
        <v>5762</v>
      </c>
      <c r="S1290" s="17" t="str">
        <f t="shared" si="40"/>
        <v>medium</v>
      </c>
      <c r="T1290">
        <v>24442</v>
      </c>
      <c r="U1290">
        <v>2</v>
      </c>
      <c r="V1290" s="17" t="s">
        <v>43</v>
      </c>
      <c r="W1290">
        <v>14</v>
      </c>
      <c r="X1290">
        <v>3</v>
      </c>
      <c r="Y1290">
        <v>3</v>
      </c>
      <c r="Z1290">
        <v>1</v>
      </c>
      <c r="AA1290">
        <v>15</v>
      </c>
      <c r="AB1290">
        <v>6</v>
      </c>
      <c r="AC1290">
        <v>3</v>
      </c>
      <c r="AD1290" s="14">
        <v>7</v>
      </c>
      <c r="AE1290" t="str">
        <f t="shared" si="41"/>
        <v>6-10 years</v>
      </c>
      <c r="AF1290" s="14">
        <v>7</v>
      </c>
      <c r="AG1290" s="14">
        <v>1</v>
      </c>
      <c r="AH1290" s="14">
        <v>7</v>
      </c>
    </row>
    <row r="1291" spans="1:34" x14ac:dyDescent="0.3">
      <c r="A1291" s="14">
        <v>38</v>
      </c>
      <c r="B1291" s="17" t="s">
        <v>43</v>
      </c>
      <c r="C1291" t="s">
        <v>55</v>
      </c>
      <c r="D1291">
        <v>1336</v>
      </c>
      <c r="E1291" s="17" t="s">
        <v>61</v>
      </c>
      <c r="F1291">
        <v>2</v>
      </c>
      <c r="G1291">
        <v>3</v>
      </c>
      <c r="H1291" t="s">
        <v>61</v>
      </c>
      <c r="I1291">
        <v>1805</v>
      </c>
      <c r="J1291">
        <v>1</v>
      </c>
      <c r="K1291" s="17" t="s">
        <v>46</v>
      </c>
      <c r="L1291">
        <v>100</v>
      </c>
      <c r="M1291">
        <v>3</v>
      </c>
      <c r="N1291">
        <v>1</v>
      </c>
      <c r="O1291" s="17" t="s">
        <v>61</v>
      </c>
      <c r="P1291" s="14">
        <v>2</v>
      </c>
      <c r="Q1291" t="s">
        <v>52</v>
      </c>
      <c r="R1291" s="14">
        <v>2592</v>
      </c>
      <c r="S1291" s="17" t="str">
        <f t="shared" si="40"/>
        <v>low</v>
      </c>
      <c r="T1291">
        <v>7129</v>
      </c>
      <c r="U1291">
        <v>5</v>
      </c>
      <c r="V1291" s="17" t="s">
        <v>43</v>
      </c>
      <c r="W1291">
        <v>13</v>
      </c>
      <c r="X1291">
        <v>3</v>
      </c>
      <c r="Y1291">
        <v>4</v>
      </c>
      <c r="Z1291">
        <v>3</v>
      </c>
      <c r="AA1291">
        <v>13</v>
      </c>
      <c r="AB1291">
        <v>3</v>
      </c>
      <c r="AC1291">
        <v>3</v>
      </c>
      <c r="AD1291" s="14">
        <v>11</v>
      </c>
      <c r="AE1291" t="str">
        <f t="shared" si="41"/>
        <v>10+ years</v>
      </c>
      <c r="AF1291" s="14">
        <v>10</v>
      </c>
      <c r="AG1291" s="14">
        <v>3</v>
      </c>
      <c r="AH1291" s="14">
        <v>8</v>
      </c>
    </row>
    <row r="1292" spans="1:34" x14ac:dyDescent="0.3">
      <c r="A1292" s="14">
        <v>34</v>
      </c>
      <c r="B1292" s="17" t="s">
        <v>35</v>
      </c>
      <c r="C1292" t="s">
        <v>44</v>
      </c>
      <c r="D1292">
        <v>234</v>
      </c>
      <c r="E1292" s="17" t="s">
        <v>45</v>
      </c>
      <c r="F1292">
        <v>9</v>
      </c>
      <c r="G1292">
        <v>4</v>
      </c>
      <c r="H1292" t="s">
        <v>38</v>
      </c>
      <c r="I1292">
        <v>1807</v>
      </c>
      <c r="J1292">
        <v>4</v>
      </c>
      <c r="K1292" s="17" t="s">
        <v>46</v>
      </c>
      <c r="L1292">
        <v>93</v>
      </c>
      <c r="M1292">
        <v>3</v>
      </c>
      <c r="N1292">
        <v>2</v>
      </c>
      <c r="O1292" s="17" t="s">
        <v>50</v>
      </c>
      <c r="P1292" s="14">
        <v>1</v>
      </c>
      <c r="Q1292" t="s">
        <v>48</v>
      </c>
      <c r="R1292" s="14">
        <v>5346</v>
      </c>
      <c r="S1292" s="17" t="str">
        <f t="shared" si="40"/>
        <v>medium</v>
      </c>
      <c r="T1292">
        <v>6208</v>
      </c>
      <c r="U1292">
        <v>4</v>
      </c>
      <c r="V1292" s="17" t="s">
        <v>43</v>
      </c>
      <c r="W1292">
        <v>17</v>
      </c>
      <c r="X1292">
        <v>3</v>
      </c>
      <c r="Y1292">
        <v>3</v>
      </c>
      <c r="Z1292">
        <v>1</v>
      </c>
      <c r="AA1292">
        <v>11</v>
      </c>
      <c r="AB1292">
        <v>3</v>
      </c>
      <c r="AC1292">
        <v>2</v>
      </c>
      <c r="AD1292" s="14">
        <v>7</v>
      </c>
      <c r="AE1292" t="str">
        <f t="shared" si="41"/>
        <v>6-10 years</v>
      </c>
      <c r="AF1292" s="14">
        <v>1</v>
      </c>
      <c r="AG1292" s="14">
        <v>0</v>
      </c>
      <c r="AH1292" s="14">
        <v>7</v>
      </c>
    </row>
    <row r="1293" spans="1:34" x14ac:dyDescent="0.3">
      <c r="A1293" s="14">
        <v>37</v>
      </c>
      <c r="B1293" s="17" t="s">
        <v>35</v>
      </c>
      <c r="C1293" t="s">
        <v>36</v>
      </c>
      <c r="D1293">
        <v>370</v>
      </c>
      <c r="E1293" s="17" t="s">
        <v>45</v>
      </c>
      <c r="F1293">
        <v>10</v>
      </c>
      <c r="G1293">
        <v>4</v>
      </c>
      <c r="H1293" t="s">
        <v>51</v>
      </c>
      <c r="I1293">
        <v>1809</v>
      </c>
      <c r="J1293">
        <v>4</v>
      </c>
      <c r="K1293" s="17" t="s">
        <v>46</v>
      </c>
      <c r="L1293">
        <v>58</v>
      </c>
      <c r="M1293">
        <v>3</v>
      </c>
      <c r="N1293">
        <v>2</v>
      </c>
      <c r="O1293" s="17" t="s">
        <v>53</v>
      </c>
      <c r="P1293" s="14">
        <v>1</v>
      </c>
      <c r="Q1293" t="s">
        <v>41</v>
      </c>
      <c r="R1293" s="14">
        <v>4213</v>
      </c>
      <c r="S1293" s="17" t="str">
        <f t="shared" si="40"/>
        <v>medium</v>
      </c>
      <c r="T1293">
        <v>4992</v>
      </c>
      <c r="U1293">
        <v>1</v>
      </c>
      <c r="V1293" s="17" t="s">
        <v>43</v>
      </c>
      <c r="W1293">
        <v>15</v>
      </c>
      <c r="X1293">
        <v>3</v>
      </c>
      <c r="Y1293">
        <v>2</v>
      </c>
      <c r="Z1293">
        <v>0</v>
      </c>
      <c r="AA1293">
        <v>10</v>
      </c>
      <c r="AB1293">
        <v>4</v>
      </c>
      <c r="AC1293">
        <v>1</v>
      </c>
      <c r="AD1293" s="14">
        <v>10</v>
      </c>
      <c r="AE1293" t="str">
        <f t="shared" si="41"/>
        <v>6-10 years</v>
      </c>
      <c r="AF1293" s="14">
        <v>3</v>
      </c>
      <c r="AG1293" s="14">
        <v>0</v>
      </c>
      <c r="AH1293" s="14">
        <v>8</v>
      </c>
    </row>
    <row r="1294" spans="1:34" x14ac:dyDescent="0.3">
      <c r="A1294" s="14">
        <v>39</v>
      </c>
      <c r="B1294" s="17" t="s">
        <v>43</v>
      </c>
      <c r="C1294" t="s">
        <v>44</v>
      </c>
      <c r="D1294">
        <v>766</v>
      </c>
      <c r="E1294" s="17" t="s">
        <v>37</v>
      </c>
      <c r="F1294">
        <v>20</v>
      </c>
      <c r="G1294">
        <v>3</v>
      </c>
      <c r="H1294" t="s">
        <v>38</v>
      </c>
      <c r="I1294">
        <v>1812</v>
      </c>
      <c r="J1294">
        <v>3</v>
      </c>
      <c r="K1294" s="17" t="s">
        <v>46</v>
      </c>
      <c r="L1294">
        <v>83</v>
      </c>
      <c r="M1294">
        <v>3</v>
      </c>
      <c r="N1294">
        <v>2</v>
      </c>
      <c r="O1294" s="17" t="s">
        <v>40</v>
      </c>
      <c r="P1294" s="14">
        <v>4</v>
      </c>
      <c r="Q1294" t="s">
        <v>52</v>
      </c>
      <c r="R1294" s="14">
        <v>4127</v>
      </c>
      <c r="S1294" s="17" t="str">
        <f t="shared" si="40"/>
        <v>medium</v>
      </c>
      <c r="T1294">
        <v>19188</v>
      </c>
      <c r="U1294">
        <v>2</v>
      </c>
      <c r="V1294" s="17" t="s">
        <v>43</v>
      </c>
      <c r="W1294">
        <v>18</v>
      </c>
      <c r="X1294">
        <v>3</v>
      </c>
      <c r="Y1294">
        <v>4</v>
      </c>
      <c r="Z1294">
        <v>1</v>
      </c>
      <c r="AA1294">
        <v>7</v>
      </c>
      <c r="AB1294">
        <v>6</v>
      </c>
      <c r="AC1294">
        <v>3</v>
      </c>
      <c r="AD1294" s="14">
        <v>2</v>
      </c>
      <c r="AE1294" t="str">
        <f t="shared" si="41"/>
        <v>0-2 years</v>
      </c>
      <c r="AF1294" s="14">
        <v>1</v>
      </c>
      <c r="AG1294" s="14">
        <v>2</v>
      </c>
      <c r="AH1294" s="14">
        <v>2</v>
      </c>
    </row>
    <row r="1295" spans="1:34" x14ac:dyDescent="0.3">
      <c r="A1295" s="14">
        <v>43</v>
      </c>
      <c r="B1295" s="17" t="s">
        <v>43</v>
      </c>
      <c r="C1295" t="s">
        <v>55</v>
      </c>
      <c r="D1295">
        <v>343</v>
      </c>
      <c r="E1295" s="17" t="s">
        <v>45</v>
      </c>
      <c r="F1295">
        <v>9</v>
      </c>
      <c r="G1295">
        <v>3</v>
      </c>
      <c r="H1295" t="s">
        <v>38</v>
      </c>
      <c r="I1295">
        <v>1813</v>
      </c>
      <c r="J1295">
        <v>1</v>
      </c>
      <c r="K1295" s="17" t="s">
        <v>46</v>
      </c>
      <c r="L1295">
        <v>52</v>
      </c>
      <c r="M1295">
        <v>3</v>
      </c>
      <c r="N1295">
        <v>1</v>
      </c>
      <c r="O1295" s="17" t="s">
        <v>47</v>
      </c>
      <c r="P1295" s="14">
        <v>3</v>
      </c>
      <c r="Q1295" t="s">
        <v>41</v>
      </c>
      <c r="R1295" s="14">
        <v>2438</v>
      </c>
      <c r="S1295" s="17" t="str">
        <f t="shared" si="40"/>
        <v>low</v>
      </c>
      <c r="T1295">
        <v>24978</v>
      </c>
      <c r="U1295">
        <v>4</v>
      </c>
      <c r="V1295" s="17" t="s">
        <v>43</v>
      </c>
      <c r="W1295">
        <v>13</v>
      </c>
      <c r="X1295">
        <v>3</v>
      </c>
      <c r="Y1295">
        <v>3</v>
      </c>
      <c r="Z1295">
        <v>0</v>
      </c>
      <c r="AA1295">
        <v>7</v>
      </c>
      <c r="AB1295">
        <v>2</v>
      </c>
      <c r="AC1295">
        <v>2</v>
      </c>
      <c r="AD1295" s="14">
        <v>3</v>
      </c>
      <c r="AE1295" t="str">
        <f t="shared" si="41"/>
        <v>3-5 years</v>
      </c>
      <c r="AF1295" s="14">
        <v>2</v>
      </c>
      <c r="AG1295" s="14">
        <v>1</v>
      </c>
      <c r="AH1295" s="14">
        <v>2</v>
      </c>
    </row>
    <row r="1296" spans="1:34" x14ac:dyDescent="0.3">
      <c r="A1296" s="14">
        <v>41</v>
      </c>
      <c r="B1296" s="17" t="s">
        <v>43</v>
      </c>
      <c r="C1296" t="s">
        <v>36</v>
      </c>
      <c r="D1296">
        <v>447</v>
      </c>
      <c r="E1296" s="17" t="s">
        <v>45</v>
      </c>
      <c r="F1296">
        <v>5</v>
      </c>
      <c r="G1296">
        <v>3</v>
      </c>
      <c r="H1296" t="s">
        <v>38</v>
      </c>
      <c r="I1296">
        <v>1814</v>
      </c>
      <c r="J1296">
        <v>2</v>
      </c>
      <c r="K1296" s="17" t="s">
        <v>46</v>
      </c>
      <c r="L1296">
        <v>85</v>
      </c>
      <c r="M1296">
        <v>4</v>
      </c>
      <c r="N1296">
        <v>2</v>
      </c>
      <c r="O1296" s="17" t="s">
        <v>54</v>
      </c>
      <c r="P1296" s="14">
        <v>2</v>
      </c>
      <c r="Q1296" t="s">
        <v>41</v>
      </c>
      <c r="R1296" s="14">
        <v>6870</v>
      </c>
      <c r="S1296" s="17" t="str">
        <f t="shared" si="40"/>
        <v>medium</v>
      </c>
      <c r="T1296">
        <v>15530</v>
      </c>
      <c r="U1296">
        <v>3</v>
      </c>
      <c r="V1296" s="17" t="s">
        <v>43</v>
      </c>
      <c r="W1296">
        <v>12</v>
      </c>
      <c r="X1296">
        <v>3</v>
      </c>
      <c r="Y1296">
        <v>1</v>
      </c>
      <c r="Z1296">
        <v>0</v>
      </c>
      <c r="AA1296">
        <v>11</v>
      </c>
      <c r="AB1296">
        <v>3</v>
      </c>
      <c r="AC1296">
        <v>1</v>
      </c>
      <c r="AD1296" s="14">
        <v>3</v>
      </c>
      <c r="AE1296" t="str">
        <f t="shared" si="41"/>
        <v>3-5 years</v>
      </c>
      <c r="AF1296" s="14">
        <v>2</v>
      </c>
      <c r="AG1296" s="14">
        <v>1</v>
      </c>
      <c r="AH1296" s="14">
        <v>2</v>
      </c>
    </row>
    <row r="1297" spans="1:34" x14ac:dyDescent="0.3">
      <c r="A1297" s="14">
        <v>41</v>
      </c>
      <c r="B1297" s="17" t="s">
        <v>43</v>
      </c>
      <c r="C1297" t="s">
        <v>36</v>
      </c>
      <c r="D1297">
        <v>796</v>
      </c>
      <c r="E1297" s="17" t="s">
        <v>37</v>
      </c>
      <c r="F1297">
        <v>4</v>
      </c>
      <c r="G1297">
        <v>1</v>
      </c>
      <c r="H1297" t="s">
        <v>59</v>
      </c>
      <c r="I1297">
        <v>1815</v>
      </c>
      <c r="J1297">
        <v>3</v>
      </c>
      <c r="K1297" s="17" t="s">
        <v>39</v>
      </c>
      <c r="L1297">
        <v>81</v>
      </c>
      <c r="M1297">
        <v>3</v>
      </c>
      <c r="N1297">
        <v>3</v>
      </c>
      <c r="O1297" s="17" t="s">
        <v>40</v>
      </c>
      <c r="P1297" s="14">
        <v>3</v>
      </c>
      <c r="Q1297" t="s">
        <v>52</v>
      </c>
      <c r="R1297" s="14">
        <v>10447</v>
      </c>
      <c r="S1297" s="17" t="str">
        <f t="shared" si="40"/>
        <v>high</v>
      </c>
      <c r="T1297">
        <v>26458</v>
      </c>
      <c r="U1297">
        <v>0</v>
      </c>
      <c r="V1297" s="17" t="s">
        <v>35</v>
      </c>
      <c r="W1297">
        <v>13</v>
      </c>
      <c r="X1297">
        <v>3</v>
      </c>
      <c r="Y1297">
        <v>4</v>
      </c>
      <c r="Z1297">
        <v>1</v>
      </c>
      <c r="AA1297">
        <v>23</v>
      </c>
      <c r="AB1297">
        <v>3</v>
      </c>
      <c r="AC1297">
        <v>4</v>
      </c>
      <c r="AD1297" s="14">
        <v>22</v>
      </c>
      <c r="AE1297" t="str">
        <f t="shared" si="41"/>
        <v>10+ years</v>
      </c>
      <c r="AF1297" s="14">
        <v>14</v>
      </c>
      <c r="AG1297" s="14">
        <v>13</v>
      </c>
      <c r="AH1297" s="14">
        <v>5</v>
      </c>
    </row>
    <row r="1298" spans="1:34" x14ac:dyDescent="0.3">
      <c r="A1298" s="14">
        <v>30</v>
      </c>
      <c r="B1298" s="17" t="s">
        <v>43</v>
      </c>
      <c r="C1298" t="s">
        <v>36</v>
      </c>
      <c r="D1298">
        <v>1092</v>
      </c>
      <c r="E1298" s="17" t="s">
        <v>45</v>
      </c>
      <c r="F1298">
        <v>10</v>
      </c>
      <c r="G1298">
        <v>3</v>
      </c>
      <c r="H1298" t="s">
        <v>51</v>
      </c>
      <c r="I1298">
        <v>1816</v>
      </c>
      <c r="J1298">
        <v>1</v>
      </c>
      <c r="K1298" s="17" t="s">
        <v>39</v>
      </c>
      <c r="L1298">
        <v>64</v>
      </c>
      <c r="M1298">
        <v>3</v>
      </c>
      <c r="N1298">
        <v>3</v>
      </c>
      <c r="O1298" s="17" t="s">
        <v>53</v>
      </c>
      <c r="P1298" s="14">
        <v>3</v>
      </c>
      <c r="Q1298" t="s">
        <v>41</v>
      </c>
      <c r="R1298" s="14">
        <v>9667</v>
      </c>
      <c r="S1298" s="17" t="str">
        <f t="shared" si="40"/>
        <v>high</v>
      </c>
      <c r="T1298">
        <v>2739</v>
      </c>
      <c r="U1298">
        <v>9</v>
      </c>
      <c r="V1298" s="17" t="s">
        <v>43</v>
      </c>
      <c r="W1298">
        <v>14</v>
      </c>
      <c r="X1298">
        <v>3</v>
      </c>
      <c r="Y1298">
        <v>2</v>
      </c>
      <c r="Z1298">
        <v>0</v>
      </c>
      <c r="AA1298">
        <v>9</v>
      </c>
      <c r="AB1298">
        <v>3</v>
      </c>
      <c r="AC1298">
        <v>3</v>
      </c>
      <c r="AD1298" s="14">
        <v>7</v>
      </c>
      <c r="AE1298" t="str">
        <f t="shared" si="41"/>
        <v>6-10 years</v>
      </c>
      <c r="AF1298" s="14">
        <v>7</v>
      </c>
      <c r="AG1298" s="14">
        <v>0</v>
      </c>
      <c r="AH1298" s="14">
        <v>2</v>
      </c>
    </row>
    <row r="1299" spans="1:34" x14ac:dyDescent="0.3">
      <c r="A1299" s="14">
        <v>26</v>
      </c>
      <c r="B1299" s="17" t="s">
        <v>35</v>
      </c>
      <c r="C1299" t="s">
        <v>36</v>
      </c>
      <c r="D1299">
        <v>920</v>
      </c>
      <c r="E1299" s="17" t="s">
        <v>61</v>
      </c>
      <c r="F1299">
        <v>20</v>
      </c>
      <c r="G1299">
        <v>2</v>
      </c>
      <c r="H1299" t="s">
        <v>51</v>
      </c>
      <c r="I1299">
        <v>1818</v>
      </c>
      <c r="J1299">
        <v>4</v>
      </c>
      <c r="K1299" s="17" t="s">
        <v>39</v>
      </c>
      <c r="L1299">
        <v>69</v>
      </c>
      <c r="M1299">
        <v>3</v>
      </c>
      <c r="N1299">
        <v>1</v>
      </c>
      <c r="O1299" s="17" t="s">
        <v>61</v>
      </c>
      <c r="P1299" s="14">
        <v>2</v>
      </c>
      <c r="Q1299" t="s">
        <v>48</v>
      </c>
      <c r="R1299" s="14">
        <v>2148</v>
      </c>
      <c r="S1299" s="17" t="str">
        <f t="shared" si="40"/>
        <v>low</v>
      </c>
      <c r="T1299">
        <v>6889</v>
      </c>
      <c r="U1299">
        <v>0</v>
      </c>
      <c r="V1299" s="17" t="s">
        <v>35</v>
      </c>
      <c r="W1299">
        <v>11</v>
      </c>
      <c r="X1299">
        <v>3</v>
      </c>
      <c r="Y1299">
        <v>3</v>
      </c>
      <c r="Z1299">
        <v>0</v>
      </c>
      <c r="AA1299">
        <v>6</v>
      </c>
      <c r="AB1299">
        <v>3</v>
      </c>
      <c r="AC1299">
        <v>3</v>
      </c>
      <c r="AD1299" s="14">
        <v>5</v>
      </c>
      <c r="AE1299" t="str">
        <f t="shared" si="41"/>
        <v>3-5 years</v>
      </c>
      <c r="AF1299" s="14">
        <v>1</v>
      </c>
      <c r="AG1299" s="14">
        <v>1</v>
      </c>
      <c r="AH1299" s="14">
        <v>4</v>
      </c>
    </row>
    <row r="1300" spans="1:34" x14ac:dyDescent="0.3">
      <c r="A1300" s="14">
        <v>46</v>
      </c>
      <c r="B1300" s="17" t="s">
        <v>35</v>
      </c>
      <c r="C1300" t="s">
        <v>36</v>
      </c>
      <c r="D1300">
        <v>261</v>
      </c>
      <c r="E1300" s="17" t="s">
        <v>45</v>
      </c>
      <c r="F1300">
        <v>21</v>
      </c>
      <c r="G1300">
        <v>2</v>
      </c>
      <c r="H1300" t="s">
        <v>51</v>
      </c>
      <c r="I1300">
        <v>1821</v>
      </c>
      <c r="J1300">
        <v>4</v>
      </c>
      <c r="K1300" s="17" t="s">
        <v>39</v>
      </c>
      <c r="L1300">
        <v>66</v>
      </c>
      <c r="M1300">
        <v>3</v>
      </c>
      <c r="N1300">
        <v>2</v>
      </c>
      <c r="O1300" s="17" t="s">
        <v>54</v>
      </c>
      <c r="P1300" s="14">
        <v>2</v>
      </c>
      <c r="Q1300" t="s">
        <v>48</v>
      </c>
      <c r="R1300" s="14">
        <v>8926</v>
      </c>
      <c r="S1300" s="17" t="str">
        <f t="shared" si="40"/>
        <v>high</v>
      </c>
      <c r="T1300">
        <v>10842</v>
      </c>
      <c r="U1300">
        <v>4</v>
      </c>
      <c r="V1300" s="17" t="s">
        <v>43</v>
      </c>
      <c r="W1300">
        <v>22</v>
      </c>
      <c r="X1300">
        <v>4</v>
      </c>
      <c r="Y1300">
        <v>4</v>
      </c>
      <c r="Z1300">
        <v>1</v>
      </c>
      <c r="AA1300">
        <v>13</v>
      </c>
      <c r="AB1300">
        <v>2</v>
      </c>
      <c r="AC1300">
        <v>4</v>
      </c>
      <c r="AD1300" s="14">
        <v>9</v>
      </c>
      <c r="AE1300" t="str">
        <f t="shared" si="41"/>
        <v>6-10 years</v>
      </c>
      <c r="AF1300" s="14">
        <v>7</v>
      </c>
      <c r="AG1300" s="14">
        <v>3</v>
      </c>
      <c r="AH1300" s="14">
        <v>7</v>
      </c>
    </row>
    <row r="1301" spans="1:34" x14ac:dyDescent="0.3">
      <c r="A1301" s="14">
        <v>40</v>
      </c>
      <c r="B1301" s="17" t="s">
        <v>43</v>
      </c>
      <c r="C1301" t="s">
        <v>36</v>
      </c>
      <c r="D1301">
        <v>1194</v>
      </c>
      <c r="E1301" s="17" t="s">
        <v>45</v>
      </c>
      <c r="F1301">
        <v>1</v>
      </c>
      <c r="G1301">
        <v>3</v>
      </c>
      <c r="H1301" t="s">
        <v>38</v>
      </c>
      <c r="I1301">
        <v>1822</v>
      </c>
      <c r="J1301">
        <v>3</v>
      </c>
      <c r="K1301" s="17" t="s">
        <v>39</v>
      </c>
      <c r="L1301">
        <v>52</v>
      </c>
      <c r="M1301">
        <v>3</v>
      </c>
      <c r="N1301">
        <v>2</v>
      </c>
      <c r="O1301" s="17" t="s">
        <v>54</v>
      </c>
      <c r="P1301" s="14">
        <v>4</v>
      </c>
      <c r="Q1301" t="s">
        <v>52</v>
      </c>
      <c r="R1301" s="14">
        <v>6513</v>
      </c>
      <c r="S1301" s="17" t="str">
        <f t="shared" si="40"/>
        <v>medium</v>
      </c>
      <c r="T1301">
        <v>9060</v>
      </c>
      <c r="U1301">
        <v>4</v>
      </c>
      <c r="V1301" s="17" t="s">
        <v>43</v>
      </c>
      <c r="W1301">
        <v>17</v>
      </c>
      <c r="X1301">
        <v>3</v>
      </c>
      <c r="Y1301">
        <v>4</v>
      </c>
      <c r="Z1301">
        <v>1</v>
      </c>
      <c r="AA1301">
        <v>12</v>
      </c>
      <c r="AB1301">
        <v>3</v>
      </c>
      <c r="AC1301">
        <v>3</v>
      </c>
      <c r="AD1301" s="14">
        <v>5</v>
      </c>
      <c r="AE1301" t="str">
        <f t="shared" si="41"/>
        <v>3-5 years</v>
      </c>
      <c r="AF1301" s="14">
        <v>3</v>
      </c>
      <c r="AG1301" s="14">
        <v>0</v>
      </c>
      <c r="AH1301" s="14">
        <v>3</v>
      </c>
    </row>
    <row r="1302" spans="1:34" x14ac:dyDescent="0.3">
      <c r="A1302" s="14">
        <v>34</v>
      </c>
      <c r="B1302" s="17" t="s">
        <v>43</v>
      </c>
      <c r="C1302" t="s">
        <v>36</v>
      </c>
      <c r="D1302">
        <v>810</v>
      </c>
      <c r="E1302" s="17" t="s">
        <v>37</v>
      </c>
      <c r="F1302">
        <v>8</v>
      </c>
      <c r="G1302">
        <v>2</v>
      </c>
      <c r="H1302" t="s">
        <v>60</v>
      </c>
      <c r="I1302">
        <v>1823</v>
      </c>
      <c r="J1302">
        <v>2</v>
      </c>
      <c r="K1302" s="17" t="s">
        <v>46</v>
      </c>
      <c r="L1302">
        <v>92</v>
      </c>
      <c r="M1302">
        <v>4</v>
      </c>
      <c r="N1302">
        <v>2</v>
      </c>
      <c r="O1302" s="17" t="s">
        <v>40</v>
      </c>
      <c r="P1302" s="14">
        <v>3</v>
      </c>
      <c r="Q1302" t="s">
        <v>48</v>
      </c>
      <c r="R1302" s="14">
        <v>6799</v>
      </c>
      <c r="S1302" s="17" t="str">
        <f t="shared" si="40"/>
        <v>medium</v>
      </c>
      <c r="T1302">
        <v>22128</v>
      </c>
      <c r="U1302">
        <v>1</v>
      </c>
      <c r="V1302" s="17" t="s">
        <v>43</v>
      </c>
      <c r="W1302">
        <v>21</v>
      </c>
      <c r="X1302">
        <v>4</v>
      </c>
      <c r="Y1302">
        <v>3</v>
      </c>
      <c r="Z1302">
        <v>2</v>
      </c>
      <c r="AA1302">
        <v>10</v>
      </c>
      <c r="AB1302">
        <v>5</v>
      </c>
      <c r="AC1302">
        <v>3</v>
      </c>
      <c r="AD1302" s="14">
        <v>10</v>
      </c>
      <c r="AE1302" t="str">
        <f t="shared" si="41"/>
        <v>6-10 years</v>
      </c>
      <c r="AF1302" s="14">
        <v>8</v>
      </c>
      <c r="AG1302" s="14">
        <v>4</v>
      </c>
      <c r="AH1302" s="14">
        <v>8</v>
      </c>
    </row>
    <row r="1303" spans="1:34" x14ac:dyDescent="0.3">
      <c r="A1303" s="14">
        <v>58</v>
      </c>
      <c r="B1303" s="17" t="s">
        <v>43</v>
      </c>
      <c r="C1303" t="s">
        <v>55</v>
      </c>
      <c r="D1303">
        <v>350</v>
      </c>
      <c r="E1303" s="17" t="s">
        <v>37</v>
      </c>
      <c r="F1303">
        <v>2</v>
      </c>
      <c r="G1303">
        <v>3</v>
      </c>
      <c r="H1303" t="s">
        <v>51</v>
      </c>
      <c r="I1303">
        <v>1824</v>
      </c>
      <c r="J1303">
        <v>2</v>
      </c>
      <c r="K1303" s="17" t="s">
        <v>46</v>
      </c>
      <c r="L1303">
        <v>52</v>
      </c>
      <c r="M1303">
        <v>3</v>
      </c>
      <c r="N1303">
        <v>4</v>
      </c>
      <c r="O1303" s="17" t="s">
        <v>56</v>
      </c>
      <c r="P1303" s="14">
        <v>2</v>
      </c>
      <c r="Q1303" t="s">
        <v>52</v>
      </c>
      <c r="R1303" s="14">
        <v>16291</v>
      </c>
      <c r="S1303" s="17" t="str">
        <f t="shared" si="40"/>
        <v>high</v>
      </c>
      <c r="T1303">
        <v>22577</v>
      </c>
      <c r="U1303">
        <v>4</v>
      </c>
      <c r="V1303" s="17" t="s">
        <v>43</v>
      </c>
      <c r="W1303">
        <v>22</v>
      </c>
      <c r="X1303">
        <v>4</v>
      </c>
      <c r="Y1303">
        <v>4</v>
      </c>
      <c r="Z1303">
        <v>1</v>
      </c>
      <c r="AA1303">
        <v>37</v>
      </c>
      <c r="AB1303">
        <v>0</v>
      </c>
      <c r="AC1303">
        <v>2</v>
      </c>
      <c r="AD1303" s="14">
        <v>16</v>
      </c>
      <c r="AE1303" t="str">
        <f t="shared" si="41"/>
        <v>10+ years</v>
      </c>
      <c r="AF1303" s="14">
        <v>9</v>
      </c>
      <c r="AG1303" s="14">
        <v>14</v>
      </c>
      <c r="AH1303" s="14">
        <v>14</v>
      </c>
    </row>
    <row r="1304" spans="1:34" x14ac:dyDescent="0.3">
      <c r="A1304" s="14">
        <v>35</v>
      </c>
      <c r="B1304" s="17" t="s">
        <v>43</v>
      </c>
      <c r="C1304" t="s">
        <v>36</v>
      </c>
      <c r="D1304">
        <v>185</v>
      </c>
      <c r="E1304" s="17" t="s">
        <v>45</v>
      </c>
      <c r="F1304">
        <v>23</v>
      </c>
      <c r="G1304">
        <v>4</v>
      </c>
      <c r="H1304" t="s">
        <v>51</v>
      </c>
      <c r="I1304">
        <v>1826</v>
      </c>
      <c r="J1304">
        <v>2</v>
      </c>
      <c r="K1304" s="17" t="s">
        <v>46</v>
      </c>
      <c r="L1304">
        <v>91</v>
      </c>
      <c r="M1304">
        <v>1</v>
      </c>
      <c r="N1304">
        <v>1</v>
      </c>
      <c r="O1304" s="17" t="s">
        <v>50</v>
      </c>
      <c r="P1304" s="14">
        <v>3</v>
      </c>
      <c r="Q1304" t="s">
        <v>48</v>
      </c>
      <c r="R1304" s="14">
        <v>2705</v>
      </c>
      <c r="S1304" s="17" t="str">
        <f t="shared" si="40"/>
        <v>low</v>
      </c>
      <c r="T1304">
        <v>9696</v>
      </c>
      <c r="U1304">
        <v>0</v>
      </c>
      <c r="V1304" s="17" t="s">
        <v>43</v>
      </c>
      <c r="W1304">
        <v>16</v>
      </c>
      <c r="X1304">
        <v>3</v>
      </c>
      <c r="Y1304">
        <v>2</v>
      </c>
      <c r="Z1304">
        <v>1</v>
      </c>
      <c r="AA1304">
        <v>6</v>
      </c>
      <c r="AB1304">
        <v>2</v>
      </c>
      <c r="AC1304">
        <v>4</v>
      </c>
      <c r="AD1304" s="14">
        <v>5</v>
      </c>
      <c r="AE1304" t="str">
        <f t="shared" si="41"/>
        <v>3-5 years</v>
      </c>
      <c r="AF1304" s="14">
        <v>4</v>
      </c>
      <c r="AG1304" s="14">
        <v>0</v>
      </c>
      <c r="AH1304" s="14">
        <v>3</v>
      </c>
    </row>
    <row r="1305" spans="1:34" x14ac:dyDescent="0.3">
      <c r="A1305" s="14">
        <v>47</v>
      </c>
      <c r="B1305" s="17" t="s">
        <v>43</v>
      </c>
      <c r="C1305" t="s">
        <v>36</v>
      </c>
      <c r="D1305">
        <v>1001</v>
      </c>
      <c r="E1305" s="17" t="s">
        <v>45</v>
      </c>
      <c r="F1305">
        <v>4</v>
      </c>
      <c r="G1305">
        <v>3</v>
      </c>
      <c r="H1305" t="s">
        <v>38</v>
      </c>
      <c r="I1305">
        <v>1827</v>
      </c>
      <c r="J1305">
        <v>3</v>
      </c>
      <c r="K1305" s="17" t="s">
        <v>39</v>
      </c>
      <c r="L1305">
        <v>92</v>
      </c>
      <c r="M1305">
        <v>2</v>
      </c>
      <c r="N1305">
        <v>3</v>
      </c>
      <c r="O1305" s="17" t="s">
        <v>53</v>
      </c>
      <c r="P1305" s="14">
        <v>2</v>
      </c>
      <c r="Q1305" t="s">
        <v>52</v>
      </c>
      <c r="R1305" s="14">
        <v>10333</v>
      </c>
      <c r="S1305" s="17" t="str">
        <f t="shared" si="40"/>
        <v>high</v>
      </c>
      <c r="T1305">
        <v>19271</v>
      </c>
      <c r="U1305">
        <v>8</v>
      </c>
      <c r="V1305" s="17" t="s">
        <v>35</v>
      </c>
      <c r="W1305">
        <v>12</v>
      </c>
      <c r="X1305">
        <v>3</v>
      </c>
      <c r="Y1305">
        <v>3</v>
      </c>
      <c r="Z1305">
        <v>1</v>
      </c>
      <c r="AA1305">
        <v>28</v>
      </c>
      <c r="AB1305">
        <v>4</v>
      </c>
      <c r="AC1305">
        <v>3</v>
      </c>
      <c r="AD1305" s="14">
        <v>22</v>
      </c>
      <c r="AE1305" t="str">
        <f t="shared" si="41"/>
        <v>10+ years</v>
      </c>
      <c r="AF1305" s="14">
        <v>11</v>
      </c>
      <c r="AG1305" s="14">
        <v>14</v>
      </c>
      <c r="AH1305" s="14">
        <v>10</v>
      </c>
    </row>
    <row r="1306" spans="1:34" x14ac:dyDescent="0.3">
      <c r="A1306" s="14">
        <v>40</v>
      </c>
      <c r="B1306" s="17" t="s">
        <v>43</v>
      </c>
      <c r="C1306" t="s">
        <v>36</v>
      </c>
      <c r="D1306">
        <v>750</v>
      </c>
      <c r="E1306" s="17" t="s">
        <v>45</v>
      </c>
      <c r="F1306">
        <v>12</v>
      </c>
      <c r="G1306">
        <v>3</v>
      </c>
      <c r="H1306" t="s">
        <v>38</v>
      </c>
      <c r="I1306">
        <v>1829</v>
      </c>
      <c r="J1306">
        <v>2</v>
      </c>
      <c r="K1306" s="17" t="s">
        <v>39</v>
      </c>
      <c r="L1306">
        <v>47</v>
      </c>
      <c r="M1306">
        <v>3</v>
      </c>
      <c r="N1306">
        <v>2</v>
      </c>
      <c r="O1306" s="17" t="s">
        <v>54</v>
      </c>
      <c r="P1306" s="14">
        <v>1</v>
      </c>
      <c r="Q1306" t="s">
        <v>52</v>
      </c>
      <c r="R1306" s="14">
        <v>4448</v>
      </c>
      <c r="S1306" s="17" t="str">
        <f t="shared" si="40"/>
        <v>medium</v>
      </c>
      <c r="T1306">
        <v>10748</v>
      </c>
      <c r="U1306">
        <v>2</v>
      </c>
      <c r="V1306" s="17" t="s">
        <v>43</v>
      </c>
      <c r="W1306">
        <v>12</v>
      </c>
      <c r="X1306">
        <v>3</v>
      </c>
      <c r="Y1306">
        <v>2</v>
      </c>
      <c r="Z1306">
        <v>1</v>
      </c>
      <c r="AA1306">
        <v>15</v>
      </c>
      <c r="AB1306">
        <v>3</v>
      </c>
      <c r="AC1306">
        <v>3</v>
      </c>
      <c r="AD1306" s="14">
        <v>7</v>
      </c>
      <c r="AE1306" t="str">
        <f t="shared" si="41"/>
        <v>6-10 years</v>
      </c>
      <c r="AF1306" s="14">
        <v>4</v>
      </c>
      <c r="AG1306" s="14">
        <v>7</v>
      </c>
      <c r="AH1306" s="14">
        <v>7</v>
      </c>
    </row>
    <row r="1307" spans="1:34" x14ac:dyDescent="0.3">
      <c r="A1307" s="14">
        <v>54</v>
      </c>
      <c r="B1307" s="17" t="s">
        <v>43</v>
      </c>
      <c r="C1307" t="s">
        <v>36</v>
      </c>
      <c r="D1307">
        <v>431</v>
      </c>
      <c r="E1307" s="17" t="s">
        <v>45</v>
      </c>
      <c r="F1307">
        <v>7</v>
      </c>
      <c r="G1307">
        <v>4</v>
      </c>
      <c r="H1307" t="s">
        <v>51</v>
      </c>
      <c r="I1307">
        <v>1830</v>
      </c>
      <c r="J1307">
        <v>4</v>
      </c>
      <c r="K1307" s="17" t="s">
        <v>39</v>
      </c>
      <c r="L1307">
        <v>68</v>
      </c>
      <c r="M1307">
        <v>3</v>
      </c>
      <c r="N1307">
        <v>2</v>
      </c>
      <c r="O1307" s="17" t="s">
        <v>47</v>
      </c>
      <c r="P1307" s="14">
        <v>4</v>
      </c>
      <c r="Q1307" t="s">
        <v>48</v>
      </c>
      <c r="R1307" s="14">
        <v>6854</v>
      </c>
      <c r="S1307" s="17" t="str">
        <f t="shared" si="40"/>
        <v>medium</v>
      </c>
      <c r="T1307">
        <v>15696</v>
      </c>
      <c r="U1307">
        <v>4</v>
      </c>
      <c r="V1307" s="17" t="s">
        <v>43</v>
      </c>
      <c r="W1307">
        <v>15</v>
      </c>
      <c r="X1307">
        <v>3</v>
      </c>
      <c r="Y1307">
        <v>2</v>
      </c>
      <c r="Z1307">
        <v>1</v>
      </c>
      <c r="AA1307">
        <v>14</v>
      </c>
      <c r="AB1307">
        <v>2</v>
      </c>
      <c r="AC1307">
        <v>2</v>
      </c>
      <c r="AD1307" s="14">
        <v>7</v>
      </c>
      <c r="AE1307" t="str">
        <f t="shared" si="41"/>
        <v>6-10 years</v>
      </c>
      <c r="AF1307" s="14">
        <v>1</v>
      </c>
      <c r="AG1307" s="14">
        <v>1</v>
      </c>
      <c r="AH1307" s="14">
        <v>7</v>
      </c>
    </row>
    <row r="1308" spans="1:34" x14ac:dyDescent="0.3">
      <c r="A1308" s="14">
        <v>31</v>
      </c>
      <c r="B1308" s="17" t="s">
        <v>43</v>
      </c>
      <c r="C1308" t="s">
        <v>44</v>
      </c>
      <c r="D1308">
        <v>1125</v>
      </c>
      <c r="E1308" s="17" t="s">
        <v>37</v>
      </c>
      <c r="F1308">
        <v>7</v>
      </c>
      <c r="G1308">
        <v>4</v>
      </c>
      <c r="H1308" t="s">
        <v>59</v>
      </c>
      <c r="I1308">
        <v>1833</v>
      </c>
      <c r="J1308">
        <v>1</v>
      </c>
      <c r="K1308" s="17" t="s">
        <v>39</v>
      </c>
      <c r="L1308">
        <v>68</v>
      </c>
      <c r="M1308">
        <v>3</v>
      </c>
      <c r="N1308">
        <v>3</v>
      </c>
      <c r="O1308" s="17" t="s">
        <v>40</v>
      </c>
      <c r="P1308" s="14">
        <v>1</v>
      </c>
      <c r="Q1308" t="s">
        <v>48</v>
      </c>
      <c r="R1308" s="14">
        <v>9637</v>
      </c>
      <c r="S1308" s="17" t="str">
        <f t="shared" si="40"/>
        <v>high</v>
      </c>
      <c r="T1308">
        <v>8277</v>
      </c>
      <c r="U1308">
        <v>2</v>
      </c>
      <c r="V1308" s="17" t="s">
        <v>43</v>
      </c>
      <c r="W1308">
        <v>14</v>
      </c>
      <c r="X1308">
        <v>3</v>
      </c>
      <c r="Y1308">
        <v>4</v>
      </c>
      <c r="Z1308">
        <v>2</v>
      </c>
      <c r="AA1308">
        <v>9</v>
      </c>
      <c r="AB1308">
        <v>3</v>
      </c>
      <c r="AC1308">
        <v>3</v>
      </c>
      <c r="AD1308" s="14">
        <v>3</v>
      </c>
      <c r="AE1308" t="str">
        <f t="shared" si="41"/>
        <v>3-5 years</v>
      </c>
      <c r="AF1308" s="14">
        <v>2</v>
      </c>
      <c r="AG1308" s="14">
        <v>2</v>
      </c>
      <c r="AH1308" s="14">
        <v>2</v>
      </c>
    </row>
    <row r="1309" spans="1:34" x14ac:dyDescent="0.3">
      <c r="A1309" s="14">
        <v>28</v>
      </c>
      <c r="B1309" s="17" t="s">
        <v>43</v>
      </c>
      <c r="C1309" t="s">
        <v>36</v>
      </c>
      <c r="D1309">
        <v>1217</v>
      </c>
      <c r="E1309" s="17" t="s">
        <v>45</v>
      </c>
      <c r="F1309">
        <v>1</v>
      </c>
      <c r="G1309">
        <v>3</v>
      </c>
      <c r="H1309" t="s">
        <v>51</v>
      </c>
      <c r="I1309">
        <v>1834</v>
      </c>
      <c r="J1309">
        <v>3</v>
      </c>
      <c r="K1309" s="17" t="s">
        <v>39</v>
      </c>
      <c r="L1309">
        <v>67</v>
      </c>
      <c r="M1309">
        <v>3</v>
      </c>
      <c r="N1309">
        <v>1</v>
      </c>
      <c r="O1309" s="17" t="s">
        <v>47</v>
      </c>
      <c r="P1309" s="14">
        <v>1</v>
      </c>
      <c r="Q1309" t="s">
        <v>48</v>
      </c>
      <c r="R1309" s="14">
        <v>3591</v>
      </c>
      <c r="S1309" s="17" t="str">
        <f t="shared" si="40"/>
        <v>medium</v>
      </c>
      <c r="T1309">
        <v>12719</v>
      </c>
      <c r="U1309">
        <v>1</v>
      </c>
      <c r="V1309" s="17" t="s">
        <v>43</v>
      </c>
      <c r="W1309">
        <v>25</v>
      </c>
      <c r="X1309">
        <v>4</v>
      </c>
      <c r="Y1309">
        <v>3</v>
      </c>
      <c r="Z1309">
        <v>1</v>
      </c>
      <c r="AA1309">
        <v>3</v>
      </c>
      <c r="AB1309">
        <v>3</v>
      </c>
      <c r="AC1309">
        <v>3</v>
      </c>
      <c r="AD1309" s="14">
        <v>3</v>
      </c>
      <c r="AE1309" t="str">
        <f t="shared" si="41"/>
        <v>3-5 years</v>
      </c>
      <c r="AF1309" s="14">
        <v>2</v>
      </c>
      <c r="AG1309" s="14">
        <v>1</v>
      </c>
      <c r="AH1309" s="14">
        <v>2</v>
      </c>
    </row>
    <row r="1310" spans="1:34" x14ac:dyDescent="0.3">
      <c r="A1310" s="14">
        <v>38</v>
      </c>
      <c r="B1310" s="17" t="s">
        <v>43</v>
      </c>
      <c r="C1310" t="s">
        <v>36</v>
      </c>
      <c r="D1310">
        <v>723</v>
      </c>
      <c r="E1310" s="17" t="s">
        <v>37</v>
      </c>
      <c r="F1310">
        <v>2</v>
      </c>
      <c r="G1310">
        <v>4</v>
      </c>
      <c r="H1310" t="s">
        <v>59</v>
      </c>
      <c r="I1310">
        <v>1835</v>
      </c>
      <c r="J1310">
        <v>2</v>
      </c>
      <c r="K1310" s="17" t="s">
        <v>39</v>
      </c>
      <c r="L1310">
        <v>77</v>
      </c>
      <c r="M1310">
        <v>1</v>
      </c>
      <c r="N1310">
        <v>2</v>
      </c>
      <c r="O1310" s="17" t="s">
        <v>57</v>
      </c>
      <c r="P1310" s="14">
        <v>4</v>
      </c>
      <c r="Q1310" t="s">
        <v>48</v>
      </c>
      <c r="R1310" s="14">
        <v>5405</v>
      </c>
      <c r="S1310" s="17" t="str">
        <f t="shared" si="40"/>
        <v>medium</v>
      </c>
      <c r="T1310">
        <v>4244</v>
      </c>
      <c r="U1310">
        <v>2</v>
      </c>
      <c r="V1310" s="17" t="s">
        <v>35</v>
      </c>
      <c r="W1310">
        <v>20</v>
      </c>
      <c r="X1310">
        <v>4</v>
      </c>
      <c r="Y1310">
        <v>1</v>
      </c>
      <c r="Z1310">
        <v>2</v>
      </c>
      <c r="AA1310">
        <v>20</v>
      </c>
      <c r="AB1310">
        <v>4</v>
      </c>
      <c r="AC1310">
        <v>2</v>
      </c>
      <c r="AD1310" s="14">
        <v>4</v>
      </c>
      <c r="AE1310" t="str">
        <f t="shared" si="41"/>
        <v>3-5 years</v>
      </c>
      <c r="AF1310" s="14">
        <v>2</v>
      </c>
      <c r="AG1310" s="14">
        <v>0</v>
      </c>
      <c r="AH1310" s="14">
        <v>3</v>
      </c>
    </row>
    <row r="1311" spans="1:34" x14ac:dyDescent="0.3">
      <c r="A1311" s="14">
        <v>26</v>
      </c>
      <c r="B1311" s="17" t="s">
        <v>43</v>
      </c>
      <c r="C1311" t="s">
        <v>36</v>
      </c>
      <c r="D1311">
        <v>572</v>
      </c>
      <c r="E1311" s="17" t="s">
        <v>37</v>
      </c>
      <c r="F1311">
        <v>10</v>
      </c>
      <c r="G1311">
        <v>3</v>
      </c>
      <c r="H1311" t="s">
        <v>51</v>
      </c>
      <c r="I1311">
        <v>1836</v>
      </c>
      <c r="J1311">
        <v>3</v>
      </c>
      <c r="K1311" s="17" t="s">
        <v>46</v>
      </c>
      <c r="L1311">
        <v>46</v>
      </c>
      <c r="M1311">
        <v>3</v>
      </c>
      <c r="N1311">
        <v>2</v>
      </c>
      <c r="O1311" s="17" t="s">
        <v>40</v>
      </c>
      <c r="P1311" s="14">
        <v>4</v>
      </c>
      <c r="Q1311" t="s">
        <v>41</v>
      </c>
      <c r="R1311" s="14">
        <v>4684</v>
      </c>
      <c r="S1311" s="17" t="str">
        <f t="shared" si="40"/>
        <v>medium</v>
      </c>
      <c r="T1311">
        <v>9125</v>
      </c>
      <c r="U1311">
        <v>1</v>
      </c>
      <c r="V1311" s="17" t="s">
        <v>43</v>
      </c>
      <c r="W1311">
        <v>13</v>
      </c>
      <c r="X1311">
        <v>3</v>
      </c>
      <c r="Y1311">
        <v>1</v>
      </c>
      <c r="Z1311">
        <v>0</v>
      </c>
      <c r="AA1311">
        <v>5</v>
      </c>
      <c r="AB1311">
        <v>4</v>
      </c>
      <c r="AC1311">
        <v>3</v>
      </c>
      <c r="AD1311" s="14">
        <v>5</v>
      </c>
      <c r="AE1311" t="str">
        <f t="shared" si="41"/>
        <v>3-5 years</v>
      </c>
      <c r="AF1311" s="14">
        <v>3</v>
      </c>
      <c r="AG1311" s="14">
        <v>1</v>
      </c>
      <c r="AH1311" s="14">
        <v>2</v>
      </c>
    </row>
    <row r="1312" spans="1:34" x14ac:dyDescent="0.3">
      <c r="A1312" s="14">
        <v>58</v>
      </c>
      <c r="B1312" s="17" t="s">
        <v>43</v>
      </c>
      <c r="C1312" t="s">
        <v>44</v>
      </c>
      <c r="D1312">
        <v>1216</v>
      </c>
      <c r="E1312" s="17" t="s">
        <v>45</v>
      </c>
      <c r="F1312">
        <v>15</v>
      </c>
      <c r="G1312">
        <v>4</v>
      </c>
      <c r="H1312" t="s">
        <v>38</v>
      </c>
      <c r="I1312">
        <v>1837</v>
      </c>
      <c r="J1312">
        <v>1</v>
      </c>
      <c r="K1312" s="17" t="s">
        <v>46</v>
      </c>
      <c r="L1312">
        <v>87</v>
      </c>
      <c r="M1312">
        <v>3</v>
      </c>
      <c r="N1312">
        <v>4</v>
      </c>
      <c r="O1312" s="17" t="s">
        <v>58</v>
      </c>
      <c r="P1312" s="14">
        <v>3</v>
      </c>
      <c r="Q1312" t="s">
        <v>48</v>
      </c>
      <c r="R1312" s="14">
        <v>15787</v>
      </c>
      <c r="S1312" s="17" t="str">
        <f t="shared" si="40"/>
        <v>high</v>
      </c>
      <c r="T1312">
        <v>21624</v>
      </c>
      <c r="U1312">
        <v>2</v>
      </c>
      <c r="V1312" s="17" t="s">
        <v>35</v>
      </c>
      <c r="W1312">
        <v>14</v>
      </c>
      <c r="X1312">
        <v>3</v>
      </c>
      <c r="Y1312">
        <v>2</v>
      </c>
      <c r="Z1312">
        <v>0</v>
      </c>
      <c r="AA1312">
        <v>23</v>
      </c>
      <c r="AB1312">
        <v>3</v>
      </c>
      <c r="AC1312">
        <v>3</v>
      </c>
      <c r="AD1312" s="14">
        <v>2</v>
      </c>
      <c r="AE1312" t="str">
        <f t="shared" si="41"/>
        <v>0-2 years</v>
      </c>
      <c r="AF1312" s="14">
        <v>2</v>
      </c>
      <c r="AG1312" s="14">
        <v>2</v>
      </c>
      <c r="AH1312" s="14">
        <v>2</v>
      </c>
    </row>
    <row r="1313" spans="1:34" x14ac:dyDescent="0.3">
      <c r="A1313" s="14">
        <v>18</v>
      </c>
      <c r="B1313" s="17" t="s">
        <v>43</v>
      </c>
      <c r="C1313" t="s">
        <v>55</v>
      </c>
      <c r="D1313">
        <v>1431</v>
      </c>
      <c r="E1313" s="17" t="s">
        <v>45</v>
      </c>
      <c r="F1313">
        <v>14</v>
      </c>
      <c r="G1313">
        <v>3</v>
      </c>
      <c r="H1313" t="s">
        <v>51</v>
      </c>
      <c r="I1313">
        <v>1839</v>
      </c>
      <c r="J1313">
        <v>2</v>
      </c>
      <c r="K1313" s="17" t="s">
        <v>39</v>
      </c>
      <c r="L1313">
        <v>33</v>
      </c>
      <c r="M1313">
        <v>3</v>
      </c>
      <c r="N1313">
        <v>1</v>
      </c>
      <c r="O1313" s="17" t="s">
        <v>47</v>
      </c>
      <c r="P1313" s="14">
        <v>3</v>
      </c>
      <c r="Q1313" t="s">
        <v>41</v>
      </c>
      <c r="R1313" s="14">
        <v>1514</v>
      </c>
      <c r="S1313" s="17" t="str">
        <f t="shared" si="40"/>
        <v>low</v>
      </c>
      <c r="T1313">
        <v>8018</v>
      </c>
      <c r="U1313">
        <v>1</v>
      </c>
      <c r="V1313" s="17" t="s">
        <v>43</v>
      </c>
      <c r="W1313">
        <v>16</v>
      </c>
      <c r="X1313">
        <v>3</v>
      </c>
      <c r="Y1313">
        <v>3</v>
      </c>
      <c r="Z1313">
        <v>0</v>
      </c>
      <c r="AA1313">
        <v>0</v>
      </c>
      <c r="AB1313">
        <v>4</v>
      </c>
      <c r="AC1313">
        <v>1</v>
      </c>
      <c r="AD1313" s="14">
        <v>0</v>
      </c>
      <c r="AE1313" t="str">
        <f t="shared" si="41"/>
        <v>0-2 years</v>
      </c>
      <c r="AF1313" s="14">
        <v>0</v>
      </c>
      <c r="AG1313" s="14">
        <v>0</v>
      </c>
      <c r="AH1313" s="14">
        <v>0</v>
      </c>
    </row>
    <row r="1314" spans="1:34" x14ac:dyDescent="0.3">
      <c r="A1314" s="14">
        <v>31</v>
      </c>
      <c r="B1314" s="17" t="s">
        <v>35</v>
      </c>
      <c r="C1314" t="s">
        <v>36</v>
      </c>
      <c r="D1314">
        <v>359</v>
      </c>
      <c r="E1314" s="17" t="s">
        <v>61</v>
      </c>
      <c r="F1314">
        <v>18</v>
      </c>
      <c r="G1314">
        <v>5</v>
      </c>
      <c r="H1314" t="s">
        <v>61</v>
      </c>
      <c r="I1314">
        <v>1842</v>
      </c>
      <c r="J1314">
        <v>4</v>
      </c>
      <c r="K1314" s="17" t="s">
        <v>46</v>
      </c>
      <c r="L1314">
        <v>89</v>
      </c>
      <c r="M1314">
        <v>4</v>
      </c>
      <c r="N1314">
        <v>1</v>
      </c>
      <c r="O1314" s="17" t="s">
        <v>61</v>
      </c>
      <c r="P1314" s="14">
        <v>1</v>
      </c>
      <c r="Q1314" t="s">
        <v>48</v>
      </c>
      <c r="R1314" s="14">
        <v>2956</v>
      </c>
      <c r="S1314" s="17" t="str">
        <f t="shared" si="40"/>
        <v>low</v>
      </c>
      <c r="T1314">
        <v>21495</v>
      </c>
      <c r="U1314">
        <v>0</v>
      </c>
      <c r="V1314" s="17" t="s">
        <v>43</v>
      </c>
      <c r="W1314">
        <v>17</v>
      </c>
      <c r="X1314">
        <v>3</v>
      </c>
      <c r="Y1314">
        <v>3</v>
      </c>
      <c r="Z1314">
        <v>0</v>
      </c>
      <c r="AA1314">
        <v>2</v>
      </c>
      <c r="AB1314">
        <v>4</v>
      </c>
      <c r="AC1314">
        <v>3</v>
      </c>
      <c r="AD1314" s="14">
        <v>1</v>
      </c>
      <c r="AE1314" t="str">
        <f t="shared" si="41"/>
        <v>0-2 years</v>
      </c>
      <c r="AF1314" s="14">
        <v>0</v>
      </c>
      <c r="AG1314" s="14">
        <v>0</v>
      </c>
      <c r="AH1314" s="14">
        <v>0</v>
      </c>
    </row>
    <row r="1315" spans="1:34" x14ac:dyDescent="0.3">
      <c r="A1315" s="14">
        <v>29</v>
      </c>
      <c r="B1315" s="17" t="s">
        <v>35</v>
      </c>
      <c r="C1315" t="s">
        <v>36</v>
      </c>
      <c r="D1315">
        <v>350</v>
      </c>
      <c r="E1315" s="17" t="s">
        <v>61</v>
      </c>
      <c r="F1315">
        <v>13</v>
      </c>
      <c r="G1315">
        <v>3</v>
      </c>
      <c r="H1315" t="s">
        <v>61</v>
      </c>
      <c r="I1315">
        <v>1844</v>
      </c>
      <c r="J1315">
        <v>1</v>
      </c>
      <c r="K1315" s="17" t="s">
        <v>46</v>
      </c>
      <c r="L1315">
        <v>56</v>
      </c>
      <c r="M1315">
        <v>2</v>
      </c>
      <c r="N1315">
        <v>1</v>
      </c>
      <c r="O1315" s="17" t="s">
        <v>61</v>
      </c>
      <c r="P1315" s="14">
        <v>1</v>
      </c>
      <c r="Q1315" t="s">
        <v>52</v>
      </c>
      <c r="R1315" s="14">
        <v>2335</v>
      </c>
      <c r="S1315" s="17" t="str">
        <f t="shared" si="40"/>
        <v>low</v>
      </c>
      <c r="T1315">
        <v>3157</v>
      </c>
      <c r="U1315">
        <v>4</v>
      </c>
      <c r="V1315" s="17" t="s">
        <v>35</v>
      </c>
      <c r="W1315">
        <v>15</v>
      </c>
      <c r="X1315">
        <v>3</v>
      </c>
      <c r="Y1315">
        <v>4</v>
      </c>
      <c r="Z1315">
        <v>3</v>
      </c>
      <c r="AA1315">
        <v>4</v>
      </c>
      <c r="AB1315">
        <v>3</v>
      </c>
      <c r="AC1315">
        <v>3</v>
      </c>
      <c r="AD1315" s="14">
        <v>2</v>
      </c>
      <c r="AE1315" t="str">
        <f t="shared" si="41"/>
        <v>0-2 years</v>
      </c>
      <c r="AF1315" s="14">
        <v>2</v>
      </c>
      <c r="AG1315" s="14">
        <v>2</v>
      </c>
      <c r="AH1315" s="14">
        <v>0</v>
      </c>
    </row>
    <row r="1316" spans="1:34" x14ac:dyDescent="0.3">
      <c r="A1316" s="14">
        <v>45</v>
      </c>
      <c r="B1316" s="17" t="s">
        <v>43</v>
      </c>
      <c r="C1316" t="s">
        <v>55</v>
      </c>
      <c r="D1316">
        <v>589</v>
      </c>
      <c r="E1316" s="17" t="s">
        <v>37</v>
      </c>
      <c r="F1316">
        <v>2</v>
      </c>
      <c r="G1316">
        <v>4</v>
      </c>
      <c r="H1316" t="s">
        <v>38</v>
      </c>
      <c r="I1316">
        <v>1845</v>
      </c>
      <c r="J1316">
        <v>3</v>
      </c>
      <c r="K1316" s="17" t="s">
        <v>39</v>
      </c>
      <c r="L1316">
        <v>67</v>
      </c>
      <c r="M1316">
        <v>3</v>
      </c>
      <c r="N1316">
        <v>2</v>
      </c>
      <c r="O1316" s="17" t="s">
        <v>40</v>
      </c>
      <c r="P1316" s="14">
        <v>3</v>
      </c>
      <c r="Q1316" t="s">
        <v>48</v>
      </c>
      <c r="R1316" s="14">
        <v>5154</v>
      </c>
      <c r="S1316" s="17" t="str">
        <f t="shared" si="40"/>
        <v>medium</v>
      </c>
      <c r="T1316">
        <v>19665</v>
      </c>
      <c r="U1316">
        <v>4</v>
      </c>
      <c r="V1316" s="17" t="s">
        <v>43</v>
      </c>
      <c r="W1316">
        <v>22</v>
      </c>
      <c r="X1316">
        <v>4</v>
      </c>
      <c r="Y1316">
        <v>2</v>
      </c>
      <c r="Z1316">
        <v>2</v>
      </c>
      <c r="AA1316">
        <v>10</v>
      </c>
      <c r="AB1316">
        <v>3</v>
      </c>
      <c r="AC1316">
        <v>4</v>
      </c>
      <c r="AD1316" s="14">
        <v>8</v>
      </c>
      <c r="AE1316" t="str">
        <f t="shared" si="41"/>
        <v>6-10 years</v>
      </c>
      <c r="AF1316" s="14">
        <v>7</v>
      </c>
      <c r="AG1316" s="14">
        <v>5</v>
      </c>
      <c r="AH1316" s="14">
        <v>7</v>
      </c>
    </row>
    <row r="1317" spans="1:34" x14ac:dyDescent="0.3">
      <c r="A1317" s="14">
        <v>36</v>
      </c>
      <c r="B1317" s="17" t="s">
        <v>43</v>
      </c>
      <c r="C1317" t="s">
        <v>36</v>
      </c>
      <c r="D1317">
        <v>430</v>
      </c>
      <c r="E1317" s="17" t="s">
        <v>45</v>
      </c>
      <c r="F1317">
        <v>2</v>
      </c>
      <c r="G1317">
        <v>4</v>
      </c>
      <c r="H1317" t="s">
        <v>49</v>
      </c>
      <c r="I1317">
        <v>1847</v>
      </c>
      <c r="J1317">
        <v>4</v>
      </c>
      <c r="K1317" s="17" t="s">
        <v>39</v>
      </c>
      <c r="L1317">
        <v>73</v>
      </c>
      <c r="M1317">
        <v>3</v>
      </c>
      <c r="N1317">
        <v>2</v>
      </c>
      <c r="O1317" s="17" t="s">
        <v>47</v>
      </c>
      <c r="P1317" s="14">
        <v>2</v>
      </c>
      <c r="Q1317" t="s">
        <v>48</v>
      </c>
      <c r="R1317" s="14">
        <v>6962</v>
      </c>
      <c r="S1317" s="17" t="str">
        <f t="shared" si="40"/>
        <v>medium</v>
      </c>
      <c r="T1317">
        <v>19573</v>
      </c>
      <c r="U1317">
        <v>4</v>
      </c>
      <c r="V1317" s="17" t="s">
        <v>35</v>
      </c>
      <c r="W1317">
        <v>22</v>
      </c>
      <c r="X1317">
        <v>4</v>
      </c>
      <c r="Y1317">
        <v>4</v>
      </c>
      <c r="Z1317">
        <v>1</v>
      </c>
      <c r="AA1317">
        <v>15</v>
      </c>
      <c r="AB1317">
        <v>2</v>
      </c>
      <c r="AC1317">
        <v>3</v>
      </c>
      <c r="AD1317" s="14">
        <v>1</v>
      </c>
      <c r="AE1317" t="str">
        <f t="shared" si="41"/>
        <v>0-2 years</v>
      </c>
      <c r="AF1317" s="14">
        <v>0</v>
      </c>
      <c r="AG1317" s="14">
        <v>0</v>
      </c>
      <c r="AH1317" s="14">
        <v>0</v>
      </c>
    </row>
    <row r="1318" spans="1:34" x14ac:dyDescent="0.3">
      <c r="A1318" s="14">
        <v>43</v>
      </c>
      <c r="B1318" s="17" t="s">
        <v>43</v>
      </c>
      <c r="C1318" t="s">
        <v>44</v>
      </c>
      <c r="D1318">
        <v>1422</v>
      </c>
      <c r="E1318" s="17" t="s">
        <v>37</v>
      </c>
      <c r="F1318">
        <v>2</v>
      </c>
      <c r="G1318">
        <v>4</v>
      </c>
      <c r="H1318" t="s">
        <v>38</v>
      </c>
      <c r="I1318">
        <v>1849</v>
      </c>
      <c r="J1318">
        <v>1</v>
      </c>
      <c r="K1318" s="17" t="s">
        <v>46</v>
      </c>
      <c r="L1318">
        <v>92</v>
      </c>
      <c r="M1318">
        <v>3</v>
      </c>
      <c r="N1318">
        <v>2</v>
      </c>
      <c r="O1318" s="17" t="s">
        <v>40</v>
      </c>
      <c r="P1318" s="14">
        <v>4</v>
      </c>
      <c r="Q1318" t="s">
        <v>48</v>
      </c>
      <c r="R1318" s="14">
        <v>5675</v>
      </c>
      <c r="S1318" s="17" t="str">
        <f t="shared" si="40"/>
        <v>medium</v>
      </c>
      <c r="T1318">
        <v>19246</v>
      </c>
      <c r="U1318">
        <v>1</v>
      </c>
      <c r="V1318" s="17" t="s">
        <v>43</v>
      </c>
      <c r="W1318">
        <v>20</v>
      </c>
      <c r="X1318">
        <v>4</v>
      </c>
      <c r="Y1318">
        <v>3</v>
      </c>
      <c r="Z1318">
        <v>1</v>
      </c>
      <c r="AA1318">
        <v>7</v>
      </c>
      <c r="AB1318">
        <v>5</v>
      </c>
      <c r="AC1318">
        <v>3</v>
      </c>
      <c r="AD1318" s="14">
        <v>7</v>
      </c>
      <c r="AE1318" t="str">
        <f t="shared" si="41"/>
        <v>6-10 years</v>
      </c>
      <c r="AF1318" s="14">
        <v>7</v>
      </c>
      <c r="AG1318" s="14">
        <v>7</v>
      </c>
      <c r="AH1318" s="14">
        <v>7</v>
      </c>
    </row>
    <row r="1319" spans="1:34" x14ac:dyDescent="0.3">
      <c r="A1319" s="14">
        <v>27</v>
      </c>
      <c r="B1319" s="17" t="s">
        <v>43</v>
      </c>
      <c r="C1319" t="s">
        <v>44</v>
      </c>
      <c r="D1319">
        <v>1297</v>
      </c>
      <c r="E1319" s="17" t="s">
        <v>45</v>
      </c>
      <c r="F1319">
        <v>5</v>
      </c>
      <c r="G1319">
        <v>2</v>
      </c>
      <c r="H1319" t="s">
        <v>38</v>
      </c>
      <c r="I1319">
        <v>1850</v>
      </c>
      <c r="J1319">
        <v>4</v>
      </c>
      <c r="K1319" s="17" t="s">
        <v>39</v>
      </c>
      <c r="L1319">
        <v>53</v>
      </c>
      <c r="M1319">
        <v>3</v>
      </c>
      <c r="N1319">
        <v>1</v>
      </c>
      <c r="O1319" s="17" t="s">
        <v>50</v>
      </c>
      <c r="P1319" s="14">
        <v>4</v>
      </c>
      <c r="Q1319" t="s">
        <v>41</v>
      </c>
      <c r="R1319" s="14">
        <v>2379</v>
      </c>
      <c r="S1319" s="17" t="str">
        <f t="shared" si="40"/>
        <v>low</v>
      </c>
      <c r="T1319">
        <v>19826</v>
      </c>
      <c r="U1319">
        <v>0</v>
      </c>
      <c r="V1319" s="17" t="s">
        <v>35</v>
      </c>
      <c r="W1319">
        <v>14</v>
      </c>
      <c r="X1319">
        <v>3</v>
      </c>
      <c r="Y1319">
        <v>3</v>
      </c>
      <c r="Z1319">
        <v>0</v>
      </c>
      <c r="AA1319">
        <v>6</v>
      </c>
      <c r="AB1319">
        <v>3</v>
      </c>
      <c r="AC1319">
        <v>2</v>
      </c>
      <c r="AD1319" s="14">
        <v>5</v>
      </c>
      <c r="AE1319" t="str">
        <f t="shared" si="41"/>
        <v>3-5 years</v>
      </c>
      <c r="AF1319" s="14">
        <v>4</v>
      </c>
      <c r="AG1319" s="14">
        <v>0</v>
      </c>
      <c r="AH1319" s="14">
        <v>2</v>
      </c>
    </row>
    <row r="1320" spans="1:34" x14ac:dyDescent="0.3">
      <c r="A1320" s="14">
        <v>29</v>
      </c>
      <c r="B1320" s="17" t="s">
        <v>43</v>
      </c>
      <c r="C1320" t="s">
        <v>44</v>
      </c>
      <c r="D1320">
        <v>574</v>
      </c>
      <c r="E1320" s="17" t="s">
        <v>45</v>
      </c>
      <c r="F1320">
        <v>20</v>
      </c>
      <c r="G1320">
        <v>1</v>
      </c>
      <c r="H1320" t="s">
        <v>51</v>
      </c>
      <c r="I1320">
        <v>1852</v>
      </c>
      <c r="J1320">
        <v>4</v>
      </c>
      <c r="K1320" s="17" t="s">
        <v>46</v>
      </c>
      <c r="L1320">
        <v>40</v>
      </c>
      <c r="M1320">
        <v>3</v>
      </c>
      <c r="N1320">
        <v>1</v>
      </c>
      <c r="O1320" s="17" t="s">
        <v>50</v>
      </c>
      <c r="P1320" s="14">
        <v>4</v>
      </c>
      <c r="Q1320" t="s">
        <v>48</v>
      </c>
      <c r="R1320" s="14">
        <v>3812</v>
      </c>
      <c r="S1320" s="17" t="str">
        <f t="shared" si="40"/>
        <v>medium</v>
      </c>
      <c r="T1320">
        <v>7003</v>
      </c>
      <c r="U1320">
        <v>1</v>
      </c>
      <c r="V1320" s="17" t="s">
        <v>43</v>
      </c>
      <c r="W1320">
        <v>13</v>
      </c>
      <c r="X1320">
        <v>3</v>
      </c>
      <c r="Y1320">
        <v>2</v>
      </c>
      <c r="Z1320">
        <v>0</v>
      </c>
      <c r="AA1320">
        <v>11</v>
      </c>
      <c r="AB1320">
        <v>3</v>
      </c>
      <c r="AC1320">
        <v>4</v>
      </c>
      <c r="AD1320" s="14">
        <v>11</v>
      </c>
      <c r="AE1320" t="str">
        <f t="shared" si="41"/>
        <v>10+ years</v>
      </c>
      <c r="AF1320" s="14">
        <v>8</v>
      </c>
      <c r="AG1320" s="14">
        <v>3</v>
      </c>
      <c r="AH1320" s="14">
        <v>10</v>
      </c>
    </row>
    <row r="1321" spans="1:34" x14ac:dyDescent="0.3">
      <c r="A1321" s="14">
        <v>32</v>
      </c>
      <c r="B1321" s="17" t="s">
        <v>43</v>
      </c>
      <c r="C1321" t="s">
        <v>44</v>
      </c>
      <c r="D1321">
        <v>1318</v>
      </c>
      <c r="E1321" s="17" t="s">
        <v>37</v>
      </c>
      <c r="F1321">
        <v>10</v>
      </c>
      <c r="G1321">
        <v>4</v>
      </c>
      <c r="H1321" t="s">
        <v>59</v>
      </c>
      <c r="I1321">
        <v>1853</v>
      </c>
      <c r="J1321">
        <v>4</v>
      </c>
      <c r="K1321" s="17" t="s">
        <v>46</v>
      </c>
      <c r="L1321">
        <v>79</v>
      </c>
      <c r="M1321">
        <v>3</v>
      </c>
      <c r="N1321">
        <v>2</v>
      </c>
      <c r="O1321" s="17" t="s">
        <v>40</v>
      </c>
      <c r="P1321" s="14">
        <v>4</v>
      </c>
      <c r="Q1321" t="s">
        <v>41</v>
      </c>
      <c r="R1321" s="14">
        <v>4648</v>
      </c>
      <c r="S1321" s="17" t="str">
        <f t="shared" si="40"/>
        <v>medium</v>
      </c>
      <c r="T1321">
        <v>26075</v>
      </c>
      <c r="U1321">
        <v>8</v>
      </c>
      <c r="V1321" s="17" t="s">
        <v>43</v>
      </c>
      <c r="W1321">
        <v>13</v>
      </c>
      <c r="X1321">
        <v>3</v>
      </c>
      <c r="Y1321">
        <v>3</v>
      </c>
      <c r="Z1321">
        <v>0</v>
      </c>
      <c r="AA1321">
        <v>4</v>
      </c>
      <c r="AB1321">
        <v>2</v>
      </c>
      <c r="AC1321">
        <v>4</v>
      </c>
      <c r="AD1321" s="14">
        <v>0</v>
      </c>
      <c r="AE1321" t="str">
        <f t="shared" si="41"/>
        <v>0-2 years</v>
      </c>
      <c r="AF1321" s="14">
        <v>0</v>
      </c>
      <c r="AG1321" s="14">
        <v>0</v>
      </c>
      <c r="AH1321" s="14">
        <v>0</v>
      </c>
    </row>
    <row r="1322" spans="1:34" x14ac:dyDescent="0.3">
      <c r="A1322" s="14">
        <v>42</v>
      </c>
      <c r="B1322" s="17" t="s">
        <v>43</v>
      </c>
      <c r="C1322" t="s">
        <v>55</v>
      </c>
      <c r="D1322">
        <v>355</v>
      </c>
      <c r="E1322" s="17" t="s">
        <v>45</v>
      </c>
      <c r="F1322">
        <v>10</v>
      </c>
      <c r="G1322">
        <v>4</v>
      </c>
      <c r="H1322" t="s">
        <v>60</v>
      </c>
      <c r="I1322">
        <v>1854</v>
      </c>
      <c r="J1322">
        <v>3</v>
      </c>
      <c r="K1322" s="17" t="s">
        <v>46</v>
      </c>
      <c r="L1322">
        <v>38</v>
      </c>
      <c r="M1322">
        <v>3</v>
      </c>
      <c r="N1322">
        <v>1</v>
      </c>
      <c r="O1322" s="17" t="s">
        <v>47</v>
      </c>
      <c r="P1322" s="14">
        <v>3</v>
      </c>
      <c r="Q1322" t="s">
        <v>48</v>
      </c>
      <c r="R1322" s="14">
        <v>2936</v>
      </c>
      <c r="S1322" s="17" t="str">
        <f t="shared" si="40"/>
        <v>low</v>
      </c>
      <c r="T1322">
        <v>6161</v>
      </c>
      <c r="U1322">
        <v>3</v>
      </c>
      <c r="V1322" s="17" t="s">
        <v>43</v>
      </c>
      <c r="W1322">
        <v>22</v>
      </c>
      <c r="X1322">
        <v>4</v>
      </c>
      <c r="Y1322">
        <v>2</v>
      </c>
      <c r="Z1322">
        <v>2</v>
      </c>
      <c r="AA1322">
        <v>10</v>
      </c>
      <c r="AB1322">
        <v>1</v>
      </c>
      <c r="AC1322">
        <v>2</v>
      </c>
      <c r="AD1322" s="14">
        <v>6</v>
      </c>
      <c r="AE1322" t="str">
        <f t="shared" si="41"/>
        <v>6-10 years</v>
      </c>
      <c r="AF1322" s="14">
        <v>3</v>
      </c>
      <c r="AG1322" s="14">
        <v>3</v>
      </c>
      <c r="AH1322" s="14">
        <v>3</v>
      </c>
    </row>
    <row r="1323" spans="1:34" x14ac:dyDescent="0.3">
      <c r="A1323" s="14">
        <v>47</v>
      </c>
      <c r="B1323" s="17" t="s">
        <v>43</v>
      </c>
      <c r="C1323" t="s">
        <v>36</v>
      </c>
      <c r="D1323">
        <v>207</v>
      </c>
      <c r="E1323" s="17" t="s">
        <v>45</v>
      </c>
      <c r="F1323">
        <v>9</v>
      </c>
      <c r="G1323">
        <v>4</v>
      </c>
      <c r="H1323" t="s">
        <v>38</v>
      </c>
      <c r="I1323">
        <v>1856</v>
      </c>
      <c r="J1323">
        <v>2</v>
      </c>
      <c r="K1323" s="17" t="s">
        <v>39</v>
      </c>
      <c r="L1323">
        <v>64</v>
      </c>
      <c r="M1323">
        <v>3</v>
      </c>
      <c r="N1323">
        <v>1</v>
      </c>
      <c r="O1323" s="17" t="s">
        <v>50</v>
      </c>
      <c r="P1323" s="14">
        <v>3</v>
      </c>
      <c r="Q1323" t="s">
        <v>41</v>
      </c>
      <c r="R1323" s="14">
        <v>2105</v>
      </c>
      <c r="S1323" s="17" t="str">
        <f t="shared" si="40"/>
        <v>low</v>
      </c>
      <c r="T1323">
        <v>5411</v>
      </c>
      <c r="U1323">
        <v>4</v>
      </c>
      <c r="V1323" s="17" t="s">
        <v>43</v>
      </c>
      <c r="W1323">
        <v>12</v>
      </c>
      <c r="X1323">
        <v>3</v>
      </c>
      <c r="Y1323">
        <v>3</v>
      </c>
      <c r="Z1323">
        <v>0</v>
      </c>
      <c r="AA1323">
        <v>7</v>
      </c>
      <c r="AB1323">
        <v>2</v>
      </c>
      <c r="AC1323">
        <v>3</v>
      </c>
      <c r="AD1323" s="14">
        <v>2</v>
      </c>
      <c r="AE1323" t="str">
        <f t="shared" si="41"/>
        <v>0-2 years</v>
      </c>
      <c r="AF1323" s="14">
        <v>2</v>
      </c>
      <c r="AG1323" s="14">
        <v>2</v>
      </c>
      <c r="AH1323" s="14">
        <v>0</v>
      </c>
    </row>
    <row r="1324" spans="1:34" x14ac:dyDescent="0.3">
      <c r="A1324" s="14">
        <v>46</v>
      </c>
      <c r="B1324" s="17" t="s">
        <v>43</v>
      </c>
      <c r="C1324" t="s">
        <v>36</v>
      </c>
      <c r="D1324">
        <v>706</v>
      </c>
      <c r="E1324" s="17" t="s">
        <v>45</v>
      </c>
      <c r="F1324">
        <v>2</v>
      </c>
      <c r="G1324">
        <v>2</v>
      </c>
      <c r="H1324" t="s">
        <v>38</v>
      </c>
      <c r="I1324">
        <v>1857</v>
      </c>
      <c r="J1324">
        <v>4</v>
      </c>
      <c r="K1324" s="17" t="s">
        <v>46</v>
      </c>
      <c r="L1324">
        <v>82</v>
      </c>
      <c r="M1324">
        <v>3</v>
      </c>
      <c r="N1324">
        <v>3</v>
      </c>
      <c r="O1324" s="17" t="s">
        <v>53</v>
      </c>
      <c r="P1324" s="14">
        <v>4</v>
      </c>
      <c r="Q1324" t="s">
        <v>52</v>
      </c>
      <c r="R1324" s="14">
        <v>8578</v>
      </c>
      <c r="S1324" s="17" t="str">
        <f t="shared" si="40"/>
        <v>high</v>
      </c>
      <c r="T1324">
        <v>19989</v>
      </c>
      <c r="U1324">
        <v>3</v>
      </c>
      <c r="V1324" s="17" t="s">
        <v>43</v>
      </c>
      <c r="W1324">
        <v>14</v>
      </c>
      <c r="X1324">
        <v>3</v>
      </c>
      <c r="Y1324">
        <v>3</v>
      </c>
      <c r="Z1324">
        <v>1</v>
      </c>
      <c r="AA1324">
        <v>12</v>
      </c>
      <c r="AB1324">
        <v>4</v>
      </c>
      <c r="AC1324">
        <v>2</v>
      </c>
      <c r="AD1324" s="14">
        <v>9</v>
      </c>
      <c r="AE1324" t="str">
        <f t="shared" si="41"/>
        <v>6-10 years</v>
      </c>
      <c r="AF1324" s="14">
        <v>8</v>
      </c>
      <c r="AG1324" s="14">
        <v>4</v>
      </c>
      <c r="AH1324" s="14">
        <v>7</v>
      </c>
    </row>
    <row r="1325" spans="1:34" x14ac:dyDescent="0.3">
      <c r="A1325" s="14">
        <v>28</v>
      </c>
      <c r="B1325" s="17" t="s">
        <v>43</v>
      </c>
      <c r="C1325" t="s">
        <v>55</v>
      </c>
      <c r="D1325">
        <v>280</v>
      </c>
      <c r="E1325" s="17" t="s">
        <v>61</v>
      </c>
      <c r="F1325">
        <v>1</v>
      </c>
      <c r="G1325">
        <v>2</v>
      </c>
      <c r="H1325" t="s">
        <v>38</v>
      </c>
      <c r="I1325">
        <v>1858</v>
      </c>
      <c r="J1325">
        <v>3</v>
      </c>
      <c r="K1325" s="17" t="s">
        <v>46</v>
      </c>
      <c r="L1325">
        <v>43</v>
      </c>
      <c r="M1325">
        <v>3</v>
      </c>
      <c r="N1325">
        <v>1</v>
      </c>
      <c r="O1325" s="17" t="s">
        <v>61</v>
      </c>
      <c r="P1325" s="14">
        <v>4</v>
      </c>
      <c r="Q1325" t="s">
        <v>52</v>
      </c>
      <c r="R1325" s="14">
        <v>2706</v>
      </c>
      <c r="S1325" s="17" t="str">
        <f t="shared" si="40"/>
        <v>low</v>
      </c>
      <c r="T1325">
        <v>10494</v>
      </c>
      <c r="U1325">
        <v>1</v>
      </c>
      <c r="V1325" s="17" t="s">
        <v>43</v>
      </c>
      <c r="W1325">
        <v>15</v>
      </c>
      <c r="X1325">
        <v>3</v>
      </c>
      <c r="Y1325">
        <v>2</v>
      </c>
      <c r="Z1325">
        <v>1</v>
      </c>
      <c r="AA1325">
        <v>3</v>
      </c>
      <c r="AB1325">
        <v>2</v>
      </c>
      <c r="AC1325">
        <v>3</v>
      </c>
      <c r="AD1325" s="14">
        <v>3</v>
      </c>
      <c r="AE1325" t="str">
        <f t="shared" si="41"/>
        <v>3-5 years</v>
      </c>
      <c r="AF1325" s="14">
        <v>2</v>
      </c>
      <c r="AG1325" s="14">
        <v>2</v>
      </c>
      <c r="AH1325" s="14">
        <v>2</v>
      </c>
    </row>
    <row r="1326" spans="1:34" x14ac:dyDescent="0.3">
      <c r="A1326" s="14">
        <v>29</v>
      </c>
      <c r="B1326" s="17" t="s">
        <v>43</v>
      </c>
      <c r="C1326" t="s">
        <v>36</v>
      </c>
      <c r="D1326">
        <v>726</v>
      </c>
      <c r="E1326" s="17" t="s">
        <v>45</v>
      </c>
      <c r="F1326">
        <v>29</v>
      </c>
      <c r="G1326">
        <v>1</v>
      </c>
      <c r="H1326" t="s">
        <v>38</v>
      </c>
      <c r="I1326">
        <v>1859</v>
      </c>
      <c r="J1326">
        <v>4</v>
      </c>
      <c r="K1326" s="17" t="s">
        <v>46</v>
      </c>
      <c r="L1326">
        <v>93</v>
      </c>
      <c r="M1326">
        <v>1</v>
      </c>
      <c r="N1326">
        <v>2</v>
      </c>
      <c r="O1326" s="17" t="s">
        <v>54</v>
      </c>
      <c r="P1326" s="14">
        <v>3</v>
      </c>
      <c r="Q1326" t="s">
        <v>52</v>
      </c>
      <c r="R1326" s="14">
        <v>6384</v>
      </c>
      <c r="S1326" s="17" t="str">
        <f t="shared" si="40"/>
        <v>medium</v>
      </c>
      <c r="T1326">
        <v>21143</v>
      </c>
      <c r="U1326">
        <v>8</v>
      </c>
      <c r="V1326" s="17" t="s">
        <v>43</v>
      </c>
      <c r="W1326">
        <v>17</v>
      </c>
      <c r="X1326">
        <v>3</v>
      </c>
      <c r="Y1326">
        <v>4</v>
      </c>
      <c r="Z1326">
        <v>2</v>
      </c>
      <c r="AA1326">
        <v>11</v>
      </c>
      <c r="AB1326">
        <v>3</v>
      </c>
      <c r="AC1326">
        <v>3</v>
      </c>
      <c r="AD1326" s="14">
        <v>7</v>
      </c>
      <c r="AE1326" t="str">
        <f t="shared" si="41"/>
        <v>6-10 years</v>
      </c>
      <c r="AF1326" s="14">
        <v>0</v>
      </c>
      <c r="AG1326" s="14">
        <v>1</v>
      </c>
      <c r="AH1326" s="14">
        <v>6</v>
      </c>
    </row>
    <row r="1327" spans="1:34" x14ac:dyDescent="0.3">
      <c r="A1327" s="14">
        <v>42</v>
      </c>
      <c r="B1327" s="17" t="s">
        <v>43</v>
      </c>
      <c r="C1327" t="s">
        <v>36</v>
      </c>
      <c r="D1327">
        <v>1142</v>
      </c>
      <c r="E1327" s="17" t="s">
        <v>45</v>
      </c>
      <c r="F1327">
        <v>8</v>
      </c>
      <c r="G1327">
        <v>3</v>
      </c>
      <c r="H1327" t="s">
        <v>38</v>
      </c>
      <c r="I1327">
        <v>1860</v>
      </c>
      <c r="J1327">
        <v>4</v>
      </c>
      <c r="K1327" s="17" t="s">
        <v>46</v>
      </c>
      <c r="L1327">
        <v>81</v>
      </c>
      <c r="M1327">
        <v>3</v>
      </c>
      <c r="N1327">
        <v>1</v>
      </c>
      <c r="O1327" s="17" t="s">
        <v>50</v>
      </c>
      <c r="P1327" s="14">
        <v>3</v>
      </c>
      <c r="Q1327" t="s">
        <v>41</v>
      </c>
      <c r="R1327" s="14">
        <v>3968</v>
      </c>
      <c r="S1327" s="17" t="str">
        <f t="shared" si="40"/>
        <v>medium</v>
      </c>
      <c r="T1327">
        <v>13624</v>
      </c>
      <c r="U1327">
        <v>4</v>
      </c>
      <c r="V1327" s="17" t="s">
        <v>43</v>
      </c>
      <c r="W1327">
        <v>13</v>
      </c>
      <c r="X1327">
        <v>3</v>
      </c>
      <c r="Y1327">
        <v>4</v>
      </c>
      <c r="Z1327">
        <v>0</v>
      </c>
      <c r="AA1327">
        <v>8</v>
      </c>
      <c r="AB1327">
        <v>3</v>
      </c>
      <c r="AC1327">
        <v>3</v>
      </c>
      <c r="AD1327" s="14">
        <v>0</v>
      </c>
      <c r="AE1327" t="str">
        <f t="shared" si="41"/>
        <v>0-2 years</v>
      </c>
      <c r="AF1327" s="14">
        <v>0</v>
      </c>
      <c r="AG1327" s="14">
        <v>0</v>
      </c>
      <c r="AH1327" s="14">
        <v>0</v>
      </c>
    </row>
    <row r="1328" spans="1:34" x14ac:dyDescent="0.3">
      <c r="A1328" s="14">
        <v>32</v>
      </c>
      <c r="B1328" s="17" t="s">
        <v>35</v>
      </c>
      <c r="C1328" t="s">
        <v>36</v>
      </c>
      <c r="D1328">
        <v>414</v>
      </c>
      <c r="E1328" s="17" t="s">
        <v>37</v>
      </c>
      <c r="F1328">
        <v>2</v>
      </c>
      <c r="G1328">
        <v>4</v>
      </c>
      <c r="H1328" t="s">
        <v>59</v>
      </c>
      <c r="I1328">
        <v>1862</v>
      </c>
      <c r="J1328">
        <v>3</v>
      </c>
      <c r="K1328" s="17" t="s">
        <v>46</v>
      </c>
      <c r="L1328">
        <v>82</v>
      </c>
      <c r="M1328">
        <v>2</v>
      </c>
      <c r="N1328">
        <v>2</v>
      </c>
      <c r="O1328" s="17" t="s">
        <v>40</v>
      </c>
      <c r="P1328" s="14">
        <v>2</v>
      </c>
      <c r="Q1328" t="s">
        <v>41</v>
      </c>
      <c r="R1328" s="14">
        <v>9907</v>
      </c>
      <c r="S1328" s="17" t="str">
        <f t="shared" si="40"/>
        <v>high</v>
      </c>
      <c r="T1328">
        <v>26186</v>
      </c>
      <c r="U1328">
        <v>7</v>
      </c>
      <c r="V1328" s="17" t="s">
        <v>35</v>
      </c>
      <c r="W1328">
        <v>12</v>
      </c>
      <c r="X1328">
        <v>3</v>
      </c>
      <c r="Y1328">
        <v>3</v>
      </c>
      <c r="Z1328">
        <v>0</v>
      </c>
      <c r="AA1328">
        <v>7</v>
      </c>
      <c r="AB1328">
        <v>3</v>
      </c>
      <c r="AC1328">
        <v>2</v>
      </c>
      <c r="AD1328" s="14">
        <v>2</v>
      </c>
      <c r="AE1328" t="str">
        <f t="shared" si="41"/>
        <v>0-2 years</v>
      </c>
      <c r="AF1328" s="14">
        <v>2</v>
      </c>
      <c r="AG1328" s="14">
        <v>2</v>
      </c>
      <c r="AH1328" s="14">
        <v>2</v>
      </c>
    </row>
    <row r="1329" spans="1:34" x14ac:dyDescent="0.3">
      <c r="A1329" s="14">
        <v>46</v>
      </c>
      <c r="B1329" s="17" t="s">
        <v>43</v>
      </c>
      <c r="C1329" t="s">
        <v>36</v>
      </c>
      <c r="D1329">
        <v>1319</v>
      </c>
      <c r="E1329" s="17" t="s">
        <v>37</v>
      </c>
      <c r="F1329">
        <v>3</v>
      </c>
      <c r="G1329">
        <v>3</v>
      </c>
      <c r="H1329" t="s">
        <v>60</v>
      </c>
      <c r="I1329">
        <v>1863</v>
      </c>
      <c r="J1329">
        <v>1</v>
      </c>
      <c r="K1329" s="17" t="s">
        <v>39</v>
      </c>
      <c r="L1329">
        <v>45</v>
      </c>
      <c r="M1329">
        <v>4</v>
      </c>
      <c r="N1329">
        <v>4</v>
      </c>
      <c r="O1329" s="17" t="s">
        <v>40</v>
      </c>
      <c r="P1329" s="14">
        <v>1</v>
      </c>
      <c r="Q1329" t="s">
        <v>52</v>
      </c>
      <c r="R1329" s="14">
        <v>13225</v>
      </c>
      <c r="S1329" s="17" t="str">
        <f t="shared" si="40"/>
        <v>high</v>
      </c>
      <c r="T1329">
        <v>7739</v>
      </c>
      <c r="U1329">
        <v>2</v>
      </c>
      <c r="V1329" s="17" t="s">
        <v>43</v>
      </c>
      <c r="W1329">
        <v>12</v>
      </c>
      <c r="X1329">
        <v>3</v>
      </c>
      <c r="Y1329">
        <v>4</v>
      </c>
      <c r="Z1329">
        <v>1</v>
      </c>
      <c r="AA1329">
        <v>25</v>
      </c>
      <c r="AB1329">
        <v>5</v>
      </c>
      <c r="AC1329">
        <v>3</v>
      </c>
      <c r="AD1329" s="14">
        <v>19</v>
      </c>
      <c r="AE1329" t="str">
        <f t="shared" si="41"/>
        <v>10+ years</v>
      </c>
      <c r="AF1329" s="14">
        <v>17</v>
      </c>
      <c r="AG1329" s="14">
        <v>2</v>
      </c>
      <c r="AH1329" s="14">
        <v>8</v>
      </c>
    </row>
    <row r="1330" spans="1:34" x14ac:dyDescent="0.3">
      <c r="A1330" s="14">
        <v>27</v>
      </c>
      <c r="B1330" s="17" t="s">
        <v>43</v>
      </c>
      <c r="C1330" t="s">
        <v>36</v>
      </c>
      <c r="D1330">
        <v>728</v>
      </c>
      <c r="E1330" s="17" t="s">
        <v>37</v>
      </c>
      <c r="F1330">
        <v>23</v>
      </c>
      <c r="G1330">
        <v>1</v>
      </c>
      <c r="H1330" t="s">
        <v>51</v>
      </c>
      <c r="I1330">
        <v>1864</v>
      </c>
      <c r="J1330">
        <v>2</v>
      </c>
      <c r="K1330" s="17" t="s">
        <v>39</v>
      </c>
      <c r="L1330">
        <v>36</v>
      </c>
      <c r="M1330">
        <v>2</v>
      </c>
      <c r="N1330">
        <v>2</v>
      </c>
      <c r="O1330" s="17" t="s">
        <v>57</v>
      </c>
      <c r="P1330" s="14">
        <v>3</v>
      </c>
      <c r="Q1330" t="s">
        <v>48</v>
      </c>
      <c r="R1330" s="14">
        <v>3540</v>
      </c>
      <c r="S1330" s="17" t="str">
        <f t="shared" si="40"/>
        <v>medium</v>
      </c>
      <c r="T1330">
        <v>7018</v>
      </c>
      <c r="U1330">
        <v>1</v>
      </c>
      <c r="V1330" s="17" t="s">
        <v>43</v>
      </c>
      <c r="W1330">
        <v>21</v>
      </c>
      <c r="X1330">
        <v>4</v>
      </c>
      <c r="Y1330">
        <v>4</v>
      </c>
      <c r="Z1330">
        <v>1</v>
      </c>
      <c r="AA1330">
        <v>9</v>
      </c>
      <c r="AB1330">
        <v>5</v>
      </c>
      <c r="AC1330">
        <v>3</v>
      </c>
      <c r="AD1330" s="14">
        <v>9</v>
      </c>
      <c r="AE1330" t="str">
        <f t="shared" si="41"/>
        <v>6-10 years</v>
      </c>
      <c r="AF1330" s="14">
        <v>8</v>
      </c>
      <c r="AG1330" s="14">
        <v>5</v>
      </c>
      <c r="AH1330" s="14">
        <v>8</v>
      </c>
    </row>
    <row r="1331" spans="1:34" x14ac:dyDescent="0.3">
      <c r="A1331" s="14">
        <v>29</v>
      </c>
      <c r="B1331" s="17" t="s">
        <v>43</v>
      </c>
      <c r="C1331" t="s">
        <v>36</v>
      </c>
      <c r="D1331">
        <v>352</v>
      </c>
      <c r="E1331" s="17" t="s">
        <v>61</v>
      </c>
      <c r="F1331">
        <v>6</v>
      </c>
      <c r="G1331">
        <v>1</v>
      </c>
      <c r="H1331" t="s">
        <v>51</v>
      </c>
      <c r="I1331">
        <v>1865</v>
      </c>
      <c r="J1331">
        <v>4</v>
      </c>
      <c r="K1331" s="17" t="s">
        <v>46</v>
      </c>
      <c r="L1331">
        <v>87</v>
      </c>
      <c r="M1331">
        <v>2</v>
      </c>
      <c r="N1331">
        <v>1</v>
      </c>
      <c r="O1331" s="17" t="s">
        <v>61</v>
      </c>
      <c r="P1331" s="14">
        <v>2</v>
      </c>
      <c r="Q1331" t="s">
        <v>48</v>
      </c>
      <c r="R1331" s="14">
        <v>2804</v>
      </c>
      <c r="S1331" s="17" t="str">
        <f t="shared" si="40"/>
        <v>low</v>
      </c>
      <c r="T1331">
        <v>15434</v>
      </c>
      <c r="U1331">
        <v>1</v>
      </c>
      <c r="V1331" s="17" t="s">
        <v>43</v>
      </c>
      <c r="W1331">
        <v>11</v>
      </c>
      <c r="X1331">
        <v>3</v>
      </c>
      <c r="Y1331">
        <v>4</v>
      </c>
      <c r="Z1331">
        <v>0</v>
      </c>
      <c r="AA1331">
        <v>1</v>
      </c>
      <c r="AB1331">
        <v>3</v>
      </c>
      <c r="AC1331">
        <v>3</v>
      </c>
      <c r="AD1331" s="14">
        <v>1</v>
      </c>
      <c r="AE1331" t="str">
        <f t="shared" si="41"/>
        <v>0-2 years</v>
      </c>
      <c r="AF1331" s="14">
        <v>0</v>
      </c>
      <c r="AG1331" s="14">
        <v>0</v>
      </c>
      <c r="AH1331" s="14">
        <v>0</v>
      </c>
    </row>
    <row r="1332" spans="1:34" x14ac:dyDescent="0.3">
      <c r="A1332" s="14">
        <v>43</v>
      </c>
      <c r="B1332" s="17" t="s">
        <v>43</v>
      </c>
      <c r="C1332" t="s">
        <v>36</v>
      </c>
      <c r="D1332">
        <v>823</v>
      </c>
      <c r="E1332" s="17" t="s">
        <v>45</v>
      </c>
      <c r="F1332">
        <v>6</v>
      </c>
      <c r="G1332">
        <v>3</v>
      </c>
      <c r="H1332" t="s">
        <v>51</v>
      </c>
      <c r="I1332">
        <v>1866</v>
      </c>
      <c r="J1332">
        <v>1</v>
      </c>
      <c r="K1332" s="17" t="s">
        <v>39</v>
      </c>
      <c r="L1332">
        <v>81</v>
      </c>
      <c r="M1332">
        <v>2</v>
      </c>
      <c r="N1332">
        <v>5</v>
      </c>
      <c r="O1332" s="17" t="s">
        <v>56</v>
      </c>
      <c r="P1332" s="14">
        <v>3</v>
      </c>
      <c r="Q1332" t="s">
        <v>48</v>
      </c>
      <c r="R1332" s="14">
        <v>19392</v>
      </c>
      <c r="S1332" s="17" t="str">
        <f t="shared" si="40"/>
        <v>high</v>
      </c>
      <c r="T1332">
        <v>22539</v>
      </c>
      <c r="U1332">
        <v>7</v>
      </c>
      <c r="V1332" s="17" t="s">
        <v>43</v>
      </c>
      <c r="W1332">
        <v>13</v>
      </c>
      <c r="X1332">
        <v>3</v>
      </c>
      <c r="Y1332">
        <v>4</v>
      </c>
      <c r="Z1332">
        <v>0</v>
      </c>
      <c r="AA1332">
        <v>21</v>
      </c>
      <c r="AB1332">
        <v>2</v>
      </c>
      <c r="AC1332">
        <v>3</v>
      </c>
      <c r="AD1332" s="14">
        <v>16</v>
      </c>
      <c r="AE1332" t="str">
        <f t="shared" si="41"/>
        <v>10+ years</v>
      </c>
      <c r="AF1332" s="14">
        <v>12</v>
      </c>
      <c r="AG1332" s="14">
        <v>6</v>
      </c>
      <c r="AH1332" s="14">
        <v>14</v>
      </c>
    </row>
    <row r="1333" spans="1:34" x14ac:dyDescent="0.3">
      <c r="A1333" s="14">
        <v>48</v>
      </c>
      <c r="B1333" s="17" t="s">
        <v>43</v>
      </c>
      <c r="C1333" t="s">
        <v>36</v>
      </c>
      <c r="D1333">
        <v>1224</v>
      </c>
      <c r="E1333" s="17" t="s">
        <v>45</v>
      </c>
      <c r="F1333">
        <v>10</v>
      </c>
      <c r="G1333">
        <v>3</v>
      </c>
      <c r="H1333" t="s">
        <v>38</v>
      </c>
      <c r="I1333">
        <v>1867</v>
      </c>
      <c r="J1333">
        <v>4</v>
      </c>
      <c r="K1333" s="17" t="s">
        <v>46</v>
      </c>
      <c r="L1333">
        <v>91</v>
      </c>
      <c r="M1333">
        <v>2</v>
      </c>
      <c r="N1333">
        <v>5</v>
      </c>
      <c r="O1333" s="17" t="s">
        <v>58</v>
      </c>
      <c r="P1333" s="14">
        <v>2</v>
      </c>
      <c r="Q1333" t="s">
        <v>48</v>
      </c>
      <c r="R1333" s="14">
        <v>19665</v>
      </c>
      <c r="S1333" s="17" t="str">
        <f t="shared" si="40"/>
        <v>high</v>
      </c>
      <c r="T1333">
        <v>13583</v>
      </c>
      <c r="U1333">
        <v>4</v>
      </c>
      <c r="V1333" s="17" t="s">
        <v>43</v>
      </c>
      <c r="W1333">
        <v>12</v>
      </c>
      <c r="X1333">
        <v>3</v>
      </c>
      <c r="Y1333">
        <v>4</v>
      </c>
      <c r="Z1333">
        <v>0</v>
      </c>
      <c r="AA1333">
        <v>29</v>
      </c>
      <c r="AB1333">
        <v>3</v>
      </c>
      <c r="AC1333">
        <v>3</v>
      </c>
      <c r="AD1333" s="14">
        <v>22</v>
      </c>
      <c r="AE1333" t="str">
        <f t="shared" si="41"/>
        <v>10+ years</v>
      </c>
      <c r="AF1333" s="14">
        <v>10</v>
      </c>
      <c r="AG1333" s="14">
        <v>12</v>
      </c>
      <c r="AH1333" s="14">
        <v>9</v>
      </c>
    </row>
    <row r="1334" spans="1:34" x14ac:dyDescent="0.3">
      <c r="A1334" s="14">
        <v>29</v>
      </c>
      <c r="B1334" s="17" t="s">
        <v>35</v>
      </c>
      <c r="C1334" t="s">
        <v>44</v>
      </c>
      <c r="D1334">
        <v>459</v>
      </c>
      <c r="E1334" s="17" t="s">
        <v>45</v>
      </c>
      <c r="F1334">
        <v>24</v>
      </c>
      <c r="G1334">
        <v>2</v>
      </c>
      <c r="H1334" t="s">
        <v>38</v>
      </c>
      <c r="I1334">
        <v>1868</v>
      </c>
      <c r="J1334">
        <v>4</v>
      </c>
      <c r="K1334" s="17" t="s">
        <v>46</v>
      </c>
      <c r="L1334">
        <v>73</v>
      </c>
      <c r="M1334">
        <v>2</v>
      </c>
      <c r="N1334">
        <v>1</v>
      </c>
      <c r="O1334" s="17" t="s">
        <v>47</v>
      </c>
      <c r="P1334" s="14">
        <v>4</v>
      </c>
      <c r="Q1334" t="s">
        <v>41</v>
      </c>
      <c r="R1334" s="14">
        <v>2439</v>
      </c>
      <c r="S1334" s="17" t="str">
        <f t="shared" si="40"/>
        <v>low</v>
      </c>
      <c r="T1334">
        <v>14753</v>
      </c>
      <c r="U1334">
        <v>1</v>
      </c>
      <c r="V1334" s="17" t="s">
        <v>35</v>
      </c>
      <c r="W1334">
        <v>24</v>
      </c>
      <c r="X1334">
        <v>4</v>
      </c>
      <c r="Y1334">
        <v>2</v>
      </c>
      <c r="Z1334">
        <v>0</v>
      </c>
      <c r="AA1334">
        <v>1</v>
      </c>
      <c r="AB1334">
        <v>3</v>
      </c>
      <c r="AC1334">
        <v>2</v>
      </c>
      <c r="AD1334" s="14">
        <v>1</v>
      </c>
      <c r="AE1334" t="str">
        <f t="shared" si="41"/>
        <v>0-2 years</v>
      </c>
      <c r="AF1334" s="14">
        <v>0</v>
      </c>
      <c r="AG1334" s="14">
        <v>1</v>
      </c>
      <c r="AH1334" s="14">
        <v>0</v>
      </c>
    </row>
    <row r="1335" spans="1:34" x14ac:dyDescent="0.3">
      <c r="A1335" s="14">
        <v>46</v>
      </c>
      <c r="B1335" s="17" t="s">
        <v>35</v>
      </c>
      <c r="C1335" t="s">
        <v>36</v>
      </c>
      <c r="D1335">
        <v>1254</v>
      </c>
      <c r="E1335" s="17" t="s">
        <v>37</v>
      </c>
      <c r="F1335">
        <v>10</v>
      </c>
      <c r="G1335">
        <v>3</v>
      </c>
      <c r="H1335" t="s">
        <v>38</v>
      </c>
      <c r="I1335">
        <v>1869</v>
      </c>
      <c r="J1335">
        <v>3</v>
      </c>
      <c r="K1335" s="17" t="s">
        <v>39</v>
      </c>
      <c r="L1335">
        <v>64</v>
      </c>
      <c r="M1335">
        <v>3</v>
      </c>
      <c r="N1335">
        <v>3</v>
      </c>
      <c r="O1335" s="17" t="s">
        <v>40</v>
      </c>
      <c r="P1335" s="14">
        <v>2</v>
      </c>
      <c r="Q1335" t="s">
        <v>48</v>
      </c>
      <c r="R1335" s="14">
        <v>7314</v>
      </c>
      <c r="S1335" s="17" t="str">
        <f t="shared" si="40"/>
        <v>high</v>
      </c>
      <c r="T1335">
        <v>14011</v>
      </c>
      <c r="U1335">
        <v>5</v>
      </c>
      <c r="V1335" s="17" t="s">
        <v>43</v>
      </c>
      <c r="W1335">
        <v>21</v>
      </c>
      <c r="X1335">
        <v>4</v>
      </c>
      <c r="Y1335">
        <v>3</v>
      </c>
      <c r="Z1335">
        <v>3</v>
      </c>
      <c r="AA1335">
        <v>14</v>
      </c>
      <c r="AB1335">
        <v>2</v>
      </c>
      <c r="AC1335">
        <v>3</v>
      </c>
      <c r="AD1335" s="14">
        <v>8</v>
      </c>
      <c r="AE1335" t="str">
        <f t="shared" si="41"/>
        <v>6-10 years</v>
      </c>
      <c r="AF1335" s="14">
        <v>7</v>
      </c>
      <c r="AG1335" s="14">
        <v>0</v>
      </c>
      <c r="AH1335" s="14">
        <v>7</v>
      </c>
    </row>
    <row r="1336" spans="1:34" x14ac:dyDescent="0.3">
      <c r="A1336" s="14">
        <v>27</v>
      </c>
      <c r="B1336" s="17" t="s">
        <v>43</v>
      </c>
      <c r="C1336" t="s">
        <v>44</v>
      </c>
      <c r="D1336">
        <v>1131</v>
      </c>
      <c r="E1336" s="17" t="s">
        <v>45</v>
      </c>
      <c r="F1336">
        <v>15</v>
      </c>
      <c r="G1336">
        <v>3</v>
      </c>
      <c r="H1336" t="s">
        <v>38</v>
      </c>
      <c r="I1336">
        <v>1870</v>
      </c>
      <c r="J1336">
        <v>4</v>
      </c>
      <c r="K1336" s="17" t="s">
        <v>39</v>
      </c>
      <c r="L1336">
        <v>77</v>
      </c>
      <c r="M1336">
        <v>2</v>
      </c>
      <c r="N1336">
        <v>1</v>
      </c>
      <c r="O1336" s="17" t="s">
        <v>47</v>
      </c>
      <c r="P1336" s="14">
        <v>1</v>
      </c>
      <c r="Q1336" t="s">
        <v>48</v>
      </c>
      <c r="R1336" s="14">
        <v>4774</v>
      </c>
      <c r="S1336" s="17" t="str">
        <f t="shared" si="40"/>
        <v>medium</v>
      </c>
      <c r="T1336">
        <v>23844</v>
      </c>
      <c r="U1336">
        <v>0</v>
      </c>
      <c r="V1336" s="17" t="s">
        <v>43</v>
      </c>
      <c r="W1336">
        <v>19</v>
      </c>
      <c r="X1336">
        <v>3</v>
      </c>
      <c r="Y1336">
        <v>4</v>
      </c>
      <c r="Z1336">
        <v>1</v>
      </c>
      <c r="AA1336">
        <v>8</v>
      </c>
      <c r="AB1336">
        <v>2</v>
      </c>
      <c r="AC1336">
        <v>2</v>
      </c>
      <c r="AD1336" s="14">
        <v>7</v>
      </c>
      <c r="AE1336" t="str">
        <f t="shared" si="41"/>
        <v>6-10 years</v>
      </c>
      <c r="AF1336" s="14">
        <v>6</v>
      </c>
      <c r="AG1336" s="14">
        <v>7</v>
      </c>
      <c r="AH1336" s="14">
        <v>3</v>
      </c>
    </row>
    <row r="1337" spans="1:34" x14ac:dyDescent="0.3">
      <c r="A1337" s="14">
        <v>39</v>
      </c>
      <c r="B1337" s="17" t="s">
        <v>43</v>
      </c>
      <c r="C1337" t="s">
        <v>36</v>
      </c>
      <c r="D1337">
        <v>835</v>
      </c>
      <c r="E1337" s="17" t="s">
        <v>45</v>
      </c>
      <c r="F1337">
        <v>19</v>
      </c>
      <c r="G1337">
        <v>4</v>
      </c>
      <c r="H1337" t="s">
        <v>49</v>
      </c>
      <c r="I1337">
        <v>1871</v>
      </c>
      <c r="J1337">
        <v>4</v>
      </c>
      <c r="K1337" s="17" t="s">
        <v>46</v>
      </c>
      <c r="L1337">
        <v>41</v>
      </c>
      <c r="M1337">
        <v>3</v>
      </c>
      <c r="N1337">
        <v>2</v>
      </c>
      <c r="O1337" s="17" t="s">
        <v>47</v>
      </c>
      <c r="P1337" s="14">
        <v>4</v>
      </c>
      <c r="Q1337" t="s">
        <v>52</v>
      </c>
      <c r="R1337" s="14">
        <v>3902</v>
      </c>
      <c r="S1337" s="17" t="str">
        <f t="shared" si="40"/>
        <v>medium</v>
      </c>
      <c r="T1337">
        <v>5141</v>
      </c>
      <c r="U1337">
        <v>8</v>
      </c>
      <c r="V1337" s="17" t="s">
        <v>43</v>
      </c>
      <c r="W1337">
        <v>14</v>
      </c>
      <c r="X1337">
        <v>3</v>
      </c>
      <c r="Y1337">
        <v>2</v>
      </c>
      <c r="Z1337">
        <v>3</v>
      </c>
      <c r="AA1337">
        <v>7</v>
      </c>
      <c r="AB1337">
        <v>2</v>
      </c>
      <c r="AC1337">
        <v>3</v>
      </c>
      <c r="AD1337" s="14">
        <v>2</v>
      </c>
      <c r="AE1337" t="str">
        <f t="shared" si="41"/>
        <v>0-2 years</v>
      </c>
      <c r="AF1337" s="14">
        <v>2</v>
      </c>
      <c r="AG1337" s="14">
        <v>2</v>
      </c>
      <c r="AH1337" s="14">
        <v>2</v>
      </c>
    </row>
    <row r="1338" spans="1:34" x14ac:dyDescent="0.3">
      <c r="A1338" s="14">
        <v>55</v>
      </c>
      <c r="B1338" s="17" t="s">
        <v>43</v>
      </c>
      <c r="C1338" t="s">
        <v>36</v>
      </c>
      <c r="D1338">
        <v>836</v>
      </c>
      <c r="E1338" s="17" t="s">
        <v>45</v>
      </c>
      <c r="F1338">
        <v>2</v>
      </c>
      <c r="G1338">
        <v>4</v>
      </c>
      <c r="H1338" t="s">
        <v>60</v>
      </c>
      <c r="I1338">
        <v>1873</v>
      </c>
      <c r="J1338">
        <v>2</v>
      </c>
      <c r="K1338" s="17" t="s">
        <v>46</v>
      </c>
      <c r="L1338">
        <v>98</v>
      </c>
      <c r="M1338">
        <v>2</v>
      </c>
      <c r="N1338">
        <v>1</v>
      </c>
      <c r="O1338" s="17" t="s">
        <v>47</v>
      </c>
      <c r="P1338" s="14">
        <v>4</v>
      </c>
      <c r="Q1338" t="s">
        <v>48</v>
      </c>
      <c r="R1338" s="14">
        <v>2662</v>
      </c>
      <c r="S1338" s="17" t="str">
        <f t="shared" si="40"/>
        <v>low</v>
      </c>
      <c r="T1338">
        <v>7975</v>
      </c>
      <c r="U1338">
        <v>8</v>
      </c>
      <c r="V1338" s="17" t="s">
        <v>43</v>
      </c>
      <c r="W1338">
        <v>20</v>
      </c>
      <c r="X1338">
        <v>4</v>
      </c>
      <c r="Y1338">
        <v>2</v>
      </c>
      <c r="Z1338">
        <v>1</v>
      </c>
      <c r="AA1338">
        <v>19</v>
      </c>
      <c r="AB1338">
        <v>2</v>
      </c>
      <c r="AC1338">
        <v>4</v>
      </c>
      <c r="AD1338" s="14">
        <v>5</v>
      </c>
      <c r="AE1338" t="str">
        <f t="shared" si="41"/>
        <v>3-5 years</v>
      </c>
      <c r="AF1338" s="14">
        <v>2</v>
      </c>
      <c r="AG1338" s="14">
        <v>0</v>
      </c>
      <c r="AH1338" s="14">
        <v>4</v>
      </c>
    </row>
    <row r="1339" spans="1:34" x14ac:dyDescent="0.3">
      <c r="A1339" s="14">
        <v>28</v>
      </c>
      <c r="B1339" s="17" t="s">
        <v>43</v>
      </c>
      <c r="C1339" t="s">
        <v>36</v>
      </c>
      <c r="D1339">
        <v>1172</v>
      </c>
      <c r="E1339" s="17" t="s">
        <v>37</v>
      </c>
      <c r="F1339">
        <v>3</v>
      </c>
      <c r="G1339">
        <v>3</v>
      </c>
      <c r="H1339" t="s">
        <v>51</v>
      </c>
      <c r="I1339">
        <v>1875</v>
      </c>
      <c r="J1339">
        <v>2</v>
      </c>
      <c r="K1339" s="17" t="s">
        <v>39</v>
      </c>
      <c r="L1339">
        <v>78</v>
      </c>
      <c r="M1339">
        <v>3</v>
      </c>
      <c r="N1339">
        <v>1</v>
      </c>
      <c r="O1339" s="17" t="s">
        <v>57</v>
      </c>
      <c r="P1339" s="14">
        <v>2</v>
      </c>
      <c r="Q1339" t="s">
        <v>48</v>
      </c>
      <c r="R1339" s="14">
        <v>2856</v>
      </c>
      <c r="S1339" s="17" t="str">
        <f t="shared" si="40"/>
        <v>low</v>
      </c>
      <c r="T1339">
        <v>3692</v>
      </c>
      <c r="U1339">
        <v>1</v>
      </c>
      <c r="V1339" s="17" t="s">
        <v>43</v>
      </c>
      <c r="W1339">
        <v>19</v>
      </c>
      <c r="X1339">
        <v>3</v>
      </c>
      <c r="Y1339">
        <v>4</v>
      </c>
      <c r="Z1339">
        <v>1</v>
      </c>
      <c r="AA1339">
        <v>1</v>
      </c>
      <c r="AB1339">
        <v>3</v>
      </c>
      <c r="AC1339">
        <v>3</v>
      </c>
      <c r="AD1339" s="14">
        <v>1</v>
      </c>
      <c r="AE1339" t="str">
        <f t="shared" si="41"/>
        <v>0-2 years</v>
      </c>
      <c r="AF1339" s="14">
        <v>0</v>
      </c>
      <c r="AG1339" s="14">
        <v>0</v>
      </c>
      <c r="AH1339" s="14">
        <v>0</v>
      </c>
    </row>
    <row r="1340" spans="1:34" x14ac:dyDescent="0.3">
      <c r="A1340" s="14">
        <v>30</v>
      </c>
      <c r="B1340" s="17" t="s">
        <v>35</v>
      </c>
      <c r="C1340" t="s">
        <v>36</v>
      </c>
      <c r="D1340">
        <v>945</v>
      </c>
      <c r="E1340" s="17" t="s">
        <v>37</v>
      </c>
      <c r="F1340">
        <v>9</v>
      </c>
      <c r="G1340">
        <v>3</v>
      </c>
      <c r="H1340" t="s">
        <v>51</v>
      </c>
      <c r="I1340">
        <v>1876</v>
      </c>
      <c r="J1340">
        <v>2</v>
      </c>
      <c r="K1340" s="17" t="s">
        <v>46</v>
      </c>
      <c r="L1340">
        <v>89</v>
      </c>
      <c r="M1340">
        <v>3</v>
      </c>
      <c r="N1340">
        <v>1</v>
      </c>
      <c r="O1340" s="17" t="s">
        <v>57</v>
      </c>
      <c r="P1340" s="14">
        <v>4</v>
      </c>
      <c r="Q1340" t="s">
        <v>41</v>
      </c>
      <c r="R1340" s="14">
        <v>1081</v>
      </c>
      <c r="S1340" s="17" t="str">
        <f t="shared" si="40"/>
        <v>low</v>
      </c>
      <c r="T1340">
        <v>16019</v>
      </c>
      <c r="U1340">
        <v>1</v>
      </c>
      <c r="V1340" s="17" t="s">
        <v>43</v>
      </c>
      <c r="W1340">
        <v>13</v>
      </c>
      <c r="X1340">
        <v>3</v>
      </c>
      <c r="Y1340">
        <v>3</v>
      </c>
      <c r="Z1340">
        <v>0</v>
      </c>
      <c r="AA1340">
        <v>1</v>
      </c>
      <c r="AB1340">
        <v>3</v>
      </c>
      <c r="AC1340">
        <v>2</v>
      </c>
      <c r="AD1340" s="14">
        <v>1</v>
      </c>
      <c r="AE1340" t="str">
        <f t="shared" si="41"/>
        <v>0-2 years</v>
      </c>
      <c r="AF1340" s="14">
        <v>0</v>
      </c>
      <c r="AG1340" s="14">
        <v>0</v>
      </c>
      <c r="AH1340" s="14">
        <v>0</v>
      </c>
    </row>
    <row r="1341" spans="1:34" x14ac:dyDescent="0.3">
      <c r="A1341" s="14">
        <v>22</v>
      </c>
      <c r="B1341" s="17" t="s">
        <v>35</v>
      </c>
      <c r="C1341" t="s">
        <v>36</v>
      </c>
      <c r="D1341">
        <v>391</v>
      </c>
      <c r="E1341" s="17" t="s">
        <v>45</v>
      </c>
      <c r="F1341">
        <v>7</v>
      </c>
      <c r="G1341">
        <v>1</v>
      </c>
      <c r="H1341" t="s">
        <v>38</v>
      </c>
      <c r="I1341">
        <v>1878</v>
      </c>
      <c r="J1341">
        <v>4</v>
      </c>
      <c r="K1341" s="17" t="s">
        <v>46</v>
      </c>
      <c r="L1341">
        <v>75</v>
      </c>
      <c r="M1341">
        <v>3</v>
      </c>
      <c r="N1341">
        <v>1</v>
      </c>
      <c r="O1341" s="17" t="s">
        <v>47</v>
      </c>
      <c r="P1341" s="14">
        <v>2</v>
      </c>
      <c r="Q1341" t="s">
        <v>41</v>
      </c>
      <c r="R1341" s="14">
        <v>2472</v>
      </c>
      <c r="S1341" s="17" t="str">
        <f t="shared" si="40"/>
        <v>low</v>
      </c>
      <c r="T1341">
        <v>26092</v>
      </c>
      <c r="U1341">
        <v>1</v>
      </c>
      <c r="V1341" s="17" t="s">
        <v>35</v>
      </c>
      <c r="W1341">
        <v>23</v>
      </c>
      <c r="X1341">
        <v>4</v>
      </c>
      <c r="Y1341">
        <v>1</v>
      </c>
      <c r="Z1341">
        <v>0</v>
      </c>
      <c r="AA1341">
        <v>1</v>
      </c>
      <c r="AB1341">
        <v>2</v>
      </c>
      <c r="AC1341">
        <v>3</v>
      </c>
      <c r="AD1341" s="14">
        <v>1</v>
      </c>
      <c r="AE1341" t="str">
        <f t="shared" si="41"/>
        <v>0-2 years</v>
      </c>
      <c r="AF1341" s="14">
        <v>0</v>
      </c>
      <c r="AG1341" s="14">
        <v>0</v>
      </c>
      <c r="AH1341" s="14">
        <v>0</v>
      </c>
    </row>
    <row r="1342" spans="1:34" x14ac:dyDescent="0.3">
      <c r="A1342" s="14">
        <v>36</v>
      </c>
      <c r="B1342" s="17" t="s">
        <v>43</v>
      </c>
      <c r="C1342" t="s">
        <v>36</v>
      </c>
      <c r="D1342">
        <v>1266</v>
      </c>
      <c r="E1342" s="17" t="s">
        <v>37</v>
      </c>
      <c r="F1342">
        <v>10</v>
      </c>
      <c r="G1342">
        <v>4</v>
      </c>
      <c r="H1342" t="s">
        <v>60</v>
      </c>
      <c r="I1342">
        <v>1880</v>
      </c>
      <c r="J1342">
        <v>2</v>
      </c>
      <c r="K1342" s="17" t="s">
        <v>39</v>
      </c>
      <c r="L1342">
        <v>63</v>
      </c>
      <c r="M1342">
        <v>2</v>
      </c>
      <c r="N1342">
        <v>2</v>
      </c>
      <c r="O1342" s="17" t="s">
        <v>40</v>
      </c>
      <c r="P1342" s="14">
        <v>3</v>
      </c>
      <c r="Q1342" t="s">
        <v>48</v>
      </c>
      <c r="R1342" s="14">
        <v>5673</v>
      </c>
      <c r="S1342" s="17" t="str">
        <f t="shared" si="40"/>
        <v>medium</v>
      </c>
      <c r="T1342">
        <v>6060</v>
      </c>
      <c r="U1342">
        <v>1</v>
      </c>
      <c r="V1342" s="17" t="s">
        <v>35</v>
      </c>
      <c r="W1342">
        <v>13</v>
      </c>
      <c r="X1342">
        <v>3</v>
      </c>
      <c r="Y1342">
        <v>1</v>
      </c>
      <c r="Z1342">
        <v>1</v>
      </c>
      <c r="AA1342">
        <v>10</v>
      </c>
      <c r="AB1342">
        <v>4</v>
      </c>
      <c r="AC1342">
        <v>3</v>
      </c>
      <c r="AD1342" s="14">
        <v>10</v>
      </c>
      <c r="AE1342" t="str">
        <f t="shared" si="41"/>
        <v>6-10 years</v>
      </c>
      <c r="AF1342" s="14">
        <v>9</v>
      </c>
      <c r="AG1342" s="14">
        <v>1</v>
      </c>
      <c r="AH1342" s="14">
        <v>7</v>
      </c>
    </row>
    <row r="1343" spans="1:34" x14ac:dyDescent="0.3">
      <c r="A1343" s="14">
        <v>31</v>
      </c>
      <c r="B1343" s="17" t="s">
        <v>43</v>
      </c>
      <c r="C1343" t="s">
        <v>36</v>
      </c>
      <c r="D1343">
        <v>311</v>
      </c>
      <c r="E1343" s="17" t="s">
        <v>45</v>
      </c>
      <c r="F1343">
        <v>20</v>
      </c>
      <c r="G1343">
        <v>3</v>
      </c>
      <c r="H1343" t="s">
        <v>38</v>
      </c>
      <c r="I1343">
        <v>1881</v>
      </c>
      <c r="J1343">
        <v>2</v>
      </c>
      <c r="K1343" s="17" t="s">
        <v>46</v>
      </c>
      <c r="L1343">
        <v>89</v>
      </c>
      <c r="M1343">
        <v>3</v>
      </c>
      <c r="N1343">
        <v>2</v>
      </c>
      <c r="O1343" s="17" t="s">
        <v>50</v>
      </c>
      <c r="P1343" s="14">
        <v>3</v>
      </c>
      <c r="Q1343" t="s">
        <v>52</v>
      </c>
      <c r="R1343" s="14">
        <v>4197</v>
      </c>
      <c r="S1343" s="17" t="str">
        <f t="shared" si="40"/>
        <v>medium</v>
      </c>
      <c r="T1343">
        <v>18624</v>
      </c>
      <c r="U1343">
        <v>1</v>
      </c>
      <c r="V1343" s="17" t="s">
        <v>43</v>
      </c>
      <c r="W1343">
        <v>11</v>
      </c>
      <c r="X1343">
        <v>3</v>
      </c>
      <c r="Y1343">
        <v>1</v>
      </c>
      <c r="Z1343">
        <v>1</v>
      </c>
      <c r="AA1343">
        <v>10</v>
      </c>
      <c r="AB1343">
        <v>2</v>
      </c>
      <c r="AC1343">
        <v>3</v>
      </c>
      <c r="AD1343" s="14">
        <v>10</v>
      </c>
      <c r="AE1343" t="str">
        <f t="shared" si="41"/>
        <v>6-10 years</v>
      </c>
      <c r="AF1343" s="14">
        <v>8</v>
      </c>
      <c r="AG1343" s="14">
        <v>0</v>
      </c>
      <c r="AH1343" s="14">
        <v>2</v>
      </c>
    </row>
    <row r="1344" spans="1:34" x14ac:dyDescent="0.3">
      <c r="A1344" s="14">
        <v>34</v>
      </c>
      <c r="B1344" s="17" t="s">
        <v>43</v>
      </c>
      <c r="C1344" t="s">
        <v>36</v>
      </c>
      <c r="D1344">
        <v>1480</v>
      </c>
      <c r="E1344" s="17" t="s">
        <v>37</v>
      </c>
      <c r="F1344">
        <v>4</v>
      </c>
      <c r="G1344">
        <v>3</v>
      </c>
      <c r="H1344" t="s">
        <v>38</v>
      </c>
      <c r="I1344">
        <v>1882</v>
      </c>
      <c r="J1344">
        <v>3</v>
      </c>
      <c r="K1344" s="17" t="s">
        <v>46</v>
      </c>
      <c r="L1344">
        <v>64</v>
      </c>
      <c r="M1344">
        <v>3</v>
      </c>
      <c r="N1344">
        <v>3</v>
      </c>
      <c r="O1344" s="17" t="s">
        <v>40</v>
      </c>
      <c r="P1344" s="14">
        <v>4</v>
      </c>
      <c r="Q1344" t="s">
        <v>48</v>
      </c>
      <c r="R1344" s="14">
        <v>9713</v>
      </c>
      <c r="S1344" s="17" t="str">
        <f t="shared" si="40"/>
        <v>high</v>
      </c>
      <c r="T1344">
        <v>24444</v>
      </c>
      <c r="U1344">
        <v>2</v>
      </c>
      <c r="V1344" s="17" t="s">
        <v>35</v>
      </c>
      <c r="W1344">
        <v>13</v>
      </c>
      <c r="X1344">
        <v>3</v>
      </c>
      <c r="Y1344">
        <v>4</v>
      </c>
      <c r="Z1344">
        <v>3</v>
      </c>
      <c r="AA1344">
        <v>9</v>
      </c>
      <c r="AB1344">
        <v>3</v>
      </c>
      <c r="AC1344">
        <v>3</v>
      </c>
      <c r="AD1344" s="14">
        <v>5</v>
      </c>
      <c r="AE1344" t="str">
        <f t="shared" si="41"/>
        <v>3-5 years</v>
      </c>
      <c r="AF1344" s="14">
        <v>3</v>
      </c>
      <c r="AG1344" s="14">
        <v>1</v>
      </c>
      <c r="AH1344" s="14">
        <v>0</v>
      </c>
    </row>
    <row r="1345" spans="1:34" x14ac:dyDescent="0.3">
      <c r="A1345" s="14">
        <v>29</v>
      </c>
      <c r="B1345" s="17" t="s">
        <v>43</v>
      </c>
      <c r="C1345" t="s">
        <v>36</v>
      </c>
      <c r="D1345">
        <v>592</v>
      </c>
      <c r="E1345" s="17" t="s">
        <v>45</v>
      </c>
      <c r="F1345">
        <v>7</v>
      </c>
      <c r="G1345">
        <v>3</v>
      </c>
      <c r="H1345" t="s">
        <v>38</v>
      </c>
      <c r="I1345">
        <v>1883</v>
      </c>
      <c r="J1345">
        <v>4</v>
      </c>
      <c r="K1345" s="17" t="s">
        <v>46</v>
      </c>
      <c r="L1345">
        <v>59</v>
      </c>
      <c r="M1345">
        <v>3</v>
      </c>
      <c r="N1345">
        <v>1</v>
      </c>
      <c r="O1345" s="17" t="s">
        <v>50</v>
      </c>
      <c r="P1345" s="14">
        <v>1</v>
      </c>
      <c r="Q1345" t="s">
        <v>41</v>
      </c>
      <c r="R1345" s="14">
        <v>2062</v>
      </c>
      <c r="S1345" s="17" t="str">
        <f t="shared" si="40"/>
        <v>low</v>
      </c>
      <c r="T1345">
        <v>19384</v>
      </c>
      <c r="U1345">
        <v>3</v>
      </c>
      <c r="V1345" s="17" t="s">
        <v>43</v>
      </c>
      <c r="W1345">
        <v>14</v>
      </c>
      <c r="X1345">
        <v>3</v>
      </c>
      <c r="Y1345">
        <v>2</v>
      </c>
      <c r="Z1345">
        <v>0</v>
      </c>
      <c r="AA1345">
        <v>11</v>
      </c>
      <c r="AB1345">
        <v>2</v>
      </c>
      <c r="AC1345">
        <v>3</v>
      </c>
      <c r="AD1345" s="14">
        <v>3</v>
      </c>
      <c r="AE1345" t="str">
        <f t="shared" si="41"/>
        <v>3-5 years</v>
      </c>
      <c r="AF1345" s="14">
        <v>2</v>
      </c>
      <c r="AG1345" s="14">
        <v>1</v>
      </c>
      <c r="AH1345" s="14">
        <v>2</v>
      </c>
    </row>
    <row r="1346" spans="1:34" x14ac:dyDescent="0.3">
      <c r="A1346" s="14">
        <v>37</v>
      </c>
      <c r="B1346" s="17" t="s">
        <v>43</v>
      </c>
      <c r="C1346" t="s">
        <v>36</v>
      </c>
      <c r="D1346">
        <v>783</v>
      </c>
      <c r="E1346" s="17" t="s">
        <v>45</v>
      </c>
      <c r="F1346">
        <v>7</v>
      </c>
      <c r="G1346">
        <v>4</v>
      </c>
      <c r="H1346" t="s">
        <v>51</v>
      </c>
      <c r="I1346">
        <v>1885</v>
      </c>
      <c r="J1346">
        <v>4</v>
      </c>
      <c r="K1346" s="17" t="s">
        <v>46</v>
      </c>
      <c r="L1346">
        <v>78</v>
      </c>
      <c r="M1346">
        <v>3</v>
      </c>
      <c r="N1346">
        <v>2</v>
      </c>
      <c r="O1346" s="17" t="s">
        <v>47</v>
      </c>
      <c r="P1346" s="14">
        <v>1</v>
      </c>
      <c r="Q1346" t="s">
        <v>48</v>
      </c>
      <c r="R1346" s="14">
        <v>4284</v>
      </c>
      <c r="S1346" s="17" t="str">
        <f t="shared" ref="S1346:S1409" si="42">IF(R1346&lt;=3000, "low",IF(R1346&lt;=7000,"medium","high"))</f>
        <v>medium</v>
      </c>
      <c r="T1346">
        <v>13588</v>
      </c>
      <c r="U1346">
        <v>5</v>
      </c>
      <c r="V1346" s="17" t="s">
        <v>35</v>
      </c>
      <c r="W1346">
        <v>22</v>
      </c>
      <c r="X1346">
        <v>4</v>
      </c>
      <c r="Y1346">
        <v>3</v>
      </c>
      <c r="Z1346">
        <v>1</v>
      </c>
      <c r="AA1346">
        <v>16</v>
      </c>
      <c r="AB1346">
        <v>2</v>
      </c>
      <c r="AC1346">
        <v>3</v>
      </c>
      <c r="AD1346" s="14">
        <v>5</v>
      </c>
      <c r="AE1346" t="str">
        <f t="shared" ref="AE1346:AE1409" si="43">IF(AD1346&lt;=2,"0-2 years", IF(AD1346&lt;=5,"3-5 years", IF(AD1346&lt;=10,"6-10 years","10+ years")))</f>
        <v>3-5 years</v>
      </c>
      <c r="AF1346" s="14">
        <v>3</v>
      </c>
      <c r="AG1346" s="14">
        <v>0</v>
      </c>
      <c r="AH1346" s="14">
        <v>4</v>
      </c>
    </row>
    <row r="1347" spans="1:34" x14ac:dyDescent="0.3">
      <c r="A1347" s="14">
        <v>35</v>
      </c>
      <c r="B1347" s="17" t="s">
        <v>43</v>
      </c>
      <c r="C1347" t="s">
        <v>36</v>
      </c>
      <c r="D1347">
        <v>219</v>
      </c>
      <c r="E1347" s="17" t="s">
        <v>45</v>
      </c>
      <c r="F1347">
        <v>16</v>
      </c>
      <c r="G1347">
        <v>2</v>
      </c>
      <c r="H1347" t="s">
        <v>49</v>
      </c>
      <c r="I1347">
        <v>1886</v>
      </c>
      <c r="J1347">
        <v>4</v>
      </c>
      <c r="K1347" s="17" t="s">
        <v>39</v>
      </c>
      <c r="L1347">
        <v>44</v>
      </c>
      <c r="M1347">
        <v>2</v>
      </c>
      <c r="N1347">
        <v>2</v>
      </c>
      <c r="O1347" s="17" t="s">
        <v>53</v>
      </c>
      <c r="P1347" s="14">
        <v>2</v>
      </c>
      <c r="Q1347" t="s">
        <v>48</v>
      </c>
      <c r="R1347" s="14">
        <v>4788</v>
      </c>
      <c r="S1347" s="17" t="str">
        <f t="shared" si="42"/>
        <v>medium</v>
      </c>
      <c r="T1347">
        <v>25388</v>
      </c>
      <c r="U1347">
        <v>0</v>
      </c>
      <c r="V1347" s="17" t="s">
        <v>35</v>
      </c>
      <c r="W1347">
        <v>11</v>
      </c>
      <c r="X1347">
        <v>3</v>
      </c>
      <c r="Y1347">
        <v>4</v>
      </c>
      <c r="Z1347">
        <v>0</v>
      </c>
      <c r="AA1347">
        <v>4</v>
      </c>
      <c r="AB1347">
        <v>2</v>
      </c>
      <c r="AC1347">
        <v>3</v>
      </c>
      <c r="AD1347" s="14">
        <v>3</v>
      </c>
      <c r="AE1347" t="str">
        <f t="shared" si="43"/>
        <v>3-5 years</v>
      </c>
      <c r="AF1347" s="14">
        <v>2</v>
      </c>
      <c r="AG1347" s="14">
        <v>0</v>
      </c>
      <c r="AH1347" s="14">
        <v>2</v>
      </c>
    </row>
    <row r="1348" spans="1:34" x14ac:dyDescent="0.3">
      <c r="A1348" s="14">
        <v>45</v>
      </c>
      <c r="B1348" s="17" t="s">
        <v>43</v>
      </c>
      <c r="C1348" t="s">
        <v>36</v>
      </c>
      <c r="D1348">
        <v>556</v>
      </c>
      <c r="E1348" s="17" t="s">
        <v>45</v>
      </c>
      <c r="F1348">
        <v>25</v>
      </c>
      <c r="G1348">
        <v>2</v>
      </c>
      <c r="H1348" t="s">
        <v>38</v>
      </c>
      <c r="I1348">
        <v>1888</v>
      </c>
      <c r="J1348">
        <v>2</v>
      </c>
      <c r="K1348" s="17" t="s">
        <v>39</v>
      </c>
      <c r="L1348">
        <v>93</v>
      </c>
      <c r="M1348">
        <v>2</v>
      </c>
      <c r="N1348">
        <v>2</v>
      </c>
      <c r="O1348" s="17" t="s">
        <v>53</v>
      </c>
      <c r="P1348" s="14">
        <v>4</v>
      </c>
      <c r="Q1348" t="s">
        <v>48</v>
      </c>
      <c r="R1348" s="14">
        <v>5906</v>
      </c>
      <c r="S1348" s="17" t="str">
        <f t="shared" si="42"/>
        <v>medium</v>
      </c>
      <c r="T1348">
        <v>23888</v>
      </c>
      <c r="U1348">
        <v>0</v>
      </c>
      <c r="V1348" s="17" t="s">
        <v>43</v>
      </c>
      <c r="W1348">
        <v>13</v>
      </c>
      <c r="X1348">
        <v>3</v>
      </c>
      <c r="Y1348">
        <v>4</v>
      </c>
      <c r="Z1348">
        <v>2</v>
      </c>
      <c r="AA1348">
        <v>10</v>
      </c>
      <c r="AB1348">
        <v>2</v>
      </c>
      <c r="AC1348">
        <v>2</v>
      </c>
      <c r="AD1348" s="14">
        <v>9</v>
      </c>
      <c r="AE1348" t="str">
        <f t="shared" si="43"/>
        <v>6-10 years</v>
      </c>
      <c r="AF1348" s="14">
        <v>8</v>
      </c>
      <c r="AG1348" s="14">
        <v>3</v>
      </c>
      <c r="AH1348" s="14">
        <v>8</v>
      </c>
    </row>
    <row r="1349" spans="1:34" x14ac:dyDescent="0.3">
      <c r="A1349" s="14">
        <v>36</v>
      </c>
      <c r="B1349" s="17" t="s">
        <v>43</v>
      </c>
      <c r="C1349" t="s">
        <v>44</v>
      </c>
      <c r="D1349">
        <v>1213</v>
      </c>
      <c r="E1349" s="17" t="s">
        <v>61</v>
      </c>
      <c r="F1349">
        <v>2</v>
      </c>
      <c r="G1349">
        <v>1</v>
      </c>
      <c r="H1349" t="s">
        <v>61</v>
      </c>
      <c r="I1349">
        <v>1890</v>
      </c>
      <c r="J1349">
        <v>2</v>
      </c>
      <c r="K1349" s="17" t="s">
        <v>46</v>
      </c>
      <c r="L1349">
        <v>94</v>
      </c>
      <c r="M1349">
        <v>2</v>
      </c>
      <c r="N1349">
        <v>2</v>
      </c>
      <c r="O1349" s="17" t="s">
        <v>61</v>
      </c>
      <c r="P1349" s="14">
        <v>4</v>
      </c>
      <c r="Q1349" t="s">
        <v>41</v>
      </c>
      <c r="R1349" s="14">
        <v>3886</v>
      </c>
      <c r="S1349" s="17" t="str">
        <f t="shared" si="42"/>
        <v>medium</v>
      </c>
      <c r="T1349">
        <v>4223</v>
      </c>
      <c r="U1349">
        <v>1</v>
      </c>
      <c r="V1349" s="17" t="s">
        <v>43</v>
      </c>
      <c r="W1349">
        <v>21</v>
      </c>
      <c r="X1349">
        <v>4</v>
      </c>
      <c r="Y1349">
        <v>4</v>
      </c>
      <c r="Z1349">
        <v>0</v>
      </c>
      <c r="AA1349">
        <v>10</v>
      </c>
      <c r="AB1349">
        <v>2</v>
      </c>
      <c r="AC1349">
        <v>2</v>
      </c>
      <c r="AD1349" s="14">
        <v>10</v>
      </c>
      <c r="AE1349" t="str">
        <f t="shared" si="43"/>
        <v>6-10 years</v>
      </c>
      <c r="AF1349" s="14">
        <v>1</v>
      </c>
      <c r="AG1349" s="14">
        <v>0</v>
      </c>
      <c r="AH1349" s="14">
        <v>8</v>
      </c>
    </row>
    <row r="1350" spans="1:34" x14ac:dyDescent="0.3">
      <c r="A1350" s="14">
        <v>40</v>
      </c>
      <c r="B1350" s="17" t="s">
        <v>43</v>
      </c>
      <c r="C1350" t="s">
        <v>36</v>
      </c>
      <c r="D1350">
        <v>1137</v>
      </c>
      <c r="E1350" s="17" t="s">
        <v>45</v>
      </c>
      <c r="F1350">
        <v>1</v>
      </c>
      <c r="G1350">
        <v>4</v>
      </c>
      <c r="H1350" t="s">
        <v>38</v>
      </c>
      <c r="I1350">
        <v>1892</v>
      </c>
      <c r="J1350">
        <v>1</v>
      </c>
      <c r="K1350" s="17" t="s">
        <v>46</v>
      </c>
      <c r="L1350">
        <v>98</v>
      </c>
      <c r="M1350">
        <v>3</v>
      </c>
      <c r="N1350">
        <v>4</v>
      </c>
      <c r="O1350" s="17" t="s">
        <v>56</v>
      </c>
      <c r="P1350" s="14">
        <v>1</v>
      </c>
      <c r="Q1350" t="s">
        <v>52</v>
      </c>
      <c r="R1350" s="14">
        <v>16823</v>
      </c>
      <c r="S1350" s="17" t="str">
        <f t="shared" si="42"/>
        <v>high</v>
      </c>
      <c r="T1350">
        <v>18991</v>
      </c>
      <c r="U1350">
        <v>2</v>
      </c>
      <c r="V1350" s="17" t="s">
        <v>43</v>
      </c>
      <c r="W1350">
        <v>11</v>
      </c>
      <c r="X1350">
        <v>3</v>
      </c>
      <c r="Y1350">
        <v>1</v>
      </c>
      <c r="Z1350">
        <v>1</v>
      </c>
      <c r="AA1350">
        <v>22</v>
      </c>
      <c r="AB1350">
        <v>3</v>
      </c>
      <c r="AC1350">
        <v>3</v>
      </c>
      <c r="AD1350" s="14">
        <v>19</v>
      </c>
      <c r="AE1350" t="str">
        <f t="shared" si="43"/>
        <v>10+ years</v>
      </c>
      <c r="AF1350" s="14">
        <v>7</v>
      </c>
      <c r="AG1350" s="14">
        <v>11</v>
      </c>
      <c r="AH1350" s="14">
        <v>16</v>
      </c>
    </row>
    <row r="1351" spans="1:34" x14ac:dyDescent="0.3">
      <c r="A1351" s="14">
        <v>26</v>
      </c>
      <c r="B1351" s="17" t="s">
        <v>43</v>
      </c>
      <c r="C1351" t="s">
        <v>36</v>
      </c>
      <c r="D1351">
        <v>482</v>
      </c>
      <c r="E1351" s="17" t="s">
        <v>45</v>
      </c>
      <c r="F1351">
        <v>1</v>
      </c>
      <c r="G1351">
        <v>2</v>
      </c>
      <c r="H1351" t="s">
        <v>38</v>
      </c>
      <c r="I1351">
        <v>1893</v>
      </c>
      <c r="J1351">
        <v>2</v>
      </c>
      <c r="K1351" s="17" t="s">
        <v>39</v>
      </c>
      <c r="L1351">
        <v>90</v>
      </c>
      <c r="M1351">
        <v>2</v>
      </c>
      <c r="N1351">
        <v>1</v>
      </c>
      <c r="O1351" s="17" t="s">
        <v>47</v>
      </c>
      <c r="P1351" s="14">
        <v>3</v>
      </c>
      <c r="Q1351" t="s">
        <v>48</v>
      </c>
      <c r="R1351" s="14">
        <v>2933</v>
      </c>
      <c r="S1351" s="17" t="str">
        <f t="shared" si="42"/>
        <v>low</v>
      </c>
      <c r="T1351">
        <v>14908</v>
      </c>
      <c r="U1351">
        <v>1</v>
      </c>
      <c r="V1351" s="17" t="s">
        <v>35</v>
      </c>
      <c r="W1351">
        <v>13</v>
      </c>
      <c r="X1351">
        <v>3</v>
      </c>
      <c r="Y1351">
        <v>3</v>
      </c>
      <c r="Z1351">
        <v>1</v>
      </c>
      <c r="AA1351">
        <v>1</v>
      </c>
      <c r="AB1351">
        <v>3</v>
      </c>
      <c r="AC1351">
        <v>2</v>
      </c>
      <c r="AD1351" s="14">
        <v>1</v>
      </c>
      <c r="AE1351" t="str">
        <f t="shared" si="43"/>
        <v>0-2 years</v>
      </c>
      <c r="AF1351" s="14">
        <v>0</v>
      </c>
      <c r="AG1351" s="14">
        <v>1</v>
      </c>
      <c r="AH1351" s="14">
        <v>0</v>
      </c>
    </row>
    <row r="1352" spans="1:34" x14ac:dyDescent="0.3">
      <c r="A1352" s="14">
        <v>27</v>
      </c>
      <c r="B1352" s="17" t="s">
        <v>43</v>
      </c>
      <c r="C1352" t="s">
        <v>36</v>
      </c>
      <c r="D1352">
        <v>511</v>
      </c>
      <c r="E1352" s="17" t="s">
        <v>37</v>
      </c>
      <c r="F1352">
        <v>2</v>
      </c>
      <c r="G1352">
        <v>2</v>
      </c>
      <c r="H1352" t="s">
        <v>51</v>
      </c>
      <c r="I1352">
        <v>1898</v>
      </c>
      <c r="J1352">
        <v>1</v>
      </c>
      <c r="K1352" s="17" t="s">
        <v>39</v>
      </c>
      <c r="L1352">
        <v>89</v>
      </c>
      <c r="M1352">
        <v>4</v>
      </c>
      <c r="N1352">
        <v>2</v>
      </c>
      <c r="O1352" s="17" t="s">
        <v>40</v>
      </c>
      <c r="P1352" s="14">
        <v>3</v>
      </c>
      <c r="Q1352" t="s">
        <v>41</v>
      </c>
      <c r="R1352" s="14">
        <v>6500</v>
      </c>
      <c r="S1352" s="17" t="str">
        <f t="shared" si="42"/>
        <v>medium</v>
      </c>
      <c r="T1352">
        <v>26997</v>
      </c>
      <c r="U1352">
        <v>0</v>
      </c>
      <c r="V1352" s="17" t="s">
        <v>43</v>
      </c>
      <c r="W1352">
        <v>14</v>
      </c>
      <c r="X1352">
        <v>3</v>
      </c>
      <c r="Y1352">
        <v>2</v>
      </c>
      <c r="Z1352">
        <v>0</v>
      </c>
      <c r="AA1352">
        <v>9</v>
      </c>
      <c r="AB1352">
        <v>5</v>
      </c>
      <c r="AC1352">
        <v>2</v>
      </c>
      <c r="AD1352" s="14">
        <v>8</v>
      </c>
      <c r="AE1352" t="str">
        <f t="shared" si="43"/>
        <v>6-10 years</v>
      </c>
      <c r="AF1352" s="14">
        <v>7</v>
      </c>
      <c r="AG1352" s="14">
        <v>0</v>
      </c>
      <c r="AH1352" s="14">
        <v>7</v>
      </c>
    </row>
    <row r="1353" spans="1:34" x14ac:dyDescent="0.3">
      <c r="A1353" s="14">
        <v>48</v>
      </c>
      <c r="B1353" s="17" t="s">
        <v>43</v>
      </c>
      <c r="C1353" t="s">
        <v>44</v>
      </c>
      <c r="D1353">
        <v>117</v>
      </c>
      <c r="E1353" s="17" t="s">
        <v>45</v>
      </c>
      <c r="F1353">
        <v>22</v>
      </c>
      <c r="G1353">
        <v>3</v>
      </c>
      <c r="H1353" t="s">
        <v>51</v>
      </c>
      <c r="I1353">
        <v>1900</v>
      </c>
      <c r="J1353">
        <v>4</v>
      </c>
      <c r="K1353" s="17" t="s">
        <v>39</v>
      </c>
      <c r="L1353">
        <v>58</v>
      </c>
      <c r="M1353">
        <v>3</v>
      </c>
      <c r="N1353">
        <v>4</v>
      </c>
      <c r="O1353" s="17" t="s">
        <v>56</v>
      </c>
      <c r="P1353" s="14">
        <v>4</v>
      </c>
      <c r="Q1353" t="s">
        <v>52</v>
      </c>
      <c r="R1353" s="14">
        <v>17174</v>
      </c>
      <c r="S1353" s="17" t="str">
        <f t="shared" si="42"/>
        <v>high</v>
      </c>
      <c r="T1353">
        <v>2437</v>
      </c>
      <c r="U1353">
        <v>3</v>
      </c>
      <c r="V1353" s="17" t="s">
        <v>43</v>
      </c>
      <c r="W1353">
        <v>11</v>
      </c>
      <c r="X1353">
        <v>3</v>
      </c>
      <c r="Y1353">
        <v>2</v>
      </c>
      <c r="Z1353">
        <v>1</v>
      </c>
      <c r="AA1353">
        <v>24</v>
      </c>
      <c r="AB1353">
        <v>3</v>
      </c>
      <c r="AC1353">
        <v>3</v>
      </c>
      <c r="AD1353" s="14">
        <v>22</v>
      </c>
      <c r="AE1353" t="str">
        <f t="shared" si="43"/>
        <v>10+ years</v>
      </c>
      <c r="AF1353" s="14">
        <v>17</v>
      </c>
      <c r="AG1353" s="14">
        <v>4</v>
      </c>
      <c r="AH1353" s="14">
        <v>7</v>
      </c>
    </row>
    <row r="1354" spans="1:34" x14ac:dyDescent="0.3">
      <c r="A1354" s="14">
        <v>44</v>
      </c>
      <c r="B1354" s="17" t="s">
        <v>43</v>
      </c>
      <c r="C1354" t="s">
        <v>36</v>
      </c>
      <c r="D1354">
        <v>170</v>
      </c>
      <c r="E1354" s="17" t="s">
        <v>45</v>
      </c>
      <c r="F1354">
        <v>1</v>
      </c>
      <c r="G1354">
        <v>4</v>
      </c>
      <c r="H1354" t="s">
        <v>38</v>
      </c>
      <c r="I1354">
        <v>1903</v>
      </c>
      <c r="J1354">
        <v>2</v>
      </c>
      <c r="K1354" s="17" t="s">
        <v>46</v>
      </c>
      <c r="L1354">
        <v>78</v>
      </c>
      <c r="M1354">
        <v>4</v>
      </c>
      <c r="N1354">
        <v>2</v>
      </c>
      <c r="O1354" s="17" t="s">
        <v>54</v>
      </c>
      <c r="P1354" s="14">
        <v>1</v>
      </c>
      <c r="Q1354" t="s">
        <v>48</v>
      </c>
      <c r="R1354" s="14">
        <v>5033</v>
      </c>
      <c r="S1354" s="17" t="str">
        <f t="shared" si="42"/>
        <v>medium</v>
      </c>
      <c r="T1354">
        <v>9364</v>
      </c>
      <c r="U1354">
        <v>2</v>
      </c>
      <c r="V1354" s="17" t="s">
        <v>43</v>
      </c>
      <c r="W1354">
        <v>15</v>
      </c>
      <c r="X1354">
        <v>3</v>
      </c>
      <c r="Y1354">
        <v>4</v>
      </c>
      <c r="Z1354">
        <v>1</v>
      </c>
      <c r="AA1354">
        <v>10</v>
      </c>
      <c r="AB1354">
        <v>5</v>
      </c>
      <c r="AC1354">
        <v>3</v>
      </c>
      <c r="AD1354" s="14">
        <v>2</v>
      </c>
      <c r="AE1354" t="str">
        <f t="shared" si="43"/>
        <v>0-2 years</v>
      </c>
      <c r="AF1354" s="14">
        <v>0</v>
      </c>
      <c r="AG1354" s="14">
        <v>2</v>
      </c>
      <c r="AH1354" s="14">
        <v>2</v>
      </c>
    </row>
    <row r="1355" spans="1:34" x14ac:dyDescent="0.3">
      <c r="A1355" s="14">
        <v>34</v>
      </c>
      <c r="B1355" s="17" t="s">
        <v>35</v>
      </c>
      <c r="C1355" t="s">
        <v>55</v>
      </c>
      <c r="D1355">
        <v>967</v>
      </c>
      <c r="E1355" s="17" t="s">
        <v>45</v>
      </c>
      <c r="F1355">
        <v>16</v>
      </c>
      <c r="G1355">
        <v>4</v>
      </c>
      <c r="H1355" t="s">
        <v>60</v>
      </c>
      <c r="I1355">
        <v>1905</v>
      </c>
      <c r="J1355">
        <v>4</v>
      </c>
      <c r="K1355" s="17" t="s">
        <v>46</v>
      </c>
      <c r="L1355">
        <v>85</v>
      </c>
      <c r="M1355">
        <v>1</v>
      </c>
      <c r="N1355">
        <v>1</v>
      </c>
      <c r="O1355" s="17" t="s">
        <v>47</v>
      </c>
      <c r="P1355" s="14">
        <v>1</v>
      </c>
      <c r="Q1355" t="s">
        <v>48</v>
      </c>
      <c r="R1355" s="14">
        <v>2307</v>
      </c>
      <c r="S1355" s="17" t="str">
        <f t="shared" si="42"/>
        <v>low</v>
      </c>
      <c r="T1355">
        <v>14460</v>
      </c>
      <c r="U1355">
        <v>1</v>
      </c>
      <c r="V1355" s="17" t="s">
        <v>35</v>
      </c>
      <c r="W1355">
        <v>23</v>
      </c>
      <c r="X1355">
        <v>4</v>
      </c>
      <c r="Y1355">
        <v>2</v>
      </c>
      <c r="Z1355">
        <v>1</v>
      </c>
      <c r="AA1355">
        <v>5</v>
      </c>
      <c r="AB1355">
        <v>2</v>
      </c>
      <c r="AC1355">
        <v>3</v>
      </c>
      <c r="AD1355" s="14">
        <v>5</v>
      </c>
      <c r="AE1355" t="str">
        <f t="shared" si="43"/>
        <v>3-5 years</v>
      </c>
      <c r="AF1355" s="14">
        <v>2</v>
      </c>
      <c r="AG1355" s="14">
        <v>3</v>
      </c>
      <c r="AH1355" s="14">
        <v>0</v>
      </c>
    </row>
    <row r="1356" spans="1:34" x14ac:dyDescent="0.3">
      <c r="A1356" s="14">
        <v>56</v>
      </c>
      <c r="B1356" s="17" t="s">
        <v>35</v>
      </c>
      <c r="C1356" t="s">
        <v>36</v>
      </c>
      <c r="D1356">
        <v>1162</v>
      </c>
      <c r="E1356" s="17" t="s">
        <v>45</v>
      </c>
      <c r="F1356">
        <v>24</v>
      </c>
      <c r="G1356">
        <v>2</v>
      </c>
      <c r="H1356" t="s">
        <v>38</v>
      </c>
      <c r="I1356">
        <v>1907</v>
      </c>
      <c r="J1356">
        <v>1</v>
      </c>
      <c r="K1356" s="17" t="s">
        <v>46</v>
      </c>
      <c r="L1356">
        <v>97</v>
      </c>
      <c r="M1356">
        <v>3</v>
      </c>
      <c r="N1356">
        <v>1</v>
      </c>
      <c r="O1356" s="17" t="s">
        <v>50</v>
      </c>
      <c r="P1356" s="14">
        <v>4</v>
      </c>
      <c r="Q1356" t="s">
        <v>41</v>
      </c>
      <c r="R1356" s="14">
        <v>2587</v>
      </c>
      <c r="S1356" s="17" t="str">
        <f t="shared" si="42"/>
        <v>low</v>
      </c>
      <c r="T1356">
        <v>10261</v>
      </c>
      <c r="U1356">
        <v>1</v>
      </c>
      <c r="V1356" s="17" t="s">
        <v>43</v>
      </c>
      <c r="W1356">
        <v>16</v>
      </c>
      <c r="X1356">
        <v>3</v>
      </c>
      <c r="Y1356">
        <v>4</v>
      </c>
      <c r="Z1356">
        <v>0</v>
      </c>
      <c r="AA1356">
        <v>5</v>
      </c>
      <c r="AB1356">
        <v>3</v>
      </c>
      <c r="AC1356">
        <v>3</v>
      </c>
      <c r="AD1356" s="14">
        <v>4</v>
      </c>
      <c r="AE1356" t="str">
        <f t="shared" si="43"/>
        <v>3-5 years</v>
      </c>
      <c r="AF1356" s="14">
        <v>2</v>
      </c>
      <c r="AG1356" s="14">
        <v>1</v>
      </c>
      <c r="AH1356" s="14">
        <v>0</v>
      </c>
    </row>
    <row r="1357" spans="1:34" x14ac:dyDescent="0.3">
      <c r="A1357" s="14">
        <v>36</v>
      </c>
      <c r="B1357" s="17" t="s">
        <v>43</v>
      </c>
      <c r="C1357" t="s">
        <v>36</v>
      </c>
      <c r="D1357">
        <v>335</v>
      </c>
      <c r="E1357" s="17" t="s">
        <v>37</v>
      </c>
      <c r="F1357">
        <v>17</v>
      </c>
      <c r="G1357">
        <v>2</v>
      </c>
      <c r="H1357" t="s">
        <v>59</v>
      </c>
      <c r="I1357">
        <v>1908</v>
      </c>
      <c r="J1357">
        <v>3</v>
      </c>
      <c r="K1357" s="17" t="s">
        <v>46</v>
      </c>
      <c r="L1357">
        <v>33</v>
      </c>
      <c r="M1357">
        <v>2</v>
      </c>
      <c r="N1357">
        <v>2</v>
      </c>
      <c r="O1357" s="17" t="s">
        <v>40</v>
      </c>
      <c r="P1357" s="14">
        <v>2</v>
      </c>
      <c r="Q1357" t="s">
        <v>48</v>
      </c>
      <c r="R1357" s="14">
        <v>5507</v>
      </c>
      <c r="S1357" s="17" t="str">
        <f t="shared" si="42"/>
        <v>medium</v>
      </c>
      <c r="T1357">
        <v>16822</v>
      </c>
      <c r="U1357">
        <v>2</v>
      </c>
      <c r="V1357" s="17" t="s">
        <v>43</v>
      </c>
      <c r="W1357">
        <v>16</v>
      </c>
      <c r="X1357">
        <v>3</v>
      </c>
      <c r="Y1357">
        <v>3</v>
      </c>
      <c r="Z1357">
        <v>2</v>
      </c>
      <c r="AA1357">
        <v>12</v>
      </c>
      <c r="AB1357">
        <v>1</v>
      </c>
      <c r="AC1357">
        <v>1</v>
      </c>
      <c r="AD1357" s="14">
        <v>4</v>
      </c>
      <c r="AE1357" t="str">
        <f t="shared" si="43"/>
        <v>3-5 years</v>
      </c>
      <c r="AF1357" s="14">
        <v>2</v>
      </c>
      <c r="AG1357" s="14">
        <v>1</v>
      </c>
      <c r="AH1357" s="14">
        <v>3</v>
      </c>
    </row>
    <row r="1358" spans="1:34" x14ac:dyDescent="0.3">
      <c r="A1358" s="14">
        <v>41</v>
      </c>
      <c r="B1358" s="17" t="s">
        <v>43</v>
      </c>
      <c r="C1358" t="s">
        <v>36</v>
      </c>
      <c r="D1358">
        <v>337</v>
      </c>
      <c r="E1358" s="17" t="s">
        <v>37</v>
      </c>
      <c r="F1358">
        <v>8</v>
      </c>
      <c r="G1358">
        <v>3</v>
      </c>
      <c r="H1358" t="s">
        <v>59</v>
      </c>
      <c r="I1358">
        <v>1909</v>
      </c>
      <c r="J1358">
        <v>3</v>
      </c>
      <c r="K1358" s="17" t="s">
        <v>39</v>
      </c>
      <c r="L1358">
        <v>54</v>
      </c>
      <c r="M1358">
        <v>3</v>
      </c>
      <c r="N1358">
        <v>2</v>
      </c>
      <c r="O1358" s="17" t="s">
        <v>40</v>
      </c>
      <c r="P1358" s="14">
        <v>2</v>
      </c>
      <c r="Q1358" t="s">
        <v>48</v>
      </c>
      <c r="R1358" s="14">
        <v>4393</v>
      </c>
      <c r="S1358" s="17" t="str">
        <f t="shared" si="42"/>
        <v>medium</v>
      </c>
      <c r="T1358">
        <v>26841</v>
      </c>
      <c r="U1358">
        <v>5</v>
      </c>
      <c r="V1358" s="17" t="s">
        <v>43</v>
      </c>
      <c r="W1358">
        <v>21</v>
      </c>
      <c r="X1358">
        <v>4</v>
      </c>
      <c r="Y1358">
        <v>3</v>
      </c>
      <c r="Z1358">
        <v>1</v>
      </c>
      <c r="AA1358">
        <v>14</v>
      </c>
      <c r="AB1358">
        <v>3</v>
      </c>
      <c r="AC1358">
        <v>3</v>
      </c>
      <c r="AD1358" s="14">
        <v>5</v>
      </c>
      <c r="AE1358" t="str">
        <f t="shared" si="43"/>
        <v>3-5 years</v>
      </c>
      <c r="AF1358" s="14">
        <v>4</v>
      </c>
      <c r="AG1358" s="14">
        <v>1</v>
      </c>
      <c r="AH1358" s="14">
        <v>4</v>
      </c>
    </row>
    <row r="1359" spans="1:34" x14ac:dyDescent="0.3">
      <c r="A1359" s="14">
        <v>42</v>
      </c>
      <c r="B1359" s="17" t="s">
        <v>43</v>
      </c>
      <c r="C1359" t="s">
        <v>36</v>
      </c>
      <c r="D1359">
        <v>1396</v>
      </c>
      <c r="E1359" s="17" t="s">
        <v>45</v>
      </c>
      <c r="F1359">
        <v>6</v>
      </c>
      <c r="G1359">
        <v>3</v>
      </c>
      <c r="H1359" t="s">
        <v>51</v>
      </c>
      <c r="I1359">
        <v>1911</v>
      </c>
      <c r="J1359">
        <v>3</v>
      </c>
      <c r="K1359" s="17" t="s">
        <v>46</v>
      </c>
      <c r="L1359">
        <v>83</v>
      </c>
      <c r="M1359">
        <v>3</v>
      </c>
      <c r="N1359">
        <v>3</v>
      </c>
      <c r="O1359" s="17" t="s">
        <v>58</v>
      </c>
      <c r="P1359" s="14">
        <v>1</v>
      </c>
      <c r="Q1359" t="s">
        <v>48</v>
      </c>
      <c r="R1359" s="14">
        <v>13348</v>
      </c>
      <c r="S1359" s="17" t="str">
        <f t="shared" si="42"/>
        <v>high</v>
      </c>
      <c r="T1359">
        <v>14842</v>
      </c>
      <c r="U1359">
        <v>9</v>
      </c>
      <c r="V1359" s="17" t="s">
        <v>43</v>
      </c>
      <c r="W1359">
        <v>13</v>
      </c>
      <c r="X1359">
        <v>3</v>
      </c>
      <c r="Y1359">
        <v>2</v>
      </c>
      <c r="Z1359">
        <v>1</v>
      </c>
      <c r="AA1359">
        <v>18</v>
      </c>
      <c r="AB1359">
        <v>3</v>
      </c>
      <c r="AC1359">
        <v>4</v>
      </c>
      <c r="AD1359" s="14">
        <v>13</v>
      </c>
      <c r="AE1359" t="str">
        <f t="shared" si="43"/>
        <v>10+ years</v>
      </c>
      <c r="AF1359" s="14">
        <v>7</v>
      </c>
      <c r="AG1359" s="14">
        <v>5</v>
      </c>
      <c r="AH1359" s="14">
        <v>7</v>
      </c>
    </row>
    <row r="1360" spans="1:34" x14ac:dyDescent="0.3">
      <c r="A1360" s="14">
        <v>31</v>
      </c>
      <c r="B1360" s="17" t="s">
        <v>43</v>
      </c>
      <c r="C1360" t="s">
        <v>36</v>
      </c>
      <c r="D1360">
        <v>1079</v>
      </c>
      <c r="E1360" s="17" t="s">
        <v>37</v>
      </c>
      <c r="F1360">
        <v>10</v>
      </c>
      <c r="G1360">
        <v>2</v>
      </c>
      <c r="H1360" t="s">
        <v>51</v>
      </c>
      <c r="I1360">
        <v>1912</v>
      </c>
      <c r="J1360">
        <v>3</v>
      </c>
      <c r="K1360" s="17" t="s">
        <v>39</v>
      </c>
      <c r="L1360">
        <v>86</v>
      </c>
      <c r="M1360">
        <v>3</v>
      </c>
      <c r="N1360">
        <v>2</v>
      </c>
      <c r="O1360" s="17" t="s">
        <v>40</v>
      </c>
      <c r="P1360" s="14">
        <v>4</v>
      </c>
      <c r="Q1360" t="s">
        <v>52</v>
      </c>
      <c r="R1360" s="14">
        <v>6583</v>
      </c>
      <c r="S1360" s="17" t="str">
        <f t="shared" si="42"/>
        <v>medium</v>
      </c>
      <c r="T1360">
        <v>20115</v>
      </c>
      <c r="U1360">
        <v>2</v>
      </c>
      <c r="V1360" s="17" t="s">
        <v>35</v>
      </c>
      <c r="W1360">
        <v>11</v>
      </c>
      <c r="X1360">
        <v>3</v>
      </c>
      <c r="Y1360">
        <v>4</v>
      </c>
      <c r="Z1360">
        <v>1</v>
      </c>
      <c r="AA1360">
        <v>8</v>
      </c>
      <c r="AB1360">
        <v>2</v>
      </c>
      <c r="AC1360">
        <v>3</v>
      </c>
      <c r="AD1360" s="14">
        <v>5</v>
      </c>
      <c r="AE1360" t="str">
        <f t="shared" si="43"/>
        <v>3-5 years</v>
      </c>
      <c r="AF1360" s="14">
        <v>2</v>
      </c>
      <c r="AG1360" s="14">
        <v>1</v>
      </c>
      <c r="AH1360" s="14">
        <v>4</v>
      </c>
    </row>
    <row r="1361" spans="1:34" x14ac:dyDescent="0.3">
      <c r="A1361" s="14">
        <v>34</v>
      </c>
      <c r="B1361" s="17" t="s">
        <v>43</v>
      </c>
      <c r="C1361" t="s">
        <v>36</v>
      </c>
      <c r="D1361">
        <v>735</v>
      </c>
      <c r="E1361" s="17" t="s">
        <v>37</v>
      </c>
      <c r="F1361">
        <v>3</v>
      </c>
      <c r="G1361">
        <v>1</v>
      </c>
      <c r="H1361" t="s">
        <v>51</v>
      </c>
      <c r="I1361">
        <v>1915</v>
      </c>
      <c r="J1361">
        <v>4</v>
      </c>
      <c r="K1361" s="17" t="s">
        <v>39</v>
      </c>
      <c r="L1361">
        <v>75</v>
      </c>
      <c r="M1361">
        <v>2</v>
      </c>
      <c r="N1361">
        <v>2</v>
      </c>
      <c r="O1361" s="17" t="s">
        <v>40</v>
      </c>
      <c r="P1361" s="14">
        <v>4</v>
      </c>
      <c r="Q1361" t="s">
        <v>48</v>
      </c>
      <c r="R1361" s="14">
        <v>8103</v>
      </c>
      <c r="S1361" s="17" t="str">
        <f t="shared" si="42"/>
        <v>high</v>
      </c>
      <c r="T1361">
        <v>16495</v>
      </c>
      <c r="U1361">
        <v>3</v>
      </c>
      <c r="V1361" s="17" t="s">
        <v>35</v>
      </c>
      <c r="W1361">
        <v>12</v>
      </c>
      <c r="X1361">
        <v>3</v>
      </c>
      <c r="Y1361">
        <v>3</v>
      </c>
      <c r="Z1361">
        <v>0</v>
      </c>
      <c r="AA1361">
        <v>9</v>
      </c>
      <c r="AB1361">
        <v>3</v>
      </c>
      <c r="AC1361">
        <v>2</v>
      </c>
      <c r="AD1361" s="14">
        <v>4</v>
      </c>
      <c r="AE1361" t="str">
        <f t="shared" si="43"/>
        <v>3-5 years</v>
      </c>
      <c r="AF1361" s="14">
        <v>2</v>
      </c>
      <c r="AG1361" s="14">
        <v>0</v>
      </c>
      <c r="AH1361" s="14">
        <v>1</v>
      </c>
    </row>
    <row r="1362" spans="1:34" x14ac:dyDescent="0.3">
      <c r="A1362" s="14">
        <v>31</v>
      </c>
      <c r="B1362" s="17" t="s">
        <v>43</v>
      </c>
      <c r="C1362" t="s">
        <v>36</v>
      </c>
      <c r="D1362">
        <v>471</v>
      </c>
      <c r="E1362" s="17" t="s">
        <v>45</v>
      </c>
      <c r="F1362">
        <v>4</v>
      </c>
      <c r="G1362">
        <v>3</v>
      </c>
      <c r="H1362" t="s">
        <v>51</v>
      </c>
      <c r="I1362">
        <v>1916</v>
      </c>
      <c r="J1362">
        <v>1</v>
      </c>
      <c r="K1362" s="17" t="s">
        <v>39</v>
      </c>
      <c r="L1362">
        <v>62</v>
      </c>
      <c r="M1362">
        <v>4</v>
      </c>
      <c r="N1362">
        <v>1</v>
      </c>
      <c r="O1362" s="17" t="s">
        <v>50</v>
      </c>
      <c r="P1362" s="14">
        <v>3</v>
      </c>
      <c r="Q1362" t="s">
        <v>52</v>
      </c>
      <c r="R1362" s="14">
        <v>3978</v>
      </c>
      <c r="S1362" s="17" t="str">
        <f t="shared" si="42"/>
        <v>medium</v>
      </c>
      <c r="T1362">
        <v>16031</v>
      </c>
      <c r="U1362">
        <v>8</v>
      </c>
      <c r="V1362" s="17" t="s">
        <v>43</v>
      </c>
      <c r="W1362">
        <v>12</v>
      </c>
      <c r="X1362">
        <v>3</v>
      </c>
      <c r="Y1362">
        <v>2</v>
      </c>
      <c r="Z1362">
        <v>1</v>
      </c>
      <c r="AA1362">
        <v>4</v>
      </c>
      <c r="AB1362">
        <v>0</v>
      </c>
      <c r="AC1362">
        <v>2</v>
      </c>
      <c r="AD1362" s="14">
        <v>2</v>
      </c>
      <c r="AE1362" t="str">
        <f t="shared" si="43"/>
        <v>0-2 years</v>
      </c>
      <c r="AF1362" s="14">
        <v>2</v>
      </c>
      <c r="AG1362" s="14">
        <v>2</v>
      </c>
      <c r="AH1362" s="14">
        <v>2</v>
      </c>
    </row>
    <row r="1363" spans="1:34" x14ac:dyDescent="0.3">
      <c r="A1363" s="14">
        <v>26</v>
      </c>
      <c r="B1363" s="17" t="s">
        <v>43</v>
      </c>
      <c r="C1363" t="s">
        <v>44</v>
      </c>
      <c r="D1363">
        <v>1096</v>
      </c>
      <c r="E1363" s="17" t="s">
        <v>45</v>
      </c>
      <c r="F1363">
        <v>6</v>
      </c>
      <c r="G1363">
        <v>3</v>
      </c>
      <c r="H1363" t="s">
        <v>49</v>
      </c>
      <c r="I1363">
        <v>1918</v>
      </c>
      <c r="J1363">
        <v>3</v>
      </c>
      <c r="K1363" s="17" t="s">
        <v>46</v>
      </c>
      <c r="L1363">
        <v>61</v>
      </c>
      <c r="M1363">
        <v>4</v>
      </c>
      <c r="N1363">
        <v>1</v>
      </c>
      <c r="O1363" s="17" t="s">
        <v>50</v>
      </c>
      <c r="P1363" s="14">
        <v>4</v>
      </c>
      <c r="Q1363" t="s">
        <v>48</v>
      </c>
      <c r="R1363" s="14">
        <v>2544</v>
      </c>
      <c r="S1363" s="17" t="str">
        <f t="shared" si="42"/>
        <v>low</v>
      </c>
      <c r="T1363">
        <v>7102</v>
      </c>
      <c r="U1363">
        <v>0</v>
      </c>
      <c r="V1363" s="17" t="s">
        <v>43</v>
      </c>
      <c r="W1363">
        <v>18</v>
      </c>
      <c r="X1363">
        <v>3</v>
      </c>
      <c r="Y1363">
        <v>1</v>
      </c>
      <c r="Z1363">
        <v>1</v>
      </c>
      <c r="AA1363">
        <v>8</v>
      </c>
      <c r="AB1363">
        <v>3</v>
      </c>
      <c r="AC1363">
        <v>3</v>
      </c>
      <c r="AD1363" s="14">
        <v>7</v>
      </c>
      <c r="AE1363" t="str">
        <f t="shared" si="43"/>
        <v>6-10 years</v>
      </c>
      <c r="AF1363" s="14">
        <v>7</v>
      </c>
      <c r="AG1363" s="14">
        <v>7</v>
      </c>
      <c r="AH1363" s="14">
        <v>7</v>
      </c>
    </row>
    <row r="1364" spans="1:34" x14ac:dyDescent="0.3">
      <c r="A1364" s="14">
        <v>45</v>
      </c>
      <c r="B1364" s="17" t="s">
        <v>43</v>
      </c>
      <c r="C1364" t="s">
        <v>44</v>
      </c>
      <c r="D1364">
        <v>1297</v>
      </c>
      <c r="E1364" s="17" t="s">
        <v>45</v>
      </c>
      <c r="F1364">
        <v>1</v>
      </c>
      <c r="G1364">
        <v>4</v>
      </c>
      <c r="H1364" t="s">
        <v>51</v>
      </c>
      <c r="I1364">
        <v>1922</v>
      </c>
      <c r="J1364">
        <v>2</v>
      </c>
      <c r="K1364" s="17" t="s">
        <v>46</v>
      </c>
      <c r="L1364">
        <v>44</v>
      </c>
      <c r="M1364">
        <v>3</v>
      </c>
      <c r="N1364">
        <v>2</v>
      </c>
      <c r="O1364" s="17" t="s">
        <v>54</v>
      </c>
      <c r="P1364" s="14">
        <v>3</v>
      </c>
      <c r="Q1364" t="s">
        <v>41</v>
      </c>
      <c r="R1364" s="14">
        <v>5399</v>
      </c>
      <c r="S1364" s="17" t="str">
        <f t="shared" si="42"/>
        <v>medium</v>
      </c>
      <c r="T1364">
        <v>14511</v>
      </c>
      <c r="U1364">
        <v>4</v>
      </c>
      <c r="V1364" s="17" t="s">
        <v>43</v>
      </c>
      <c r="W1364">
        <v>12</v>
      </c>
      <c r="X1364">
        <v>3</v>
      </c>
      <c r="Y1364">
        <v>3</v>
      </c>
      <c r="Z1364">
        <v>0</v>
      </c>
      <c r="AA1364">
        <v>12</v>
      </c>
      <c r="AB1364">
        <v>3</v>
      </c>
      <c r="AC1364">
        <v>3</v>
      </c>
      <c r="AD1364" s="14">
        <v>4</v>
      </c>
      <c r="AE1364" t="str">
        <f t="shared" si="43"/>
        <v>3-5 years</v>
      </c>
      <c r="AF1364" s="14">
        <v>2</v>
      </c>
      <c r="AG1364" s="14">
        <v>0</v>
      </c>
      <c r="AH1364" s="14">
        <v>3</v>
      </c>
    </row>
    <row r="1365" spans="1:34" x14ac:dyDescent="0.3">
      <c r="A1365" s="14">
        <v>33</v>
      </c>
      <c r="B1365" s="17" t="s">
        <v>43</v>
      </c>
      <c r="C1365" t="s">
        <v>36</v>
      </c>
      <c r="D1365">
        <v>217</v>
      </c>
      <c r="E1365" s="17" t="s">
        <v>37</v>
      </c>
      <c r="F1365">
        <v>10</v>
      </c>
      <c r="G1365">
        <v>4</v>
      </c>
      <c r="H1365" t="s">
        <v>59</v>
      </c>
      <c r="I1365">
        <v>1924</v>
      </c>
      <c r="J1365">
        <v>2</v>
      </c>
      <c r="K1365" s="17" t="s">
        <v>46</v>
      </c>
      <c r="L1365">
        <v>43</v>
      </c>
      <c r="M1365">
        <v>3</v>
      </c>
      <c r="N1365">
        <v>2</v>
      </c>
      <c r="O1365" s="17" t="s">
        <v>40</v>
      </c>
      <c r="P1365" s="14">
        <v>3</v>
      </c>
      <c r="Q1365" t="s">
        <v>41</v>
      </c>
      <c r="R1365" s="14">
        <v>5487</v>
      </c>
      <c r="S1365" s="17" t="str">
        <f t="shared" si="42"/>
        <v>medium</v>
      </c>
      <c r="T1365">
        <v>10410</v>
      </c>
      <c r="U1365">
        <v>1</v>
      </c>
      <c r="V1365" s="17" t="s">
        <v>43</v>
      </c>
      <c r="W1365">
        <v>14</v>
      </c>
      <c r="X1365">
        <v>3</v>
      </c>
      <c r="Y1365">
        <v>2</v>
      </c>
      <c r="Z1365">
        <v>0</v>
      </c>
      <c r="AA1365">
        <v>10</v>
      </c>
      <c r="AB1365">
        <v>2</v>
      </c>
      <c r="AC1365">
        <v>2</v>
      </c>
      <c r="AD1365" s="14">
        <v>10</v>
      </c>
      <c r="AE1365" t="str">
        <f t="shared" si="43"/>
        <v>6-10 years</v>
      </c>
      <c r="AF1365" s="14">
        <v>4</v>
      </c>
      <c r="AG1365" s="14">
        <v>0</v>
      </c>
      <c r="AH1365" s="14">
        <v>9</v>
      </c>
    </row>
    <row r="1366" spans="1:34" x14ac:dyDescent="0.3">
      <c r="A1366" s="14">
        <v>28</v>
      </c>
      <c r="B1366" s="17" t="s">
        <v>43</v>
      </c>
      <c r="C1366" t="s">
        <v>44</v>
      </c>
      <c r="D1366">
        <v>783</v>
      </c>
      <c r="E1366" s="17" t="s">
        <v>37</v>
      </c>
      <c r="F1366">
        <v>1</v>
      </c>
      <c r="G1366">
        <v>2</v>
      </c>
      <c r="H1366" t="s">
        <v>38</v>
      </c>
      <c r="I1366">
        <v>1927</v>
      </c>
      <c r="J1366">
        <v>3</v>
      </c>
      <c r="K1366" s="17" t="s">
        <v>46</v>
      </c>
      <c r="L1366">
        <v>42</v>
      </c>
      <c r="M1366">
        <v>2</v>
      </c>
      <c r="N1366">
        <v>2</v>
      </c>
      <c r="O1366" s="17" t="s">
        <v>40</v>
      </c>
      <c r="P1366" s="14">
        <v>4</v>
      </c>
      <c r="Q1366" t="s">
        <v>48</v>
      </c>
      <c r="R1366" s="14">
        <v>6834</v>
      </c>
      <c r="S1366" s="17" t="str">
        <f t="shared" si="42"/>
        <v>medium</v>
      </c>
      <c r="T1366">
        <v>19255</v>
      </c>
      <c r="U1366">
        <v>1</v>
      </c>
      <c r="V1366" s="17" t="s">
        <v>35</v>
      </c>
      <c r="W1366">
        <v>12</v>
      </c>
      <c r="X1366">
        <v>3</v>
      </c>
      <c r="Y1366">
        <v>3</v>
      </c>
      <c r="Z1366">
        <v>1</v>
      </c>
      <c r="AA1366">
        <v>7</v>
      </c>
      <c r="AB1366">
        <v>2</v>
      </c>
      <c r="AC1366">
        <v>3</v>
      </c>
      <c r="AD1366" s="14">
        <v>7</v>
      </c>
      <c r="AE1366" t="str">
        <f t="shared" si="43"/>
        <v>6-10 years</v>
      </c>
      <c r="AF1366" s="14">
        <v>7</v>
      </c>
      <c r="AG1366" s="14">
        <v>0</v>
      </c>
      <c r="AH1366" s="14">
        <v>7</v>
      </c>
    </row>
    <row r="1367" spans="1:34" x14ac:dyDescent="0.3">
      <c r="A1367" s="14">
        <v>29</v>
      </c>
      <c r="B1367" s="17" t="s">
        <v>35</v>
      </c>
      <c r="C1367" t="s">
        <v>44</v>
      </c>
      <c r="D1367">
        <v>746</v>
      </c>
      <c r="E1367" s="17" t="s">
        <v>37</v>
      </c>
      <c r="F1367">
        <v>24</v>
      </c>
      <c r="G1367">
        <v>3</v>
      </c>
      <c r="H1367" t="s">
        <v>60</v>
      </c>
      <c r="I1367">
        <v>1928</v>
      </c>
      <c r="J1367">
        <v>3</v>
      </c>
      <c r="K1367" s="17" t="s">
        <v>46</v>
      </c>
      <c r="L1367">
        <v>45</v>
      </c>
      <c r="M1367">
        <v>4</v>
      </c>
      <c r="N1367">
        <v>1</v>
      </c>
      <c r="O1367" s="17" t="s">
        <v>57</v>
      </c>
      <c r="P1367" s="14">
        <v>1</v>
      </c>
      <c r="Q1367" t="s">
        <v>41</v>
      </c>
      <c r="R1367" s="14">
        <v>1091</v>
      </c>
      <c r="S1367" s="17" t="str">
        <f t="shared" si="42"/>
        <v>low</v>
      </c>
      <c r="T1367">
        <v>10642</v>
      </c>
      <c r="U1367">
        <v>1</v>
      </c>
      <c r="V1367" s="17" t="s">
        <v>43</v>
      </c>
      <c r="W1367">
        <v>17</v>
      </c>
      <c r="X1367">
        <v>3</v>
      </c>
      <c r="Y1367">
        <v>4</v>
      </c>
      <c r="Z1367">
        <v>0</v>
      </c>
      <c r="AA1367">
        <v>1</v>
      </c>
      <c r="AB1367">
        <v>3</v>
      </c>
      <c r="AC1367">
        <v>3</v>
      </c>
      <c r="AD1367" s="14">
        <v>1</v>
      </c>
      <c r="AE1367" t="str">
        <f t="shared" si="43"/>
        <v>0-2 years</v>
      </c>
      <c r="AF1367" s="14">
        <v>0</v>
      </c>
      <c r="AG1367" s="14">
        <v>0</v>
      </c>
      <c r="AH1367" s="14">
        <v>0</v>
      </c>
    </row>
    <row r="1368" spans="1:34" x14ac:dyDescent="0.3">
      <c r="A1368" s="14">
        <v>39</v>
      </c>
      <c r="B1368" s="17" t="s">
        <v>43</v>
      </c>
      <c r="C1368" t="s">
        <v>55</v>
      </c>
      <c r="D1368">
        <v>1251</v>
      </c>
      <c r="E1368" s="17" t="s">
        <v>37</v>
      </c>
      <c r="F1368">
        <v>21</v>
      </c>
      <c r="G1368">
        <v>4</v>
      </c>
      <c r="H1368" t="s">
        <v>38</v>
      </c>
      <c r="I1368">
        <v>1929</v>
      </c>
      <c r="J1368">
        <v>1</v>
      </c>
      <c r="K1368" s="17" t="s">
        <v>39</v>
      </c>
      <c r="L1368">
        <v>32</v>
      </c>
      <c r="M1368">
        <v>1</v>
      </c>
      <c r="N1368">
        <v>2</v>
      </c>
      <c r="O1368" s="17" t="s">
        <v>40</v>
      </c>
      <c r="P1368" s="14">
        <v>3</v>
      </c>
      <c r="Q1368" t="s">
        <v>48</v>
      </c>
      <c r="R1368" s="14">
        <v>5736</v>
      </c>
      <c r="S1368" s="17" t="str">
        <f t="shared" si="42"/>
        <v>medium</v>
      </c>
      <c r="T1368">
        <v>3987</v>
      </c>
      <c r="U1368">
        <v>6</v>
      </c>
      <c r="V1368" s="17" t="s">
        <v>43</v>
      </c>
      <c r="W1368">
        <v>19</v>
      </c>
      <c r="X1368">
        <v>3</v>
      </c>
      <c r="Y1368">
        <v>3</v>
      </c>
      <c r="Z1368">
        <v>1</v>
      </c>
      <c r="AA1368">
        <v>10</v>
      </c>
      <c r="AB1368">
        <v>1</v>
      </c>
      <c r="AC1368">
        <v>3</v>
      </c>
      <c r="AD1368" s="14">
        <v>3</v>
      </c>
      <c r="AE1368" t="str">
        <f t="shared" si="43"/>
        <v>3-5 years</v>
      </c>
      <c r="AF1368" s="14">
        <v>2</v>
      </c>
      <c r="AG1368" s="14">
        <v>1</v>
      </c>
      <c r="AH1368" s="14">
        <v>2</v>
      </c>
    </row>
    <row r="1369" spans="1:34" x14ac:dyDescent="0.3">
      <c r="A1369" s="14">
        <v>27</v>
      </c>
      <c r="B1369" s="17" t="s">
        <v>43</v>
      </c>
      <c r="C1369" t="s">
        <v>36</v>
      </c>
      <c r="D1369">
        <v>1354</v>
      </c>
      <c r="E1369" s="17" t="s">
        <v>45</v>
      </c>
      <c r="F1369">
        <v>2</v>
      </c>
      <c r="G1369">
        <v>4</v>
      </c>
      <c r="H1369" t="s">
        <v>60</v>
      </c>
      <c r="I1369">
        <v>1931</v>
      </c>
      <c r="J1369">
        <v>2</v>
      </c>
      <c r="K1369" s="17" t="s">
        <v>46</v>
      </c>
      <c r="L1369">
        <v>41</v>
      </c>
      <c r="M1369">
        <v>3</v>
      </c>
      <c r="N1369">
        <v>1</v>
      </c>
      <c r="O1369" s="17" t="s">
        <v>47</v>
      </c>
      <c r="P1369" s="14">
        <v>2</v>
      </c>
      <c r="Q1369" t="s">
        <v>48</v>
      </c>
      <c r="R1369" s="14">
        <v>2226</v>
      </c>
      <c r="S1369" s="17" t="str">
        <f t="shared" si="42"/>
        <v>low</v>
      </c>
      <c r="T1369">
        <v>6073</v>
      </c>
      <c r="U1369">
        <v>1</v>
      </c>
      <c r="V1369" s="17" t="s">
        <v>43</v>
      </c>
      <c r="W1369">
        <v>11</v>
      </c>
      <c r="X1369">
        <v>3</v>
      </c>
      <c r="Y1369">
        <v>3</v>
      </c>
      <c r="Z1369">
        <v>1</v>
      </c>
      <c r="AA1369">
        <v>6</v>
      </c>
      <c r="AB1369">
        <v>3</v>
      </c>
      <c r="AC1369">
        <v>2</v>
      </c>
      <c r="AD1369" s="14">
        <v>5</v>
      </c>
      <c r="AE1369" t="str">
        <f t="shared" si="43"/>
        <v>3-5 years</v>
      </c>
      <c r="AF1369" s="14">
        <v>3</v>
      </c>
      <c r="AG1369" s="14">
        <v>1</v>
      </c>
      <c r="AH1369" s="14">
        <v>2</v>
      </c>
    </row>
    <row r="1370" spans="1:34" x14ac:dyDescent="0.3">
      <c r="A1370" s="14">
        <v>34</v>
      </c>
      <c r="B1370" s="17" t="s">
        <v>43</v>
      </c>
      <c r="C1370" t="s">
        <v>44</v>
      </c>
      <c r="D1370">
        <v>735</v>
      </c>
      <c r="E1370" s="17" t="s">
        <v>45</v>
      </c>
      <c r="F1370">
        <v>22</v>
      </c>
      <c r="G1370">
        <v>4</v>
      </c>
      <c r="H1370" t="s">
        <v>49</v>
      </c>
      <c r="I1370">
        <v>1932</v>
      </c>
      <c r="J1370">
        <v>3</v>
      </c>
      <c r="K1370" s="17" t="s">
        <v>46</v>
      </c>
      <c r="L1370">
        <v>86</v>
      </c>
      <c r="M1370">
        <v>2</v>
      </c>
      <c r="N1370">
        <v>2</v>
      </c>
      <c r="O1370" s="17" t="s">
        <v>47</v>
      </c>
      <c r="P1370" s="14">
        <v>4</v>
      </c>
      <c r="Q1370" t="s">
        <v>48</v>
      </c>
      <c r="R1370" s="14">
        <v>5747</v>
      </c>
      <c r="S1370" s="17" t="str">
        <f t="shared" si="42"/>
        <v>medium</v>
      </c>
      <c r="T1370">
        <v>26496</v>
      </c>
      <c r="U1370">
        <v>1</v>
      </c>
      <c r="V1370" s="17" t="s">
        <v>35</v>
      </c>
      <c r="W1370">
        <v>15</v>
      </c>
      <c r="X1370">
        <v>3</v>
      </c>
      <c r="Y1370">
        <v>2</v>
      </c>
      <c r="Z1370">
        <v>0</v>
      </c>
      <c r="AA1370">
        <v>16</v>
      </c>
      <c r="AB1370">
        <v>3</v>
      </c>
      <c r="AC1370">
        <v>3</v>
      </c>
      <c r="AD1370" s="14">
        <v>15</v>
      </c>
      <c r="AE1370" t="str">
        <f t="shared" si="43"/>
        <v>10+ years</v>
      </c>
      <c r="AF1370" s="14">
        <v>10</v>
      </c>
      <c r="AG1370" s="14">
        <v>6</v>
      </c>
      <c r="AH1370" s="14">
        <v>11</v>
      </c>
    </row>
    <row r="1371" spans="1:34" x14ac:dyDescent="0.3">
      <c r="A1371" s="14">
        <v>28</v>
      </c>
      <c r="B1371" s="17" t="s">
        <v>35</v>
      </c>
      <c r="C1371" t="s">
        <v>36</v>
      </c>
      <c r="D1371">
        <v>1475</v>
      </c>
      <c r="E1371" s="17" t="s">
        <v>37</v>
      </c>
      <c r="F1371">
        <v>13</v>
      </c>
      <c r="G1371">
        <v>2</v>
      </c>
      <c r="H1371" t="s">
        <v>59</v>
      </c>
      <c r="I1371">
        <v>1933</v>
      </c>
      <c r="J1371">
        <v>4</v>
      </c>
      <c r="K1371" s="17" t="s">
        <v>39</v>
      </c>
      <c r="L1371">
        <v>84</v>
      </c>
      <c r="M1371">
        <v>3</v>
      </c>
      <c r="N1371">
        <v>2</v>
      </c>
      <c r="O1371" s="17" t="s">
        <v>40</v>
      </c>
      <c r="P1371" s="14">
        <v>3</v>
      </c>
      <c r="Q1371" t="s">
        <v>41</v>
      </c>
      <c r="R1371" s="14">
        <v>9854</v>
      </c>
      <c r="S1371" s="17" t="str">
        <f t="shared" si="42"/>
        <v>high</v>
      </c>
      <c r="T1371">
        <v>23352</v>
      </c>
      <c r="U1371">
        <v>3</v>
      </c>
      <c r="V1371" s="17" t="s">
        <v>35</v>
      </c>
      <c r="W1371">
        <v>11</v>
      </c>
      <c r="X1371">
        <v>3</v>
      </c>
      <c r="Y1371">
        <v>4</v>
      </c>
      <c r="Z1371">
        <v>0</v>
      </c>
      <c r="AA1371">
        <v>6</v>
      </c>
      <c r="AB1371">
        <v>0</v>
      </c>
      <c r="AC1371">
        <v>3</v>
      </c>
      <c r="AD1371" s="14">
        <v>2</v>
      </c>
      <c r="AE1371" t="str">
        <f t="shared" si="43"/>
        <v>0-2 years</v>
      </c>
      <c r="AF1371" s="14">
        <v>0</v>
      </c>
      <c r="AG1371" s="14">
        <v>2</v>
      </c>
      <c r="AH1371" s="14">
        <v>2</v>
      </c>
    </row>
    <row r="1372" spans="1:34" x14ac:dyDescent="0.3">
      <c r="A1372" s="14">
        <v>47</v>
      </c>
      <c r="B1372" s="17" t="s">
        <v>43</v>
      </c>
      <c r="C1372" t="s">
        <v>55</v>
      </c>
      <c r="D1372">
        <v>1169</v>
      </c>
      <c r="E1372" s="17" t="s">
        <v>45</v>
      </c>
      <c r="F1372">
        <v>14</v>
      </c>
      <c r="G1372">
        <v>4</v>
      </c>
      <c r="H1372" t="s">
        <v>60</v>
      </c>
      <c r="I1372">
        <v>1934</v>
      </c>
      <c r="J1372">
        <v>3</v>
      </c>
      <c r="K1372" s="17" t="s">
        <v>46</v>
      </c>
      <c r="L1372">
        <v>64</v>
      </c>
      <c r="M1372">
        <v>3</v>
      </c>
      <c r="N1372">
        <v>2</v>
      </c>
      <c r="O1372" s="17" t="s">
        <v>47</v>
      </c>
      <c r="P1372" s="14">
        <v>2</v>
      </c>
      <c r="Q1372" t="s">
        <v>48</v>
      </c>
      <c r="R1372" s="14">
        <v>5467</v>
      </c>
      <c r="S1372" s="17" t="str">
        <f t="shared" si="42"/>
        <v>medium</v>
      </c>
      <c r="T1372">
        <v>2125</v>
      </c>
      <c r="U1372">
        <v>8</v>
      </c>
      <c r="V1372" s="17" t="s">
        <v>43</v>
      </c>
      <c r="W1372">
        <v>18</v>
      </c>
      <c r="X1372">
        <v>3</v>
      </c>
      <c r="Y1372">
        <v>3</v>
      </c>
      <c r="Z1372">
        <v>1</v>
      </c>
      <c r="AA1372">
        <v>16</v>
      </c>
      <c r="AB1372">
        <v>4</v>
      </c>
      <c r="AC1372">
        <v>4</v>
      </c>
      <c r="AD1372" s="14">
        <v>8</v>
      </c>
      <c r="AE1372" t="str">
        <f t="shared" si="43"/>
        <v>6-10 years</v>
      </c>
      <c r="AF1372" s="14">
        <v>7</v>
      </c>
      <c r="AG1372" s="14">
        <v>1</v>
      </c>
      <c r="AH1372" s="14">
        <v>7</v>
      </c>
    </row>
    <row r="1373" spans="1:34" x14ac:dyDescent="0.3">
      <c r="A1373" s="14">
        <v>56</v>
      </c>
      <c r="B1373" s="17" t="s">
        <v>43</v>
      </c>
      <c r="C1373" t="s">
        <v>36</v>
      </c>
      <c r="D1373">
        <v>1443</v>
      </c>
      <c r="E1373" s="17" t="s">
        <v>37</v>
      </c>
      <c r="F1373">
        <v>11</v>
      </c>
      <c r="G1373">
        <v>5</v>
      </c>
      <c r="H1373" t="s">
        <v>59</v>
      </c>
      <c r="I1373">
        <v>1935</v>
      </c>
      <c r="J1373">
        <v>4</v>
      </c>
      <c r="K1373" s="17" t="s">
        <v>39</v>
      </c>
      <c r="L1373">
        <v>89</v>
      </c>
      <c r="M1373">
        <v>2</v>
      </c>
      <c r="N1373">
        <v>2</v>
      </c>
      <c r="O1373" s="17" t="s">
        <v>40</v>
      </c>
      <c r="P1373" s="14">
        <v>1</v>
      </c>
      <c r="Q1373" t="s">
        <v>48</v>
      </c>
      <c r="R1373" s="14">
        <v>5380</v>
      </c>
      <c r="S1373" s="17" t="str">
        <f t="shared" si="42"/>
        <v>medium</v>
      </c>
      <c r="T1373">
        <v>20328</v>
      </c>
      <c r="U1373">
        <v>4</v>
      </c>
      <c r="V1373" s="17" t="s">
        <v>43</v>
      </c>
      <c r="W1373">
        <v>16</v>
      </c>
      <c r="X1373">
        <v>3</v>
      </c>
      <c r="Y1373">
        <v>3</v>
      </c>
      <c r="Z1373">
        <v>1</v>
      </c>
      <c r="AA1373">
        <v>6</v>
      </c>
      <c r="AB1373">
        <v>3</v>
      </c>
      <c r="AC1373">
        <v>3</v>
      </c>
      <c r="AD1373" s="14">
        <v>0</v>
      </c>
      <c r="AE1373" t="str">
        <f t="shared" si="43"/>
        <v>0-2 years</v>
      </c>
      <c r="AF1373" s="14">
        <v>0</v>
      </c>
      <c r="AG1373" s="14">
        <v>0</v>
      </c>
      <c r="AH1373" s="14">
        <v>0</v>
      </c>
    </row>
    <row r="1374" spans="1:34" x14ac:dyDescent="0.3">
      <c r="A1374" s="14">
        <v>39</v>
      </c>
      <c r="B1374" s="17" t="s">
        <v>43</v>
      </c>
      <c r="C1374" t="s">
        <v>36</v>
      </c>
      <c r="D1374">
        <v>867</v>
      </c>
      <c r="E1374" s="17" t="s">
        <v>45</v>
      </c>
      <c r="F1374">
        <v>9</v>
      </c>
      <c r="G1374">
        <v>2</v>
      </c>
      <c r="H1374" t="s">
        <v>51</v>
      </c>
      <c r="I1374">
        <v>1936</v>
      </c>
      <c r="J1374">
        <v>1</v>
      </c>
      <c r="K1374" s="17" t="s">
        <v>46</v>
      </c>
      <c r="L1374">
        <v>87</v>
      </c>
      <c r="M1374">
        <v>3</v>
      </c>
      <c r="N1374">
        <v>2</v>
      </c>
      <c r="O1374" s="17" t="s">
        <v>53</v>
      </c>
      <c r="P1374" s="14">
        <v>1</v>
      </c>
      <c r="Q1374" t="s">
        <v>48</v>
      </c>
      <c r="R1374" s="14">
        <v>5151</v>
      </c>
      <c r="S1374" s="17" t="str">
        <f t="shared" si="42"/>
        <v>medium</v>
      </c>
      <c r="T1374">
        <v>12315</v>
      </c>
      <c r="U1374">
        <v>1</v>
      </c>
      <c r="V1374" s="17" t="s">
        <v>43</v>
      </c>
      <c r="W1374">
        <v>25</v>
      </c>
      <c r="X1374">
        <v>4</v>
      </c>
      <c r="Y1374">
        <v>4</v>
      </c>
      <c r="Z1374">
        <v>1</v>
      </c>
      <c r="AA1374">
        <v>10</v>
      </c>
      <c r="AB1374">
        <v>3</v>
      </c>
      <c r="AC1374">
        <v>3</v>
      </c>
      <c r="AD1374" s="14">
        <v>10</v>
      </c>
      <c r="AE1374" t="str">
        <f t="shared" si="43"/>
        <v>6-10 years</v>
      </c>
      <c r="AF1374" s="14">
        <v>0</v>
      </c>
      <c r="AG1374" s="14">
        <v>7</v>
      </c>
      <c r="AH1374" s="14">
        <v>9</v>
      </c>
    </row>
    <row r="1375" spans="1:34" x14ac:dyDescent="0.3">
      <c r="A1375" s="14">
        <v>38</v>
      </c>
      <c r="B1375" s="17" t="s">
        <v>43</v>
      </c>
      <c r="C1375" t="s">
        <v>44</v>
      </c>
      <c r="D1375">
        <v>1394</v>
      </c>
      <c r="E1375" s="17" t="s">
        <v>45</v>
      </c>
      <c r="F1375">
        <v>8</v>
      </c>
      <c r="G1375">
        <v>3</v>
      </c>
      <c r="H1375" t="s">
        <v>51</v>
      </c>
      <c r="I1375">
        <v>1937</v>
      </c>
      <c r="J1375">
        <v>4</v>
      </c>
      <c r="K1375" s="17" t="s">
        <v>39</v>
      </c>
      <c r="L1375">
        <v>58</v>
      </c>
      <c r="M1375">
        <v>2</v>
      </c>
      <c r="N1375">
        <v>2</v>
      </c>
      <c r="O1375" s="17" t="s">
        <v>47</v>
      </c>
      <c r="P1375" s="14">
        <v>2</v>
      </c>
      <c r="Q1375" t="s">
        <v>52</v>
      </c>
      <c r="R1375" s="14">
        <v>2133</v>
      </c>
      <c r="S1375" s="17" t="str">
        <f t="shared" si="42"/>
        <v>low</v>
      </c>
      <c r="T1375">
        <v>18115</v>
      </c>
      <c r="U1375">
        <v>1</v>
      </c>
      <c r="V1375" s="17" t="s">
        <v>35</v>
      </c>
      <c r="W1375">
        <v>16</v>
      </c>
      <c r="X1375">
        <v>3</v>
      </c>
      <c r="Y1375">
        <v>3</v>
      </c>
      <c r="Z1375">
        <v>1</v>
      </c>
      <c r="AA1375">
        <v>20</v>
      </c>
      <c r="AB1375">
        <v>3</v>
      </c>
      <c r="AC1375">
        <v>3</v>
      </c>
      <c r="AD1375" s="14">
        <v>20</v>
      </c>
      <c r="AE1375" t="str">
        <f t="shared" si="43"/>
        <v>10+ years</v>
      </c>
      <c r="AF1375" s="14">
        <v>11</v>
      </c>
      <c r="AG1375" s="14">
        <v>0</v>
      </c>
      <c r="AH1375" s="14">
        <v>7</v>
      </c>
    </row>
    <row r="1376" spans="1:34" x14ac:dyDescent="0.3">
      <c r="A1376" s="14">
        <v>58</v>
      </c>
      <c r="B1376" s="17" t="s">
        <v>43</v>
      </c>
      <c r="C1376" t="s">
        <v>36</v>
      </c>
      <c r="D1376">
        <v>605</v>
      </c>
      <c r="E1376" s="17" t="s">
        <v>37</v>
      </c>
      <c r="F1376">
        <v>21</v>
      </c>
      <c r="G1376">
        <v>3</v>
      </c>
      <c r="H1376" t="s">
        <v>38</v>
      </c>
      <c r="I1376">
        <v>1938</v>
      </c>
      <c r="J1376">
        <v>4</v>
      </c>
      <c r="K1376" s="17" t="s">
        <v>39</v>
      </c>
      <c r="L1376">
        <v>72</v>
      </c>
      <c r="M1376">
        <v>3</v>
      </c>
      <c r="N1376">
        <v>4</v>
      </c>
      <c r="O1376" s="17" t="s">
        <v>56</v>
      </c>
      <c r="P1376" s="14">
        <v>4</v>
      </c>
      <c r="Q1376" t="s">
        <v>48</v>
      </c>
      <c r="R1376" s="14">
        <v>17875</v>
      </c>
      <c r="S1376" s="17" t="str">
        <f t="shared" si="42"/>
        <v>high</v>
      </c>
      <c r="T1376">
        <v>11761</v>
      </c>
      <c r="U1376">
        <v>4</v>
      </c>
      <c r="V1376" s="17" t="s">
        <v>35</v>
      </c>
      <c r="W1376">
        <v>13</v>
      </c>
      <c r="X1376">
        <v>3</v>
      </c>
      <c r="Y1376">
        <v>3</v>
      </c>
      <c r="Z1376">
        <v>1</v>
      </c>
      <c r="AA1376">
        <v>29</v>
      </c>
      <c r="AB1376">
        <v>2</v>
      </c>
      <c r="AC1376">
        <v>2</v>
      </c>
      <c r="AD1376" s="14">
        <v>1</v>
      </c>
      <c r="AE1376" t="str">
        <f t="shared" si="43"/>
        <v>0-2 years</v>
      </c>
      <c r="AF1376" s="14">
        <v>0</v>
      </c>
      <c r="AG1376" s="14">
        <v>0</v>
      </c>
      <c r="AH1376" s="14">
        <v>0</v>
      </c>
    </row>
    <row r="1377" spans="1:34" x14ac:dyDescent="0.3">
      <c r="A1377" s="14">
        <v>32</v>
      </c>
      <c r="B1377" s="17" t="s">
        <v>35</v>
      </c>
      <c r="C1377" t="s">
        <v>44</v>
      </c>
      <c r="D1377">
        <v>238</v>
      </c>
      <c r="E1377" s="17" t="s">
        <v>45</v>
      </c>
      <c r="F1377">
        <v>5</v>
      </c>
      <c r="G1377">
        <v>2</v>
      </c>
      <c r="H1377" t="s">
        <v>38</v>
      </c>
      <c r="I1377">
        <v>1939</v>
      </c>
      <c r="J1377">
        <v>1</v>
      </c>
      <c r="K1377" s="17" t="s">
        <v>39</v>
      </c>
      <c r="L1377">
        <v>47</v>
      </c>
      <c r="M1377">
        <v>4</v>
      </c>
      <c r="N1377">
        <v>1</v>
      </c>
      <c r="O1377" s="17" t="s">
        <v>47</v>
      </c>
      <c r="P1377" s="14">
        <v>3</v>
      </c>
      <c r="Q1377" t="s">
        <v>41</v>
      </c>
      <c r="R1377" s="14">
        <v>2432</v>
      </c>
      <c r="S1377" s="17" t="str">
        <f t="shared" si="42"/>
        <v>low</v>
      </c>
      <c r="T1377">
        <v>15318</v>
      </c>
      <c r="U1377">
        <v>3</v>
      </c>
      <c r="V1377" s="17" t="s">
        <v>35</v>
      </c>
      <c r="W1377">
        <v>14</v>
      </c>
      <c r="X1377">
        <v>3</v>
      </c>
      <c r="Y1377">
        <v>1</v>
      </c>
      <c r="Z1377">
        <v>0</v>
      </c>
      <c r="AA1377">
        <v>8</v>
      </c>
      <c r="AB1377">
        <v>2</v>
      </c>
      <c r="AC1377">
        <v>3</v>
      </c>
      <c r="AD1377" s="14">
        <v>4</v>
      </c>
      <c r="AE1377" t="str">
        <f t="shared" si="43"/>
        <v>3-5 years</v>
      </c>
      <c r="AF1377" s="14">
        <v>1</v>
      </c>
      <c r="AG1377" s="14">
        <v>0</v>
      </c>
      <c r="AH1377" s="14">
        <v>3</v>
      </c>
    </row>
    <row r="1378" spans="1:34" x14ac:dyDescent="0.3">
      <c r="A1378" s="14">
        <v>38</v>
      </c>
      <c r="B1378" s="17" t="s">
        <v>43</v>
      </c>
      <c r="C1378" t="s">
        <v>36</v>
      </c>
      <c r="D1378">
        <v>1206</v>
      </c>
      <c r="E1378" s="17" t="s">
        <v>45</v>
      </c>
      <c r="F1378">
        <v>9</v>
      </c>
      <c r="G1378">
        <v>2</v>
      </c>
      <c r="H1378" t="s">
        <v>38</v>
      </c>
      <c r="I1378">
        <v>1940</v>
      </c>
      <c r="J1378">
        <v>2</v>
      </c>
      <c r="K1378" s="17" t="s">
        <v>46</v>
      </c>
      <c r="L1378">
        <v>71</v>
      </c>
      <c r="M1378">
        <v>3</v>
      </c>
      <c r="N1378">
        <v>1</v>
      </c>
      <c r="O1378" s="17" t="s">
        <v>47</v>
      </c>
      <c r="P1378" s="14">
        <v>4</v>
      </c>
      <c r="Q1378" t="s">
        <v>52</v>
      </c>
      <c r="R1378" s="14">
        <v>4771</v>
      </c>
      <c r="S1378" s="17" t="str">
        <f t="shared" si="42"/>
        <v>medium</v>
      </c>
      <c r="T1378">
        <v>14293</v>
      </c>
      <c r="U1378">
        <v>2</v>
      </c>
      <c r="V1378" s="17" t="s">
        <v>43</v>
      </c>
      <c r="W1378">
        <v>19</v>
      </c>
      <c r="X1378">
        <v>3</v>
      </c>
      <c r="Y1378">
        <v>4</v>
      </c>
      <c r="Z1378">
        <v>2</v>
      </c>
      <c r="AA1378">
        <v>10</v>
      </c>
      <c r="AB1378">
        <v>0</v>
      </c>
      <c r="AC1378">
        <v>4</v>
      </c>
      <c r="AD1378" s="14">
        <v>5</v>
      </c>
      <c r="AE1378" t="str">
        <f t="shared" si="43"/>
        <v>3-5 years</v>
      </c>
      <c r="AF1378" s="14">
        <v>2</v>
      </c>
      <c r="AG1378" s="14">
        <v>0</v>
      </c>
      <c r="AH1378" s="14">
        <v>3</v>
      </c>
    </row>
    <row r="1379" spans="1:34" x14ac:dyDescent="0.3">
      <c r="A1379" s="14">
        <v>49</v>
      </c>
      <c r="B1379" s="17" t="s">
        <v>43</v>
      </c>
      <c r="C1379" t="s">
        <v>44</v>
      </c>
      <c r="D1379">
        <v>1064</v>
      </c>
      <c r="E1379" s="17" t="s">
        <v>45</v>
      </c>
      <c r="F1379">
        <v>2</v>
      </c>
      <c r="G1379">
        <v>1</v>
      </c>
      <c r="H1379" t="s">
        <v>38</v>
      </c>
      <c r="I1379">
        <v>1941</v>
      </c>
      <c r="J1379">
        <v>2</v>
      </c>
      <c r="K1379" s="17" t="s">
        <v>46</v>
      </c>
      <c r="L1379">
        <v>42</v>
      </c>
      <c r="M1379">
        <v>3</v>
      </c>
      <c r="N1379">
        <v>5</v>
      </c>
      <c r="O1379" s="17" t="s">
        <v>58</v>
      </c>
      <c r="P1379" s="14">
        <v>4</v>
      </c>
      <c r="Q1379" t="s">
        <v>48</v>
      </c>
      <c r="R1379" s="14">
        <v>19161</v>
      </c>
      <c r="S1379" s="17" t="str">
        <f t="shared" si="42"/>
        <v>high</v>
      </c>
      <c r="T1379">
        <v>13738</v>
      </c>
      <c r="U1379">
        <v>3</v>
      </c>
      <c r="V1379" s="17" t="s">
        <v>43</v>
      </c>
      <c r="W1379">
        <v>15</v>
      </c>
      <c r="X1379">
        <v>3</v>
      </c>
      <c r="Y1379">
        <v>4</v>
      </c>
      <c r="Z1379">
        <v>0</v>
      </c>
      <c r="AA1379">
        <v>28</v>
      </c>
      <c r="AB1379">
        <v>3</v>
      </c>
      <c r="AC1379">
        <v>3</v>
      </c>
      <c r="AD1379" s="14">
        <v>5</v>
      </c>
      <c r="AE1379" t="str">
        <f t="shared" si="43"/>
        <v>3-5 years</v>
      </c>
      <c r="AF1379" s="14">
        <v>4</v>
      </c>
      <c r="AG1379" s="14">
        <v>4</v>
      </c>
      <c r="AH1379" s="14">
        <v>3</v>
      </c>
    </row>
    <row r="1380" spans="1:34" x14ac:dyDescent="0.3">
      <c r="A1380" s="14">
        <v>42</v>
      </c>
      <c r="B1380" s="17" t="s">
        <v>43</v>
      </c>
      <c r="C1380" t="s">
        <v>36</v>
      </c>
      <c r="D1380">
        <v>419</v>
      </c>
      <c r="E1380" s="17" t="s">
        <v>37</v>
      </c>
      <c r="F1380">
        <v>12</v>
      </c>
      <c r="G1380">
        <v>4</v>
      </c>
      <c r="H1380" t="s">
        <v>59</v>
      </c>
      <c r="I1380">
        <v>1943</v>
      </c>
      <c r="J1380">
        <v>2</v>
      </c>
      <c r="K1380" s="17" t="s">
        <v>46</v>
      </c>
      <c r="L1380">
        <v>77</v>
      </c>
      <c r="M1380">
        <v>3</v>
      </c>
      <c r="N1380">
        <v>2</v>
      </c>
      <c r="O1380" s="17" t="s">
        <v>40</v>
      </c>
      <c r="P1380" s="14">
        <v>4</v>
      </c>
      <c r="Q1380" t="s">
        <v>52</v>
      </c>
      <c r="R1380" s="14">
        <v>5087</v>
      </c>
      <c r="S1380" s="17" t="str">
        <f t="shared" si="42"/>
        <v>medium</v>
      </c>
      <c r="T1380">
        <v>2900</v>
      </c>
      <c r="U1380">
        <v>3</v>
      </c>
      <c r="V1380" s="17" t="s">
        <v>35</v>
      </c>
      <c r="W1380">
        <v>12</v>
      </c>
      <c r="X1380">
        <v>3</v>
      </c>
      <c r="Y1380">
        <v>3</v>
      </c>
      <c r="Z1380">
        <v>2</v>
      </c>
      <c r="AA1380">
        <v>14</v>
      </c>
      <c r="AB1380">
        <v>4</v>
      </c>
      <c r="AC1380">
        <v>3</v>
      </c>
      <c r="AD1380" s="14">
        <v>0</v>
      </c>
      <c r="AE1380" t="str">
        <f t="shared" si="43"/>
        <v>0-2 years</v>
      </c>
      <c r="AF1380" s="14">
        <v>0</v>
      </c>
      <c r="AG1380" s="14">
        <v>0</v>
      </c>
      <c r="AH1380" s="14">
        <v>0</v>
      </c>
    </row>
    <row r="1381" spans="1:34" x14ac:dyDescent="0.3">
      <c r="A1381" s="14">
        <v>27</v>
      </c>
      <c r="B1381" s="17" t="s">
        <v>35</v>
      </c>
      <c r="C1381" t="s">
        <v>44</v>
      </c>
      <c r="D1381">
        <v>1337</v>
      </c>
      <c r="E1381" s="17" t="s">
        <v>61</v>
      </c>
      <c r="F1381">
        <v>22</v>
      </c>
      <c r="G1381">
        <v>3</v>
      </c>
      <c r="H1381" t="s">
        <v>61</v>
      </c>
      <c r="I1381">
        <v>1944</v>
      </c>
      <c r="J1381">
        <v>1</v>
      </c>
      <c r="K1381" s="17" t="s">
        <v>39</v>
      </c>
      <c r="L1381">
        <v>58</v>
      </c>
      <c r="M1381">
        <v>2</v>
      </c>
      <c r="N1381">
        <v>1</v>
      </c>
      <c r="O1381" s="17" t="s">
        <v>61</v>
      </c>
      <c r="P1381" s="14">
        <v>2</v>
      </c>
      <c r="Q1381" t="s">
        <v>48</v>
      </c>
      <c r="R1381" s="14">
        <v>2863</v>
      </c>
      <c r="S1381" s="17" t="str">
        <f t="shared" si="42"/>
        <v>low</v>
      </c>
      <c r="T1381">
        <v>19555</v>
      </c>
      <c r="U1381">
        <v>1</v>
      </c>
      <c r="V1381" s="17" t="s">
        <v>43</v>
      </c>
      <c r="W1381">
        <v>12</v>
      </c>
      <c r="X1381">
        <v>3</v>
      </c>
      <c r="Y1381">
        <v>1</v>
      </c>
      <c r="Z1381">
        <v>0</v>
      </c>
      <c r="AA1381">
        <v>1</v>
      </c>
      <c r="AB1381">
        <v>2</v>
      </c>
      <c r="AC1381">
        <v>3</v>
      </c>
      <c r="AD1381" s="14">
        <v>1</v>
      </c>
      <c r="AE1381" t="str">
        <f t="shared" si="43"/>
        <v>0-2 years</v>
      </c>
      <c r="AF1381" s="14">
        <v>0</v>
      </c>
      <c r="AG1381" s="14">
        <v>0</v>
      </c>
      <c r="AH1381" s="14">
        <v>0</v>
      </c>
    </row>
    <row r="1382" spans="1:34" x14ac:dyDescent="0.3">
      <c r="A1382" s="14">
        <v>35</v>
      </c>
      <c r="B1382" s="17" t="s">
        <v>43</v>
      </c>
      <c r="C1382" t="s">
        <v>36</v>
      </c>
      <c r="D1382">
        <v>682</v>
      </c>
      <c r="E1382" s="17" t="s">
        <v>37</v>
      </c>
      <c r="F1382">
        <v>18</v>
      </c>
      <c r="G1382">
        <v>4</v>
      </c>
      <c r="H1382" t="s">
        <v>51</v>
      </c>
      <c r="I1382">
        <v>1945</v>
      </c>
      <c r="J1382">
        <v>2</v>
      </c>
      <c r="K1382" s="17" t="s">
        <v>46</v>
      </c>
      <c r="L1382">
        <v>71</v>
      </c>
      <c r="M1382">
        <v>3</v>
      </c>
      <c r="N1382">
        <v>2</v>
      </c>
      <c r="O1382" s="17" t="s">
        <v>40</v>
      </c>
      <c r="P1382" s="14">
        <v>1</v>
      </c>
      <c r="Q1382" t="s">
        <v>48</v>
      </c>
      <c r="R1382" s="14">
        <v>5561</v>
      </c>
      <c r="S1382" s="17" t="str">
        <f t="shared" si="42"/>
        <v>medium</v>
      </c>
      <c r="T1382">
        <v>15975</v>
      </c>
      <c r="U1382">
        <v>0</v>
      </c>
      <c r="V1382" s="17" t="s">
        <v>43</v>
      </c>
      <c r="W1382">
        <v>16</v>
      </c>
      <c r="X1382">
        <v>3</v>
      </c>
      <c r="Y1382">
        <v>4</v>
      </c>
      <c r="Z1382">
        <v>1</v>
      </c>
      <c r="AA1382">
        <v>6</v>
      </c>
      <c r="AB1382">
        <v>2</v>
      </c>
      <c r="AC1382">
        <v>1</v>
      </c>
      <c r="AD1382" s="14">
        <v>5</v>
      </c>
      <c r="AE1382" t="str">
        <f t="shared" si="43"/>
        <v>3-5 years</v>
      </c>
      <c r="AF1382" s="14">
        <v>3</v>
      </c>
      <c r="AG1382" s="14">
        <v>0</v>
      </c>
      <c r="AH1382" s="14">
        <v>4</v>
      </c>
    </row>
    <row r="1383" spans="1:34" x14ac:dyDescent="0.3">
      <c r="A1383" s="14">
        <v>28</v>
      </c>
      <c r="B1383" s="17" t="s">
        <v>43</v>
      </c>
      <c r="C1383" t="s">
        <v>55</v>
      </c>
      <c r="D1383">
        <v>1103</v>
      </c>
      <c r="E1383" s="17" t="s">
        <v>45</v>
      </c>
      <c r="F1383">
        <v>16</v>
      </c>
      <c r="G1383">
        <v>3</v>
      </c>
      <c r="H1383" t="s">
        <v>51</v>
      </c>
      <c r="I1383">
        <v>1947</v>
      </c>
      <c r="J1383">
        <v>3</v>
      </c>
      <c r="K1383" s="17" t="s">
        <v>46</v>
      </c>
      <c r="L1383">
        <v>49</v>
      </c>
      <c r="M1383">
        <v>3</v>
      </c>
      <c r="N1383">
        <v>1</v>
      </c>
      <c r="O1383" s="17" t="s">
        <v>47</v>
      </c>
      <c r="P1383" s="14">
        <v>3</v>
      </c>
      <c r="Q1383" t="s">
        <v>41</v>
      </c>
      <c r="R1383" s="14">
        <v>2144</v>
      </c>
      <c r="S1383" s="17" t="str">
        <f t="shared" si="42"/>
        <v>low</v>
      </c>
      <c r="T1383">
        <v>2122</v>
      </c>
      <c r="U1383">
        <v>1</v>
      </c>
      <c r="V1383" s="17" t="s">
        <v>43</v>
      </c>
      <c r="W1383">
        <v>14</v>
      </c>
      <c r="X1383">
        <v>3</v>
      </c>
      <c r="Y1383">
        <v>3</v>
      </c>
      <c r="Z1383">
        <v>0</v>
      </c>
      <c r="AA1383">
        <v>5</v>
      </c>
      <c r="AB1383">
        <v>3</v>
      </c>
      <c r="AC1383">
        <v>2</v>
      </c>
      <c r="AD1383" s="14">
        <v>5</v>
      </c>
      <c r="AE1383" t="str">
        <f t="shared" si="43"/>
        <v>3-5 years</v>
      </c>
      <c r="AF1383" s="14">
        <v>3</v>
      </c>
      <c r="AG1383" s="14">
        <v>1</v>
      </c>
      <c r="AH1383" s="14">
        <v>4</v>
      </c>
    </row>
    <row r="1384" spans="1:34" x14ac:dyDescent="0.3">
      <c r="A1384" s="14">
        <v>31</v>
      </c>
      <c r="B1384" s="17" t="s">
        <v>43</v>
      </c>
      <c r="C1384" t="s">
        <v>55</v>
      </c>
      <c r="D1384">
        <v>976</v>
      </c>
      <c r="E1384" s="17" t="s">
        <v>45</v>
      </c>
      <c r="F1384">
        <v>3</v>
      </c>
      <c r="G1384">
        <v>2</v>
      </c>
      <c r="H1384" t="s">
        <v>51</v>
      </c>
      <c r="I1384">
        <v>1948</v>
      </c>
      <c r="J1384">
        <v>3</v>
      </c>
      <c r="K1384" s="17" t="s">
        <v>46</v>
      </c>
      <c r="L1384">
        <v>48</v>
      </c>
      <c r="M1384">
        <v>3</v>
      </c>
      <c r="N1384">
        <v>1</v>
      </c>
      <c r="O1384" s="17" t="s">
        <v>47</v>
      </c>
      <c r="P1384" s="14">
        <v>1</v>
      </c>
      <c r="Q1384" t="s">
        <v>52</v>
      </c>
      <c r="R1384" s="14">
        <v>3065</v>
      </c>
      <c r="S1384" s="17" t="str">
        <f t="shared" si="42"/>
        <v>medium</v>
      </c>
      <c r="T1384">
        <v>3995</v>
      </c>
      <c r="U1384">
        <v>1</v>
      </c>
      <c r="V1384" s="17" t="s">
        <v>35</v>
      </c>
      <c r="W1384">
        <v>13</v>
      </c>
      <c r="X1384">
        <v>3</v>
      </c>
      <c r="Y1384">
        <v>4</v>
      </c>
      <c r="Z1384">
        <v>1</v>
      </c>
      <c r="AA1384">
        <v>4</v>
      </c>
      <c r="AB1384">
        <v>3</v>
      </c>
      <c r="AC1384">
        <v>4</v>
      </c>
      <c r="AD1384" s="14">
        <v>4</v>
      </c>
      <c r="AE1384" t="str">
        <f t="shared" si="43"/>
        <v>3-5 years</v>
      </c>
      <c r="AF1384" s="14">
        <v>2</v>
      </c>
      <c r="AG1384" s="14">
        <v>2</v>
      </c>
      <c r="AH1384" s="14">
        <v>3</v>
      </c>
    </row>
    <row r="1385" spans="1:34" x14ac:dyDescent="0.3">
      <c r="A1385" s="14">
        <v>36</v>
      </c>
      <c r="B1385" s="17" t="s">
        <v>43</v>
      </c>
      <c r="C1385" t="s">
        <v>55</v>
      </c>
      <c r="D1385">
        <v>1351</v>
      </c>
      <c r="E1385" s="17" t="s">
        <v>45</v>
      </c>
      <c r="F1385">
        <v>9</v>
      </c>
      <c r="G1385">
        <v>4</v>
      </c>
      <c r="H1385" t="s">
        <v>38</v>
      </c>
      <c r="I1385">
        <v>1949</v>
      </c>
      <c r="J1385">
        <v>1</v>
      </c>
      <c r="K1385" s="17" t="s">
        <v>46</v>
      </c>
      <c r="L1385">
        <v>66</v>
      </c>
      <c r="M1385">
        <v>4</v>
      </c>
      <c r="N1385">
        <v>1</v>
      </c>
      <c r="O1385" s="17" t="s">
        <v>50</v>
      </c>
      <c r="P1385" s="14">
        <v>2</v>
      </c>
      <c r="Q1385" t="s">
        <v>48</v>
      </c>
      <c r="R1385" s="14">
        <v>2810</v>
      </c>
      <c r="S1385" s="17" t="str">
        <f t="shared" si="42"/>
        <v>low</v>
      </c>
      <c r="T1385">
        <v>9238</v>
      </c>
      <c r="U1385">
        <v>1</v>
      </c>
      <c r="V1385" s="17" t="s">
        <v>43</v>
      </c>
      <c r="W1385">
        <v>22</v>
      </c>
      <c r="X1385">
        <v>4</v>
      </c>
      <c r="Y1385">
        <v>2</v>
      </c>
      <c r="Z1385">
        <v>0</v>
      </c>
      <c r="AA1385">
        <v>5</v>
      </c>
      <c r="AB1385">
        <v>3</v>
      </c>
      <c r="AC1385">
        <v>3</v>
      </c>
      <c r="AD1385" s="14">
        <v>5</v>
      </c>
      <c r="AE1385" t="str">
        <f t="shared" si="43"/>
        <v>3-5 years</v>
      </c>
      <c r="AF1385" s="14">
        <v>4</v>
      </c>
      <c r="AG1385" s="14">
        <v>0</v>
      </c>
      <c r="AH1385" s="14">
        <v>2</v>
      </c>
    </row>
    <row r="1386" spans="1:34" x14ac:dyDescent="0.3">
      <c r="A1386" s="14">
        <v>34</v>
      </c>
      <c r="B1386" s="17" t="s">
        <v>43</v>
      </c>
      <c r="C1386" t="s">
        <v>36</v>
      </c>
      <c r="D1386">
        <v>937</v>
      </c>
      <c r="E1386" s="17" t="s">
        <v>37</v>
      </c>
      <c r="F1386">
        <v>1</v>
      </c>
      <c r="G1386">
        <v>3</v>
      </c>
      <c r="H1386" t="s">
        <v>59</v>
      </c>
      <c r="I1386">
        <v>1950</v>
      </c>
      <c r="J1386">
        <v>1</v>
      </c>
      <c r="K1386" s="17" t="s">
        <v>46</v>
      </c>
      <c r="L1386">
        <v>32</v>
      </c>
      <c r="M1386">
        <v>3</v>
      </c>
      <c r="N1386">
        <v>3</v>
      </c>
      <c r="O1386" s="17" t="s">
        <v>40</v>
      </c>
      <c r="P1386" s="14">
        <v>4</v>
      </c>
      <c r="Q1386" t="s">
        <v>41</v>
      </c>
      <c r="R1386" s="14">
        <v>9888</v>
      </c>
      <c r="S1386" s="17" t="str">
        <f t="shared" si="42"/>
        <v>high</v>
      </c>
      <c r="T1386">
        <v>6770</v>
      </c>
      <c r="U1386">
        <v>1</v>
      </c>
      <c r="V1386" s="17" t="s">
        <v>43</v>
      </c>
      <c r="W1386">
        <v>21</v>
      </c>
      <c r="X1386">
        <v>4</v>
      </c>
      <c r="Y1386">
        <v>1</v>
      </c>
      <c r="Z1386">
        <v>0</v>
      </c>
      <c r="AA1386">
        <v>14</v>
      </c>
      <c r="AB1386">
        <v>3</v>
      </c>
      <c r="AC1386">
        <v>2</v>
      </c>
      <c r="AD1386" s="14">
        <v>14</v>
      </c>
      <c r="AE1386" t="str">
        <f t="shared" si="43"/>
        <v>10+ years</v>
      </c>
      <c r="AF1386" s="14">
        <v>8</v>
      </c>
      <c r="AG1386" s="14">
        <v>2</v>
      </c>
      <c r="AH1386" s="14">
        <v>1</v>
      </c>
    </row>
    <row r="1387" spans="1:34" x14ac:dyDescent="0.3">
      <c r="A1387" s="14">
        <v>34</v>
      </c>
      <c r="B1387" s="17" t="s">
        <v>43</v>
      </c>
      <c r="C1387" t="s">
        <v>36</v>
      </c>
      <c r="D1387">
        <v>1239</v>
      </c>
      <c r="E1387" s="17" t="s">
        <v>37</v>
      </c>
      <c r="F1387">
        <v>13</v>
      </c>
      <c r="G1387">
        <v>4</v>
      </c>
      <c r="H1387" t="s">
        <v>51</v>
      </c>
      <c r="I1387">
        <v>1951</v>
      </c>
      <c r="J1387">
        <v>4</v>
      </c>
      <c r="K1387" s="17" t="s">
        <v>46</v>
      </c>
      <c r="L1387">
        <v>39</v>
      </c>
      <c r="M1387">
        <v>3</v>
      </c>
      <c r="N1387">
        <v>3</v>
      </c>
      <c r="O1387" s="17" t="s">
        <v>40</v>
      </c>
      <c r="P1387" s="14">
        <v>3</v>
      </c>
      <c r="Q1387" t="s">
        <v>52</v>
      </c>
      <c r="R1387" s="14">
        <v>8628</v>
      </c>
      <c r="S1387" s="17" t="str">
        <f t="shared" si="42"/>
        <v>high</v>
      </c>
      <c r="T1387">
        <v>22914</v>
      </c>
      <c r="U1387">
        <v>1</v>
      </c>
      <c r="V1387" s="17" t="s">
        <v>43</v>
      </c>
      <c r="W1387">
        <v>18</v>
      </c>
      <c r="X1387">
        <v>3</v>
      </c>
      <c r="Y1387">
        <v>3</v>
      </c>
      <c r="Z1387">
        <v>1</v>
      </c>
      <c r="AA1387">
        <v>9</v>
      </c>
      <c r="AB1387">
        <v>2</v>
      </c>
      <c r="AC1387">
        <v>2</v>
      </c>
      <c r="AD1387" s="14">
        <v>8</v>
      </c>
      <c r="AE1387" t="str">
        <f t="shared" si="43"/>
        <v>6-10 years</v>
      </c>
      <c r="AF1387" s="14">
        <v>7</v>
      </c>
      <c r="AG1387" s="14">
        <v>1</v>
      </c>
      <c r="AH1387" s="14">
        <v>1</v>
      </c>
    </row>
    <row r="1388" spans="1:34" x14ac:dyDescent="0.3">
      <c r="A1388" s="14">
        <v>26</v>
      </c>
      <c r="B1388" s="17" t="s">
        <v>43</v>
      </c>
      <c r="C1388" t="s">
        <v>36</v>
      </c>
      <c r="D1388">
        <v>157</v>
      </c>
      <c r="E1388" s="17" t="s">
        <v>45</v>
      </c>
      <c r="F1388">
        <v>1</v>
      </c>
      <c r="G1388">
        <v>3</v>
      </c>
      <c r="H1388" t="s">
        <v>51</v>
      </c>
      <c r="I1388">
        <v>1952</v>
      </c>
      <c r="J1388">
        <v>3</v>
      </c>
      <c r="K1388" s="17" t="s">
        <v>46</v>
      </c>
      <c r="L1388">
        <v>95</v>
      </c>
      <c r="M1388">
        <v>3</v>
      </c>
      <c r="N1388">
        <v>1</v>
      </c>
      <c r="O1388" s="17" t="s">
        <v>50</v>
      </c>
      <c r="P1388" s="14">
        <v>1</v>
      </c>
      <c r="Q1388" t="s">
        <v>41</v>
      </c>
      <c r="R1388" s="14">
        <v>2867</v>
      </c>
      <c r="S1388" s="17" t="str">
        <f t="shared" si="42"/>
        <v>low</v>
      </c>
      <c r="T1388">
        <v>20006</v>
      </c>
      <c r="U1388">
        <v>0</v>
      </c>
      <c r="V1388" s="17" t="s">
        <v>43</v>
      </c>
      <c r="W1388">
        <v>13</v>
      </c>
      <c r="X1388">
        <v>3</v>
      </c>
      <c r="Y1388">
        <v>4</v>
      </c>
      <c r="Z1388">
        <v>0</v>
      </c>
      <c r="AA1388">
        <v>8</v>
      </c>
      <c r="AB1388">
        <v>6</v>
      </c>
      <c r="AC1388">
        <v>2</v>
      </c>
      <c r="AD1388" s="14">
        <v>7</v>
      </c>
      <c r="AE1388" t="str">
        <f t="shared" si="43"/>
        <v>6-10 years</v>
      </c>
      <c r="AF1388" s="14">
        <v>7</v>
      </c>
      <c r="AG1388" s="14">
        <v>7</v>
      </c>
      <c r="AH1388" s="14">
        <v>6</v>
      </c>
    </row>
    <row r="1389" spans="1:34" x14ac:dyDescent="0.3">
      <c r="A1389" s="14">
        <v>29</v>
      </c>
      <c r="B1389" s="17" t="s">
        <v>43</v>
      </c>
      <c r="C1389" t="s">
        <v>36</v>
      </c>
      <c r="D1389">
        <v>136</v>
      </c>
      <c r="E1389" s="17" t="s">
        <v>45</v>
      </c>
      <c r="F1389">
        <v>1</v>
      </c>
      <c r="G1389">
        <v>3</v>
      </c>
      <c r="H1389" t="s">
        <v>38</v>
      </c>
      <c r="I1389">
        <v>1954</v>
      </c>
      <c r="J1389">
        <v>1</v>
      </c>
      <c r="K1389" s="17" t="s">
        <v>46</v>
      </c>
      <c r="L1389">
        <v>89</v>
      </c>
      <c r="M1389">
        <v>3</v>
      </c>
      <c r="N1389">
        <v>2</v>
      </c>
      <c r="O1389" s="17" t="s">
        <v>54</v>
      </c>
      <c r="P1389" s="14">
        <v>1</v>
      </c>
      <c r="Q1389" t="s">
        <v>48</v>
      </c>
      <c r="R1389" s="14">
        <v>5373</v>
      </c>
      <c r="S1389" s="17" t="str">
        <f t="shared" si="42"/>
        <v>medium</v>
      </c>
      <c r="T1389">
        <v>6225</v>
      </c>
      <c r="U1389">
        <v>0</v>
      </c>
      <c r="V1389" s="17" t="s">
        <v>43</v>
      </c>
      <c r="W1389">
        <v>12</v>
      </c>
      <c r="X1389">
        <v>3</v>
      </c>
      <c r="Y1389">
        <v>1</v>
      </c>
      <c r="Z1389">
        <v>1</v>
      </c>
      <c r="AA1389">
        <v>6</v>
      </c>
      <c r="AB1389">
        <v>5</v>
      </c>
      <c r="AC1389">
        <v>2</v>
      </c>
      <c r="AD1389" s="14">
        <v>5</v>
      </c>
      <c r="AE1389" t="str">
        <f t="shared" si="43"/>
        <v>3-5 years</v>
      </c>
      <c r="AF1389" s="14">
        <v>3</v>
      </c>
      <c r="AG1389" s="14">
        <v>0</v>
      </c>
      <c r="AH1389" s="14">
        <v>2</v>
      </c>
    </row>
    <row r="1390" spans="1:34" x14ac:dyDescent="0.3">
      <c r="A1390" s="14">
        <v>32</v>
      </c>
      <c r="B1390" s="17" t="s">
        <v>43</v>
      </c>
      <c r="C1390" t="s">
        <v>55</v>
      </c>
      <c r="D1390">
        <v>1146</v>
      </c>
      <c r="E1390" s="17" t="s">
        <v>45</v>
      </c>
      <c r="F1390">
        <v>15</v>
      </c>
      <c r="G1390">
        <v>4</v>
      </c>
      <c r="H1390" t="s">
        <v>51</v>
      </c>
      <c r="I1390">
        <v>1955</v>
      </c>
      <c r="J1390">
        <v>3</v>
      </c>
      <c r="K1390" s="17" t="s">
        <v>39</v>
      </c>
      <c r="L1390">
        <v>34</v>
      </c>
      <c r="M1390">
        <v>3</v>
      </c>
      <c r="N1390">
        <v>2</v>
      </c>
      <c r="O1390" s="17" t="s">
        <v>54</v>
      </c>
      <c r="P1390" s="14">
        <v>4</v>
      </c>
      <c r="Q1390" t="s">
        <v>52</v>
      </c>
      <c r="R1390" s="14">
        <v>6667</v>
      </c>
      <c r="S1390" s="17" t="str">
        <f t="shared" si="42"/>
        <v>medium</v>
      </c>
      <c r="T1390">
        <v>16542</v>
      </c>
      <c r="U1390">
        <v>5</v>
      </c>
      <c r="V1390" s="17" t="s">
        <v>43</v>
      </c>
      <c r="W1390">
        <v>18</v>
      </c>
      <c r="X1390">
        <v>3</v>
      </c>
      <c r="Y1390">
        <v>2</v>
      </c>
      <c r="Z1390">
        <v>1</v>
      </c>
      <c r="AA1390">
        <v>9</v>
      </c>
      <c r="AB1390">
        <v>6</v>
      </c>
      <c r="AC1390">
        <v>3</v>
      </c>
      <c r="AD1390" s="14">
        <v>5</v>
      </c>
      <c r="AE1390" t="str">
        <f t="shared" si="43"/>
        <v>3-5 years</v>
      </c>
      <c r="AF1390" s="14">
        <v>1</v>
      </c>
      <c r="AG1390" s="14">
        <v>1</v>
      </c>
      <c r="AH1390" s="14">
        <v>2</v>
      </c>
    </row>
    <row r="1391" spans="1:34" x14ac:dyDescent="0.3">
      <c r="A1391" s="14">
        <v>31</v>
      </c>
      <c r="B1391" s="17" t="s">
        <v>43</v>
      </c>
      <c r="C1391" t="s">
        <v>44</v>
      </c>
      <c r="D1391">
        <v>1125</v>
      </c>
      <c r="E1391" s="17" t="s">
        <v>45</v>
      </c>
      <c r="F1391">
        <v>1</v>
      </c>
      <c r="G1391">
        <v>3</v>
      </c>
      <c r="H1391" t="s">
        <v>38</v>
      </c>
      <c r="I1391">
        <v>1956</v>
      </c>
      <c r="J1391">
        <v>4</v>
      </c>
      <c r="K1391" s="17" t="s">
        <v>46</v>
      </c>
      <c r="L1391">
        <v>48</v>
      </c>
      <c r="M1391">
        <v>1</v>
      </c>
      <c r="N1391">
        <v>2</v>
      </c>
      <c r="O1391" s="17" t="s">
        <v>47</v>
      </c>
      <c r="P1391" s="14">
        <v>1</v>
      </c>
      <c r="Q1391" t="s">
        <v>48</v>
      </c>
      <c r="R1391" s="14">
        <v>5003</v>
      </c>
      <c r="S1391" s="17" t="str">
        <f t="shared" si="42"/>
        <v>medium</v>
      </c>
      <c r="T1391">
        <v>5771</v>
      </c>
      <c r="U1391">
        <v>1</v>
      </c>
      <c r="V1391" s="17" t="s">
        <v>43</v>
      </c>
      <c r="W1391">
        <v>21</v>
      </c>
      <c r="X1391">
        <v>4</v>
      </c>
      <c r="Y1391">
        <v>2</v>
      </c>
      <c r="Z1391">
        <v>0</v>
      </c>
      <c r="AA1391">
        <v>10</v>
      </c>
      <c r="AB1391">
        <v>6</v>
      </c>
      <c r="AC1391">
        <v>3</v>
      </c>
      <c r="AD1391" s="14">
        <v>10</v>
      </c>
      <c r="AE1391" t="str">
        <f t="shared" si="43"/>
        <v>6-10 years</v>
      </c>
      <c r="AF1391" s="14">
        <v>8</v>
      </c>
      <c r="AG1391" s="14">
        <v>8</v>
      </c>
      <c r="AH1391" s="14">
        <v>7</v>
      </c>
    </row>
    <row r="1392" spans="1:34" x14ac:dyDescent="0.3">
      <c r="A1392" s="14">
        <v>28</v>
      </c>
      <c r="B1392" s="17" t="s">
        <v>35</v>
      </c>
      <c r="C1392" t="s">
        <v>36</v>
      </c>
      <c r="D1392">
        <v>1404</v>
      </c>
      <c r="E1392" s="17" t="s">
        <v>45</v>
      </c>
      <c r="F1392">
        <v>17</v>
      </c>
      <c r="G1392">
        <v>3</v>
      </c>
      <c r="H1392" t="s">
        <v>60</v>
      </c>
      <c r="I1392">
        <v>1960</v>
      </c>
      <c r="J1392">
        <v>3</v>
      </c>
      <c r="K1392" s="17" t="s">
        <v>46</v>
      </c>
      <c r="L1392">
        <v>32</v>
      </c>
      <c r="M1392">
        <v>2</v>
      </c>
      <c r="N1392">
        <v>1</v>
      </c>
      <c r="O1392" s="17" t="s">
        <v>50</v>
      </c>
      <c r="P1392" s="14">
        <v>4</v>
      </c>
      <c r="Q1392" t="s">
        <v>52</v>
      </c>
      <c r="R1392" s="14">
        <v>2367</v>
      </c>
      <c r="S1392" s="17" t="str">
        <f t="shared" si="42"/>
        <v>low</v>
      </c>
      <c r="T1392">
        <v>18779</v>
      </c>
      <c r="U1392">
        <v>5</v>
      </c>
      <c r="V1392" s="17" t="s">
        <v>43</v>
      </c>
      <c r="W1392">
        <v>12</v>
      </c>
      <c r="X1392">
        <v>3</v>
      </c>
      <c r="Y1392">
        <v>1</v>
      </c>
      <c r="Z1392">
        <v>1</v>
      </c>
      <c r="AA1392">
        <v>6</v>
      </c>
      <c r="AB1392">
        <v>2</v>
      </c>
      <c r="AC1392">
        <v>2</v>
      </c>
      <c r="AD1392" s="14">
        <v>4</v>
      </c>
      <c r="AE1392" t="str">
        <f t="shared" si="43"/>
        <v>3-5 years</v>
      </c>
      <c r="AF1392" s="14">
        <v>1</v>
      </c>
      <c r="AG1392" s="14">
        <v>0</v>
      </c>
      <c r="AH1392" s="14">
        <v>3</v>
      </c>
    </row>
    <row r="1393" spans="1:34" x14ac:dyDescent="0.3">
      <c r="A1393" s="14">
        <v>38</v>
      </c>
      <c r="B1393" s="17" t="s">
        <v>43</v>
      </c>
      <c r="C1393" t="s">
        <v>36</v>
      </c>
      <c r="D1393">
        <v>1404</v>
      </c>
      <c r="E1393" s="17" t="s">
        <v>37</v>
      </c>
      <c r="F1393">
        <v>1</v>
      </c>
      <c r="G1393">
        <v>3</v>
      </c>
      <c r="H1393" t="s">
        <v>38</v>
      </c>
      <c r="I1393">
        <v>1961</v>
      </c>
      <c r="J1393">
        <v>1</v>
      </c>
      <c r="K1393" s="17" t="s">
        <v>46</v>
      </c>
      <c r="L1393">
        <v>59</v>
      </c>
      <c r="M1393">
        <v>2</v>
      </c>
      <c r="N1393">
        <v>1</v>
      </c>
      <c r="O1393" s="17" t="s">
        <v>57</v>
      </c>
      <c r="P1393" s="14">
        <v>1</v>
      </c>
      <c r="Q1393" t="s">
        <v>41</v>
      </c>
      <c r="R1393" s="14">
        <v>2858</v>
      </c>
      <c r="S1393" s="17" t="str">
        <f t="shared" si="42"/>
        <v>low</v>
      </c>
      <c r="T1393">
        <v>11473</v>
      </c>
      <c r="U1393">
        <v>4</v>
      </c>
      <c r="V1393" s="17" t="s">
        <v>43</v>
      </c>
      <c r="W1393">
        <v>14</v>
      </c>
      <c r="X1393">
        <v>3</v>
      </c>
      <c r="Y1393">
        <v>1</v>
      </c>
      <c r="Z1393">
        <v>0</v>
      </c>
      <c r="AA1393">
        <v>20</v>
      </c>
      <c r="AB1393">
        <v>3</v>
      </c>
      <c r="AC1393">
        <v>2</v>
      </c>
      <c r="AD1393" s="14">
        <v>1</v>
      </c>
      <c r="AE1393" t="str">
        <f t="shared" si="43"/>
        <v>0-2 years</v>
      </c>
      <c r="AF1393" s="14">
        <v>0</v>
      </c>
      <c r="AG1393" s="14">
        <v>0</v>
      </c>
      <c r="AH1393" s="14">
        <v>0</v>
      </c>
    </row>
    <row r="1394" spans="1:34" x14ac:dyDescent="0.3">
      <c r="A1394" s="14">
        <v>35</v>
      </c>
      <c r="B1394" s="17" t="s">
        <v>43</v>
      </c>
      <c r="C1394" t="s">
        <v>36</v>
      </c>
      <c r="D1394">
        <v>1224</v>
      </c>
      <c r="E1394" s="17" t="s">
        <v>37</v>
      </c>
      <c r="F1394">
        <v>7</v>
      </c>
      <c r="G1394">
        <v>4</v>
      </c>
      <c r="H1394" t="s">
        <v>38</v>
      </c>
      <c r="I1394">
        <v>1962</v>
      </c>
      <c r="J1394">
        <v>3</v>
      </c>
      <c r="K1394" s="17" t="s">
        <v>39</v>
      </c>
      <c r="L1394">
        <v>55</v>
      </c>
      <c r="M1394">
        <v>3</v>
      </c>
      <c r="N1394">
        <v>2</v>
      </c>
      <c r="O1394" s="17" t="s">
        <v>40</v>
      </c>
      <c r="P1394" s="14">
        <v>4</v>
      </c>
      <c r="Q1394" t="s">
        <v>48</v>
      </c>
      <c r="R1394" s="14">
        <v>5204</v>
      </c>
      <c r="S1394" s="17" t="str">
        <f t="shared" si="42"/>
        <v>medium</v>
      </c>
      <c r="T1394">
        <v>13586</v>
      </c>
      <c r="U1394">
        <v>1</v>
      </c>
      <c r="V1394" s="17" t="s">
        <v>35</v>
      </c>
      <c r="W1394">
        <v>11</v>
      </c>
      <c r="X1394">
        <v>3</v>
      </c>
      <c r="Y1394">
        <v>4</v>
      </c>
      <c r="Z1394">
        <v>0</v>
      </c>
      <c r="AA1394">
        <v>10</v>
      </c>
      <c r="AB1394">
        <v>2</v>
      </c>
      <c r="AC1394">
        <v>3</v>
      </c>
      <c r="AD1394" s="14">
        <v>10</v>
      </c>
      <c r="AE1394" t="str">
        <f t="shared" si="43"/>
        <v>6-10 years</v>
      </c>
      <c r="AF1394" s="14">
        <v>8</v>
      </c>
      <c r="AG1394" s="14">
        <v>0</v>
      </c>
      <c r="AH1394" s="14">
        <v>9</v>
      </c>
    </row>
    <row r="1395" spans="1:34" x14ac:dyDescent="0.3">
      <c r="A1395" s="14">
        <v>27</v>
      </c>
      <c r="B1395" s="17" t="s">
        <v>43</v>
      </c>
      <c r="C1395" t="s">
        <v>36</v>
      </c>
      <c r="D1395">
        <v>954</v>
      </c>
      <c r="E1395" s="17" t="s">
        <v>37</v>
      </c>
      <c r="F1395">
        <v>9</v>
      </c>
      <c r="G1395">
        <v>3</v>
      </c>
      <c r="H1395" t="s">
        <v>59</v>
      </c>
      <c r="I1395">
        <v>1965</v>
      </c>
      <c r="J1395">
        <v>4</v>
      </c>
      <c r="K1395" s="17" t="s">
        <v>46</v>
      </c>
      <c r="L1395">
        <v>44</v>
      </c>
      <c r="M1395">
        <v>3</v>
      </c>
      <c r="N1395">
        <v>2</v>
      </c>
      <c r="O1395" s="17" t="s">
        <v>40</v>
      </c>
      <c r="P1395" s="14">
        <v>4</v>
      </c>
      <c r="Q1395" t="s">
        <v>41</v>
      </c>
      <c r="R1395" s="14">
        <v>4105</v>
      </c>
      <c r="S1395" s="17" t="str">
        <f t="shared" si="42"/>
        <v>medium</v>
      </c>
      <c r="T1395">
        <v>5099</v>
      </c>
      <c r="U1395">
        <v>1</v>
      </c>
      <c r="V1395" s="17" t="s">
        <v>43</v>
      </c>
      <c r="W1395">
        <v>14</v>
      </c>
      <c r="X1395">
        <v>3</v>
      </c>
      <c r="Y1395">
        <v>1</v>
      </c>
      <c r="Z1395">
        <v>0</v>
      </c>
      <c r="AA1395">
        <v>7</v>
      </c>
      <c r="AB1395">
        <v>5</v>
      </c>
      <c r="AC1395">
        <v>3</v>
      </c>
      <c r="AD1395" s="14">
        <v>7</v>
      </c>
      <c r="AE1395" t="str">
        <f t="shared" si="43"/>
        <v>6-10 years</v>
      </c>
      <c r="AF1395" s="14">
        <v>7</v>
      </c>
      <c r="AG1395" s="14">
        <v>0</v>
      </c>
      <c r="AH1395" s="14">
        <v>7</v>
      </c>
    </row>
    <row r="1396" spans="1:34" x14ac:dyDescent="0.3">
      <c r="A1396" s="14">
        <v>32</v>
      </c>
      <c r="B1396" s="17" t="s">
        <v>43</v>
      </c>
      <c r="C1396" t="s">
        <v>36</v>
      </c>
      <c r="D1396">
        <v>1373</v>
      </c>
      <c r="E1396" s="17" t="s">
        <v>45</v>
      </c>
      <c r="F1396">
        <v>5</v>
      </c>
      <c r="G1396">
        <v>4</v>
      </c>
      <c r="H1396" t="s">
        <v>38</v>
      </c>
      <c r="I1396">
        <v>1966</v>
      </c>
      <c r="J1396">
        <v>4</v>
      </c>
      <c r="K1396" s="17" t="s">
        <v>46</v>
      </c>
      <c r="L1396">
        <v>56</v>
      </c>
      <c r="M1396">
        <v>2</v>
      </c>
      <c r="N1396">
        <v>2</v>
      </c>
      <c r="O1396" s="17" t="s">
        <v>53</v>
      </c>
      <c r="P1396" s="14">
        <v>4</v>
      </c>
      <c r="Q1396" t="s">
        <v>41</v>
      </c>
      <c r="R1396" s="14">
        <v>9679</v>
      </c>
      <c r="S1396" s="17" t="str">
        <f t="shared" si="42"/>
        <v>high</v>
      </c>
      <c r="T1396">
        <v>10138</v>
      </c>
      <c r="U1396">
        <v>8</v>
      </c>
      <c r="V1396" s="17" t="s">
        <v>43</v>
      </c>
      <c r="W1396">
        <v>24</v>
      </c>
      <c r="X1396">
        <v>4</v>
      </c>
      <c r="Y1396">
        <v>2</v>
      </c>
      <c r="Z1396">
        <v>0</v>
      </c>
      <c r="AA1396">
        <v>8</v>
      </c>
      <c r="AB1396">
        <v>1</v>
      </c>
      <c r="AC1396">
        <v>3</v>
      </c>
      <c r="AD1396" s="14">
        <v>1</v>
      </c>
      <c r="AE1396" t="str">
        <f t="shared" si="43"/>
        <v>0-2 years</v>
      </c>
      <c r="AF1396" s="14">
        <v>0</v>
      </c>
      <c r="AG1396" s="14">
        <v>0</v>
      </c>
      <c r="AH1396" s="14">
        <v>0</v>
      </c>
    </row>
    <row r="1397" spans="1:34" x14ac:dyDescent="0.3">
      <c r="A1397" s="14">
        <v>31</v>
      </c>
      <c r="B1397" s="17" t="s">
        <v>35</v>
      </c>
      <c r="C1397" t="s">
        <v>44</v>
      </c>
      <c r="D1397">
        <v>754</v>
      </c>
      <c r="E1397" s="17" t="s">
        <v>37</v>
      </c>
      <c r="F1397">
        <v>26</v>
      </c>
      <c r="G1397">
        <v>4</v>
      </c>
      <c r="H1397" t="s">
        <v>59</v>
      </c>
      <c r="I1397">
        <v>1967</v>
      </c>
      <c r="J1397">
        <v>1</v>
      </c>
      <c r="K1397" s="17" t="s">
        <v>46</v>
      </c>
      <c r="L1397">
        <v>63</v>
      </c>
      <c r="M1397">
        <v>3</v>
      </c>
      <c r="N1397">
        <v>2</v>
      </c>
      <c r="O1397" s="17" t="s">
        <v>40</v>
      </c>
      <c r="P1397" s="14">
        <v>4</v>
      </c>
      <c r="Q1397" t="s">
        <v>48</v>
      </c>
      <c r="R1397" s="14">
        <v>5617</v>
      </c>
      <c r="S1397" s="17" t="str">
        <f t="shared" si="42"/>
        <v>medium</v>
      </c>
      <c r="T1397">
        <v>21075</v>
      </c>
      <c r="U1397">
        <v>1</v>
      </c>
      <c r="V1397" s="17" t="s">
        <v>35</v>
      </c>
      <c r="W1397">
        <v>11</v>
      </c>
      <c r="X1397">
        <v>3</v>
      </c>
      <c r="Y1397">
        <v>3</v>
      </c>
      <c r="Z1397">
        <v>0</v>
      </c>
      <c r="AA1397">
        <v>10</v>
      </c>
      <c r="AB1397">
        <v>4</v>
      </c>
      <c r="AC1397">
        <v>3</v>
      </c>
      <c r="AD1397" s="14">
        <v>10</v>
      </c>
      <c r="AE1397" t="str">
        <f t="shared" si="43"/>
        <v>6-10 years</v>
      </c>
      <c r="AF1397" s="14">
        <v>7</v>
      </c>
      <c r="AG1397" s="14">
        <v>0</v>
      </c>
      <c r="AH1397" s="14">
        <v>8</v>
      </c>
    </row>
    <row r="1398" spans="1:34" x14ac:dyDescent="0.3">
      <c r="A1398" s="14">
        <v>53</v>
      </c>
      <c r="B1398" s="17" t="s">
        <v>35</v>
      </c>
      <c r="C1398" t="s">
        <v>36</v>
      </c>
      <c r="D1398">
        <v>1168</v>
      </c>
      <c r="E1398" s="17" t="s">
        <v>37</v>
      </c>
      <c r="F1398">
        <v>24</v>
      </c>
      <c r="G1398">
        <v>4</v>
      </c>
      <c r="H1398" t="s">
        <v>38</v>
      </c>
      <c r="I1398">
        <v>1968</v>
      </c>
      <c r="J1398">
        <v>1</v>
      </c>
      <c r="K1398" s="17" t="s">
        <v>46</v>
      </c>
      <c r="L1398">
        <v>66</v>
      </c>
      <c r="M1398">
        <v>3</v>
      </c>
      <c r="N1398">
        <v>3</v>
      </c>
      <c r="O1398" s="17" t="s">
        <v>40</v>
      </c>
      <c r="P1398" s="14">
        <v>1</v>
      </c>
      <c r="Q1398" t="s">
        <v>41</v>
      </c>
      <c r="R1398" s="14">
        <v>10448</v>
      </c>
      <c r="S1398" s="17" t="str">
        <f t="shared" si="42"/>
        <v>high</v>
      </c>
      <c r="T1398">
        <v>5843</v>
      </c>
      <c r="U1398">
        <v>6</v>
      </c>
      <c r="V1398" s="17" t="s">
        <v>35</v>
      </c>
      <c r="W1398">
        <v>13</v>
      </c>
      <c r="X1398">
        <v>3</v>
      </c>
      <c r="Y1398">
        <v>2</v>
      </c>
      <c r="Z1398">
        <v>0</v>
      </c>
      <c r="AA1398">
        <v>15</v>
      </c>
      <c r="AB1398">
        <v>2</v>
      </c>
      <c r="AC1398">
        <v>2</v>
      </c>
      <c r="AD1398" s="14">
        <v>2</v>
      </c>
      <c r="AE1398" t="str">
        <f t="shared" si="43"/>
        <v>0-2 years</v>
      </c>
      <c r="AF1398" s="14">
        <v>2</v>
      </c>
      <c r="AG1398" s="14">
        <v>2</v>
      </c>
      <c r="AH1398" s="14">
        <v>2</v>
      </c>
    </row>
    <row r="1399" spans="1:34" x14ac:dyDescent="0.3">
      <c r="A1399" s="14">
        <v>54</v>
      </c>
      <c r="B1399" s="17" t="s">
        <v>43</v>
      </c>
      <c r="C1399" t="s">
        <v>36</v>
      </c>
      <c r="D1399">
        <v>155</v>
      </c>
      <c r="E1399" s="17" t="s">
        <v>45</v>
      </c>
      <c r="F1399">
        <v>9</v>
      </c>
      <c r="G1399">
        <v>2</v>
      </c>
      <c r="H1399" t="s">
        <v>38</v>
      </c>
      <c r="I1399">
        <v>1969</v>
      </c>
      <c r="J1399">
        <v>1</v>
      </c>
      <c r="K1399" s="17" t="s">
        <v>39</v>
      </c>
      <c r="L1399">
        <v>67</v>
      </c>
      <c r="M1399">
        <v>3</v>
      </c>
      <c r="N1399">
        <v>2</v>
      </c>
      <c r="O1399" s="17" t="s">
        <v>47</v>
      </c>
      <c r="P1399" s="14">
        <v>3</v>
      </c>
      <c r="Q1399" t="s">
        <v>48</v>
      </c>
      <c r="R1399" s="14">
        <v>2897</v>
      </c>
      <c r="S1399" s="17" t="str">
        <f t="shared" si="42"/>
        <v>low</v>
      </c>
      <c r="T1399">
        <v>22474</v>
      </c>
      <c r="U1399">
        <v>3</v>
      </c>
      <c r="V1399" s="17" t="s">
        <v>43</v>
      </c>
      <c r="W1399">
        <v>11</v>
      </c>
      <c r="X1399">
        <v>3</v>
      </c>
      <c r="Y1399">
        <v>3</v>
      </c>
      <c r="Z1399">
        <v>2</v>
      </c>
      <c r="AA1399">
        <v>9</v>
      </c>
      <c r="AB1399">
        <v>6</v>
      </c>
      <c r="AC1399">
        <v>2</v>
      </c>
      <c r="AD1399" s="14">
        <v>4</v>
      </c>
      <c r="AE1399" t="str">
        <f t="shared" si="43"/>
        <v>3-5 years</v>
      </c>
      <c r="AF1399" s="14">
        <v>3</v>
      </c>
      <c r="AG1399" s="14">
        <v>2</v>
      </c>
      <c r="AH1399" s="14">
        <v>3</v>
      </c>
    </row>
    <row r="1400" spans="1:34" x14ac:dyDescent="0.3">
      <c r="A1400" s="14">
        <v>33</v>
      </c>
      <c r="B1400" s="17" t="s">
        <v>43</v>
      </c>
      <c r="C1400" t="s">
        <v>44</v>
      </c>
      <c r="D1400">
        <v>1303</v>
      </c>
      <c r="E1400" s="17" t="s">
        <v>45</v>
      </c>
      <c r="F1400">
        <v>7</v>
      </c>
      <c r="G1400">
        <v>2</v>
      </c>
      <c r="H1400" t="s">
        <v>38</v>
      </c>
      <c r="I1400">
        <v>1970</v>
      </c>
      <c r="J1400">
        <v>4</v>
      </c>
      <c r="K1400" s="17" t="s">
        <v>46</v>
      </c>
      <c r="L1400">
        <v>36</v>
      </c>
      <c r="M1400">
        <v>3</v>
      </c>
      <c r="N1400">
        <v>2</v>
      </c>
      <c r="O1400" s="17" t="s">
        <v>54</v>
      </c>
      <c r="P1400" s="14">
        <v>3</v>
      </c>
      <c r="Q1400" t="s">
        <v>52</v>
      </c>
      <c r="R1400" s="14">
        <v>5968</v>
      </c>
      <c r="S1400" s="17" t="str">
        <f t="shared" si="42"/>
        <v>medium</v>
      </c>
      <c r="T1400">
        <v>18079</v>
      </c>
      <c r="U1400">
        <v>1</v>
      </c>
      <c r="V1400" s="17" t="s">
        <v>43</v>
      </c>
      <c r="W1400">
        <v>20</v>
      </c>
      <c r="X1400">
        <v>4</v>
      </c>
      <c r="Y1400">
        <v>3</v>
      </c>
      <c r="Z1400">
        <v>3</v>
      </c>
      <c r="AA1400">
        <v>9</v>
      </c>
      <c r="AB1400">
        <v>2</v>
      </c>
      <c r="AC1400">
        <v>3</v>
      </c>
      <c r="AD1400" s="14">
        <v>9</v>
      </c>
      <c r="AE1400" t="str">
        <f t="shared" si="43"/>
        <v>6-10 years</v>
      </c>
      <c r="AF1400" s="14">
        <v>7</v>
      </c>
      <c r="AG1400" s="14">
        <v>2</v>
      </c>
      <c r="AH1400" s="14">
        <v>8</v>
      </c>
    </row>
    <row r="1401" spans="1:34" x14ac:dyDescent="0.3">
      <c r="A1401" s="14">
        <v>43</v>
      </c>
      <c r="B1401" s="17" t="s">
        <v>43</v>
      </c>
      <c r="C1401" t="s">
        <v>36</v>
      </c>
      <c r="D1401">
        <v>574</v>
      </c>
      <c r="E1401" s="17" t="s">
        <v>45</v>
      </c>
      <c r="F1401">
        <v>11</v>
      </c>
      <c r="G1401">
        <v>3</v>
      </c>
      <c r="H1401" t="s">
        <v>38</v>
      </c>
      <c r="I1401">
        <v>1971</v>
      </c>
      <c r="J1401">
        <v>1</v>
      </c>
      <c r="K1401" s="17" t="s">
        <v>46</v>
      </c>
      <c r="L1401">
        <v>30</v>
      </c>
      <c r="M1401">
        <v>3</v>
      </c>
      <c r="N1401">
        <v>3</v>
      </c>
      <c r="O1401" s="17" t="s">
        <v>54</v>
      </c>
      <c r="P1401" s="14">
        <v>3</v>
      </c>
      <c r="Q1401" t="s">
        <v>48</v>
      </c>
      <c r="R1401" s="14">
        <v>7510</v>
      </c>
      <c r="S1401" s="17" t="str">
        <f t="shared" si="42"/>
        <v>high</v>
      </c>
      <c r="T1401">
        <v>16873</v>
      </c>
      <c r="U1401">
        <v>1</v>
      </c>
      <c r="V1401" s="17" t="s">
        <v>43</v>
      </c>
      <c r="W1401">
        <v>17</v>
      </c>
      <c r="X1401">
        <v>3</v>
      </c>
      <c r="Y1401">
        <v>2</v>
      </c>
      <c r="Z1401">
        <v>1</v>
      </c>
      <c r="AA1401">
        <v>10</v>
      </c>
      <c r="AB1401">
        <v>1</v>
      </c>
      <c r="AC1401">
        <v>3</v>
      </c>
      <c r="AD1401" s="14">
        <v>10</v>
      </c>
      <c r="AE1401" t="str">
        <f t="shared" si="43"/>
        <v>6-10 years</v>
      </c>
      <c r="AF1401" s="14">
        <v>9</v>
      </c>
      <c r="AG1401" s="14">
        <v>0</v>
      </c>
      <c r="AH1401" s="14">
        <v>9</v>
      </c>
    </row>
    <row r="1402" spans="1:34" x14ac:dyDescent="0.3">
      <c r="A1402" s="14">
        <v>38</v>
      </c>
      <c r="B1402" s="17" t="s">
        <v>43</v>
      </c>
      <c r="C1402" t="s">
        <v>44</v>
      </c>
      <c r="D1402">
        <v>1444</v>
      </c>
      <c r="E1402" s="17" t="s">
        <v>61</v>
      </c>
      <c r="F1402">
        <v>1</v>
      </c>
      <c r="G1402">
        <v>4</v>
      </c>
      <c r="H1402" t="s">
        <v>49</v>
      </c>
      <c r="I1402">
        <v>1972</v>
      </c>
      <c r="J1402">
        <v>4</v>
      </c>
      <c r="K1402" s="17" t="s">
        <v>46</v>
      </c>
      <c r="L1402">
        <v>88</v>
      </c>
      <c r="M1402">
        <v>3</v>
      </c>
      <c r="N1402">
        <v>1</v>
      </c>
      <c r="O1402" s="17" t="s">
        <v>61</v>
      </c>
      <c r="P1402" s="14">
        <v>2</v>
      </c>
      <c r="Q1402" t="s">
        <v>48</v>
      </c>
      <c r="R1402" s="14">
        <v>2991</v>
      </c>
      <c r="S1402" s="17" t="str">
        <f t="shared" si="42"/>
        <v>low</v>
      </c>
      <c r="T1402">
        <v>5224</v>
      </c>
      <c r="U1402">
        <v>0</v>
      </c>
      <c r="V1402" s="17" t="s">
        <v>35</v>
      </c>
      <c r="W1402">
        <v>11</v>
      </c>
      <c r="X1402">
        <v>3</v>
      </c>
      <c r="Y1402">
        <v>2</v>
      </c>
      <c r="Z1402">
        <v>1</v>
      </c>
      <c r="AA1402">
        <v>7</v>
      </c>
      <c r="AB1402">
        <v>2</v>
      </c>
      <c r="AC1402">
        <v>3</v>
      </c>
      <c r="AD1402" s="14">
        <v>6</v>
      </c>
      <c r="AE1402" t="str">
        <f t="shared" si="43"/>
        <v>6-10 years</v>
      </c>
      <c r="AF1402" s="14">
        <v>2</v>
      </c>
      <c r="AG1402" s="14">
        <v>1</v>
      </c>
      <c r="AH1402" s="14">
        <v>2</v>
      </c>
    </row>
    <row r="1403" spans="1:34" x14ac:dyDescent="0.3">
      <c r="A1403" s="14">
        <v>55</v>
      </c>
      <c r="B1403" s="17" t="s">
        <v>43</v>
      </c>
      <c r="C1403" t="s">
        <v>36</v>
      </c>
      <c r="D1403">
        <v>189</v>
      </c>
      <c r="E1403" s="17" t="s">
        <v>61</v>
      </c>
      <c r="F1403">
        <v>26</v>
      </c>
      <c r="G1403">
        <v>4</v>
      </c>
      <c r="H1403" t="s">
        <v>61</v>
      </c>
      <c r="I1403">
        <v>1973</v>
      </c>
      <c r="J1403">
        <v>3</v>
      </c>
      <c r="K1403" s="17" t="s">
        <v>46</v>
      </c>
      <c r="L1403">
        <v>71</v>
      </c>
      <c r="M1403">
        <v>4</v>
      </c>
      <c r="N1403">
        <v>5</v>
      </c>
      <c r="O1403" s="17" t="s">
        <v>56</v>
      </c>
      <c r="P1403" s="14">
        <v>2</v>
      </c>
      <c r="Q1403" t="s">
        <v>48</v>
      </c>
      <c r="R1403" s="14">
        <v>19636</v>
      </c>
      <c r="S1403" s="17" t="str">
        <f t="shared" si="42"/>
        <v>high</v>
      </c>
      <c r="T1403">
        <v>25811</v>
      </c>
      <c r="U1403">
        <v>4</v>
      </c>
      <c r="V1403" s="17" t="s">
        <v>35</v>
      </c>
      <c r="W1403">
        <v>18</v>
      </c>
      <c r="X1403">
        <v>3</v>
      </c>
      <c r="Y1403">
        <v>1</v>
      </c>
      <c r="Z1403">
        <v>1</v>
      </c>
      <c r="AA1403">
        <v>35</v>
      </c>
      <c r="AB1403">
        <v>0</v>
      </c>
      <c r="AC1403">
        <v>3</v>
      </c>
      <c r="AD1403" s="14">
        <v>10</v>
      </c>
      <c r="AE1403" t="str">
        <f t="shared" si="43"/>
        <v>6-10 years</v>
      </c>
      <c r="AF1403" s="14">
        <v>9</v>
      </c>
      <c r="AG1403" s="14">
        <v>1</v>
      </c>
      <c r="AH1403" s="14">
        <v>4</v>
      </c>
    </row>
    <row r="1404" spans="1:34" x14ac:dyDescent="0.3">
      <c r="A1404" s="14">
        <v>31</v>
      </c>
      <c r="B1404" s="17" t="s">
        <v>43</v>
      </c>
      <c r="C1404" t="s">
        <v>36</v>
      </c>
      <c r="D1404">
        <v>1276</v>
      </c>
      <c r="E1404" s="17" t="s">
        <v>45</v>
      </c>
      <c r="F1404">
        <v>2</v>
      </c>
      <c r="G1404">
        <v>1</v>
      </c>
      <c r="H1404" t="s">
        <v>51</v>
      </c>
      <c r="I1404">
        <v>1974</v>
      </c>
      <c r="J1404">
        <v>4</v>
      </c>
      <c r="K1404" s="17" t="s">
        <v>39</v>
      </c>
      <c r="L1404">
        <v>59</v>
      </c>
      <c r="M1404">
        <v>1</v>
      </c>
      <c r="N1404">
        <v>1</v>
      </c>
      <c r="O1404" s="17" t="s">
        <v>50</v>
      </c>
      <c r="P1404" s="14">
        <v>4</v>
      </c>
      <c r="Q1404" t="s">
        <v>52</v>
      </c>
      <c r="R1404" s="14">
        <v>1129</v>
      </c>
      <c r="S1404" s="17" t="str">
        <f t="shared" si="42"/>
        <v>low</v>
      </c>
      <c r="T1404">
        <v>17536</v>
      </c>
      <c r="U1404">
        <v>1</v>
      </c>
      <c r="V1404" s="17" t="s">
        <v>35</v>
      </c>
      <c r="W1404">
        <v>11</v>
      </c>
      <c r="X1404">
        <v>3</v>
      </c>
      <c r="Y1404">
        <v>3</v>
      </c>
      <c r="Z1404">
        <v>3</v>
      </c>
      <c r="AA1404">
        <v>1</v>
      </c>
      <c r="AB1404">
        <v>4</v>
      </c>
      <c r="AC1404">
        <v>3</v>
      </c>
      <c r="AD1404" s="14">
        <v>1</v>
      </c>
      <c r="AE1404" t="str">
        <f t="shared" si="43"/>
        <v>0-2 years</v>
      </c>
      <c r="AF1404" s="14">
        <v>0</v>
      </c>
      <c r="AG1404" s="14">
        <v>0</v>
      </c>
      <c r="AH1404" s="14">
        <v>0</v>
      </c>
    </row>
    <row r="1405" spans="1:34" x14ac:dyDescent="0.3">
      <c r="A1405" s="14">
        <v>39</v>
      </c>
      <c r="B1405" s="17" t="s">
        <v>43</v>
      </c>
      <c r="C1405" t="s">
        <v>36</v>
      </c>
      <c r="D1405">
        <v>119</v>
      </c>
      <c r="E1405" s="17" t="s">
        <v>37</v>
      </c>
      <c r="F1405">
        <v>15</v>
      </c>
      <c r="G1405">
        <v>4</v>
      </c>
      <c r="H1405" t="s">
        <v>59</v>
      </c>
      <c r="I1405">
        <v>1975</v>
      </c>
      <c r="J1405">
        <v>2</v>
      </c>
      <c r="K1405" s="17" t="s">
        <v>46</v>
      </c>
      <c r="L1405">
        <v>77</v>
      </c>
      <c r="M1405">
        <v>3</v>
      </c>
      <c r="N1405">
        <v>4</v>
      </c>
      <c r="O1405" s="17" t="s">
        <v>40</v>
      </c>
      <c r="P1405" s="14">
        <v>1</v>
      </c>
      <c r="Q1405" t="s">
        <v>41</v>
      </c>
      <c r="R1405" s="14">
        <v>13341</v>
      </c>
      <c r="S1405" s="17" t="str">
        <f t="shared" si="42"/>
        <v>high</v>
      </c>
      <c r="T1405">
        <v>25098</v>
      </c>
      <c r="U1405">
        <v>0</v>
      </c>
      <c r="V1405" s="17" t="s">
        <v>43</v>
      </c>
      <c r="W1405">
        <v>12</v>
      </c>
      <c r="X1405">
        <v>3</v>
      </c>
      <c r="Y1405">
        <v>1</v>
      </c>
      <c r="Z1405">
        <v>0</v>
      </c>
      <c r="AA1405">
        <v>21</v>
      </c>
      <c r="AB1405">
        <v>3</v>
      </c>
      <c r="AC1405">
        <v>3</v>
      </c>
      <c r="AD1405" s="14">
        <v>20</v>
      </c>
      <c r="AE1405" t="str">
        <f t="shared" si="43"/>
        <v>10+ years</v>
      </c>
      <c r="AF1405" s="14">
        <v>8</v>
      </c>
      <c r="AG1405" s="14">
        <v>11</v>
      </c>
      <c r="AH1405" s="14">
        <v>10</v>
      </c>
    </row>
    <row r="1406" spans="1:34" x14ac:dyDescent="0.3">
      <c r="A1406" s="14">
        <v>42</v>
      </c>
      <c r="B1406" s="17" t="s">
        <v>43</v>
      </c>
      <c r="C1406" t="s">
        <v>55</v>
      </c>
      <c r="D1406">
        <v>335</v>
      </c>
      <c r="E1406" s="17" t="s">
        <v>45</v>
      </c>
      <c r="F1406">
        <v>23</v>
      </c>
      <c r="G1406">
        <v>2</v>
      </c>
      <c r="H1406" t="s">
        <v>38</v>
      </c>
      <c r="I1406">
        <v>1976</v>
      </c>
      <c r="J1406">
        <v>4</v>
      </c>
      <c r="K1406" s="17" t="s">
        <v>46</v>
      </c>
      <c r="L1406">
        <v>37</v>
      </c>
      <c r="M1406">
        <v>2</v>
      </c>
      <c r="N1406">
        <v>2</v>
      </c>
      <c r="O1406" s="17" t="s">
        <v>47</v>
      </c>
      <c r="P1406" s="14">
        <v>3</v>
      </c>
      <c r="Q1406" t="s">
        <v>41</v>
      </c>
      <c r="R1406" s="14">
        <v>4332</v>
      </c>
      <c r="S1406" s="17" t="str">
        <f t="shared" si="42"/>
        <v>medium</v>
      </c>
      <c r="T1406">
        <v>14811</v>
      </c>
      <c r="U1406">
        <v>1</v>
      </c>
      <c r="V1406" s="17" t="s">
        <v>43</v>
      </c>
      <c r="W1406">
        <v>12</v>
      </c>
      <c r="X1406">
        <v>3</v>
      </c>
      <c r="Y1406">
        <v>4</v>
      </c>
      <c r="Z1406">
        <v>0</v>
      </c>
      <c r="AA1406">
        <v>20</v>
      </c>
      <c r="AB1406">
        <v>2</v>
      </c>
      <c r="AC1406">
        <v>3</v>
      </c>
      <c r="AD1406" s="14">
        <v>20</v>
      </c>
      <c r="AE1406" t="str">
        <f t="shared" si="43"/>
        <v>10+ years</v>
      </c>
      <c r="AF1406" s="14">
        <v>9</v>
      </c>
      <c r="AG1406" s="14">
        <v>3</v>
      </c>
      <c r="AH1406" s="14">
        <v>7</v>
      </c>
    </row>
    <row r="1407" spans="1:34" x14ac:dyDescent="0.3">
      <c r="A1407" s="14">
        <v>31</v>
      </c>
      <c r="B1407" s="17" t="s">
        <v>43</v>
      </c>
      <c r="C1407" t="s">
        <v>55</v>
      </c>
      <c r="D1407">
        <v>697</v>
      </c>
      <c r="E1407" s="17" t="s">
        <v>45</v>
      </c>
      <c r="F1407">
        <v>10</v>
      </c>
      <c r="G1407">
        <v>3</v>
      </c>
      <c r="H1407" t="s">
        <v>51</v>
      </c>
      <c r="I1407">
        <v>1979</v>
      </c>
      <c r="J1407">
        <v>3</v>
      </c>
      <c r="K1407" s="17" t="s">
        <v>39</v>
      </c>
      <c r="L1407">
        <v>40</v>
      </c>
      <c r="M1407">
        <v>3</v>
      </c>
      <c r="N1407">
        <v>3</v>
      </c>
      <c r="O1407" s="17" t="s">
        <v>58</v>
      </c>
      <c r="P1407" s="14">
        <v>3</v>
      </c>
      <c r="Q1407" t="s">
        <v>48</v>
      </c>
      <c r="R1407" s="14">
        <v>11031</v>
      </c>
      <c r="S1407" s="17" t="str">
        <f t="shared" si="42"/>
        <v>high</v>
      </c>
      <c r="T1407">
        <v>26862</v>
      </c>
      <c r="U1407">
        <v>4</v>
      </c>
      <c r="V1407" s="17" t="s">
        <v>43</v>
      </c>
      <c r="W1407">
        <v>20</v>
      </c>
      <c r="X1407">
        <v>4</v>
      </c>
      <c r="Y1407">
        <v>3</v>
      </c>
      <c r="Z1407">
        <v>1</v>
      </c>
      <c r="AA1407">
        <v>13</v>
      </c>
      <c r="AB1407">
        <v>2</v>
      </c>
      <c r="AC1407">
        <v>4</v>
      </c>
      <c r="AD1407" s="14">
        <v>11</v>
      </c>
      <c r="AE1407" t="str">
        <f t="shared" si="43"/>
        <v>10+ years</v>
      </c>
      <c r="AF1407" s="14">
        <v>7</v>
      </c>
      <c r="AG1407" s="14">
        <v>4</v>
      </c>
      <c r="AH1407" s="14">
        <v>8</v>
      </c>
    </row>
    <row r="1408" spans="1:34" x14ac:dyDescent="0.3">
      <c r="A1408" s="14">
        <v>54</v>
      </c>
      <c r="B1408" s="17" t="s">
        <v>43</v>
      </c>
      <c r="C1408" t="s">
        <v>36</v>
      </c>
      <c r="D1408">
        <v>157</v>
      </c>
      <c r="E1408" s="17" t="s">
        <v>45</v>
      </c>
      <c r="F1408">
        <v>10</v>
      </c>
      <c r="G1408">
        <v>3</v>
      </c>
      <c r="H1408" t="s">
        <v>51</v>
      </c>
      <c r="I1408">
        <v>1980</v>
      </c>
      <c r="J1408">
        <v>3</v>
      </c>
      <c r="K1408" s="17" t="s">
        <v>39</v>
      </c>
      <c r="L1408">
        <v>77</v>
      </c>
      <c r="M1408">
        <v>3</v>
      </c>
      <c r="N1408">
        <v>2</v>
      </c>
      <c r="O1408" s="17" t="s">
        <v>53</v>
      </c>
      <c r="P1408" s="14">
        <v>1</v>
      </c>
      <c r="Q1408" t="s">
        <v>41</v>
      </c>
      <c r="R1408" s="14">
        <v>4440</v>
      </c>
      <c r="S1408" s="17" t="str">
        <f t="shared" si="42"/>
        <v>medium</v>
      </c>
      <c r="T1408">
        <v>25198</v>
      </c>
      <c r="U1408">
        <v>6</v>
      </c>
      <c r="V1408" s="17" t="s">
        <v>35</v>
      </c>
      <c r="W1408">
        <v>19</v>
      </c>
      <c r="X1408">
        <v>3</v>
      </c>
      <c r="Y1408">
        <v>4</v>
      </c>
      <c r="Z1408">
        <v>0</v>
      </c>
      <c r="AA1408">
        <v>9</v>
      </c>
      <c r="AB1408">
        <v>3</v>
      </c>
      <c r="AC1408">
        <v>3</v>
      </c>
      <c r="AD1408" s="14">
        <v>5</v>
      </c>
      <c r="AE1408" t="str">
        <f t="shared" si="43"/>
        <v>3-5 years</v>
      </c>
      <c r="AF1408" s="14">
        <v>2</v>
      </c>
      <c r="AG1408" s="14">
        <v>1</v>
      </c>
      <c r="AH1408" s="14">
        <v>4</v>
      </c>
    </row>
    <row r="1409" spans="1:34" x14ac:dyDescent="0.3">
      <c r="A1409" s="14">
        <v>24</v>
      </c>
      <c r="B1409" s="17" t="s">
        <v>43</v>
      </c>
      <c r="C1409" t="s">
        <v>36</v>
      </c>
      <c r="D1409">
        <v>771</v>
      </c>
      <c r="E1409" s="17" t="s">
        <v>45</v>
      </c>
      <c r="F1409">
        <v>1</v>
      </c>
      <c r="G1409">
        <v>2</v>
      </c>
      <c r="H1409" t="s">
        <v>38</v>
      </c>
      <c r="I1409">
        <v>1981</v>
      </c>
      <c r="J1409">
        <v>2</v>
      </c>
      <c r="K1409" s="17" t="s">
        <v>46</v>
      </c>
      <c r="L1409">
        <v>45</v>
      </c>
      <c r="M1409">
        <v>2</v>
      </c>
      <c r="N1409">
        <v>2</v>
      </c>
      <c r="O1409" s="17" t="s">
        <v>54</v>
      </c>
      <c r="P1409" s="14">
        <v>3</v>
      </c>
      <c r="Q1409" t="s">
        <v>41</v>
      </c>
      <c r="R1409" s="14">
        <v>4617</v>
      </c>
      <c r="S1409" s="17" t="str">
        <f t="shared" si="42"/>
        <v>medium</v>
      </c>
      <c r="T1409">
        <v>14120</v>
      </c>
      <c r="U1409">
        <v>1</v>
      </c>
      <c r="V1409" s="17" t="s">
        <v>43</v>
      </c>
      <c r="W1409">
        <v>12</v>
      </c>
      <c r="X1409">
        <v>3</v>
      </c>
      <c r="Y1409">
        <v>2</v>
      </c>
      <c r="Z1409">
        <v>0</v>
      </c>
      <c r="AA1409">
        <v>4</v>
      </c>
      <c r="AB1409">
        <v>2</v>
      </c>
      <c r="AC1409">
        <v>2</v>
      </c>
      <c r="AD1409" s="14">
        <v>4</v>
      </c>
      <c r="AE1409" t="str">
        <f t="shared" si="43"/>
        <v>3-5 years</v>
      </c>
      <c r="AF1409" s="14">
        <v>3</v>
      </c>
      <c r="AG1409" s="14">
        <v>1</v>
      </c>
      <c r="AH1409" s="14">
        <v>2</v>
      </c>
    </row>
    <row r="1410" spans="1:34" x14ac:dyDescent="0.3">
      <c r="A1410" s="14">
        <v>23</v>
      </c>
      <c r="B1410" s="17" t="s">
        <v>43</v>
      </c>
      <c r="C1410" t="s">
        <v>36</v>
      </c>
      <c r="D1410">
        <v>571</v>
      </c>
      <c r="E1410" s="17" t="s">
        <v>45</v>
      </c>
      <c r="F1410">
        <v>12</v>
      </c>
      <c r="G1410">
        <v>2</v>
      </c>
      <c r="H1410" t="s">
        <v>49</v>
      </c>
      <c r="I1410">
        <v>1982</v>
      </c>
      <c r="J1410">
        <v>4</v>
      </c>
      <c r="K1410" s="17" t="s">
        <v>46</v>
      </c>
      <c r="L1410">
        <v>78</v>
      </c>
      <c r="M1410">
        <v>3</v>
      </c>
      <c r="N1410">
        <v>1</v>
      </c>
      <c r="O1410" s="17" t="s">
        <v>50</v>
      </c>
      <c r="P1410" s="14">
        <v>4</v>
      </c>
      <c r="Q1410" t="s">
        <v>41</v>
      </c>
      <c r="R1410" s="14">
        <v>2647</v>
      </c>
      <c r="S1410" s="17" t="str">
        <f t="shared" ref="S1410:S1471" si="44">IF(R1410&lt;=3000, "low",IF(R1410&lt;=7000,"medium","high"))</f>
        <v>low</v>
      </c>
      <c r="T1410">
        <v>13672</v>
      </c>
      <c r="U1410">
        <v>1</v>
      </c>
      <c r="V1410" s="17" t="s">
        <v>43</v>
      </c>
      <c r="W1410">
        <v>13</v>
      </c>
      <c r="X1410">
        <v>3</v>
      </c>
      <c r="Y1410">
        <v>3</v>
      </c>
      <c r="Z1410">
        <v>0</v>
      </c>
      <c r="AA1410">
        <v>5</v>
      </c>
      <c r="AB1410">
        <v>6</v>
      </c>
      <c r="AC1410">
        <v>4</v>
      </c>
      <c r="AD1410" s="14">
        <v>5</v>
      </c>
      <c r="AE1410" t="str">
        <f t="shared" ref="AE1410:AE1471" si="45">IF(AD1410&lt;=2,"0-2 years", IF(AD1410&lt;=5,"3-5 years", IF(AD1410&lt;=10,"6-10 years","10+ years")))</f>
        <v>3-5 years</v>
      </c>
      <c r="AF1410" s="14">
        <v>2</v>
      </c>
      <c r="AG1410" s="14">
        <v>1</v>
      </c>
      <c r="AH1410" s="14">
        <v>4</v>
      </c>
    </row>
    <row r="1411" spans="1:34" x14ac:dyDescent="0.3">
      <c r="A1411" s="14">
        <v>40</v>
      </c>
      <c r="B1411" s="17" t="s">
        <v>43</v>
      </c>
      <c r="C1411" t="s">
        <v>44</v>
      </c>
      <c r="D1411">
        <v>692</v>
      </c>
      <c r="E1411" s="17" t="s">
        <v>45</v>
      </c>
      <c r="F1411">
        <v>11</v>
      </c>
      <c r="G1411">
        <v>3</v>
      </c>
      <c r="H1411" t="s">
        <v>60</v>
      </c>
      <c r="I1411">
        <v>1985</v>
      </c>
      <c r="J1411">
        <v>4</v>
      </c>
      <c r="K1411" s="17" t="s">
        <v>39</v>
      </c>
      <c r="L1411">
        <v>73</v>
      </c>
      <c r="M1411">
        <v>3</v>
      </c>
      <c r="N1411">
        <v>2</v>
      </c>
      <c r="O1411" s="17" t="s">
        <v>50</v>
      </c>
      <c r="P1411" s="14">
        <v>3</v>
      </c>
      <c r="Q1411" t="s">
        <v>48</v>
      </c>
      <c r="R1411" s="14">
        <v>6323</v>
      </c>
      <c r="S1411" s="17" t="str">
        <f t="shared" si="44"/>
        <v>medium</v>
      </c>
      <c r="T1411">
        <v>26849</v>
      </c>
      <c r="U1411">
        <v>1</v>
      </c>
      <c r="V1411" s="17" t="s">
        <v>43</v>
      </c>
      <c r="W1411">
        <v>11</v>
      </c>
      <c r="X1411">
        <v>3</v>
      </c>
      <c r="Y1411">
        <v>1</v>
      </c>
      <c r="Z1411">
        <v>1</v>
      </c>
      <c r="AA1411">
        <v>10</v>
      </c>
      <c r="AB1411">
        <v>2</v>
      </c>
      <c r="AC1411">
        <v>4</v>
      </c>
      <c r="AD1411" s="14">
        <v>10</v>
      </c>
      <c r="AE1411" t="str">
        <f t="shared" si="45"/>
        <v>6-10 years</v>
      </c>
      <c r="AF1411" s="14">
        <v>9</v>
      </c>
      <c r="AG1411" s="14">
        <v>9</v>
      </c>
      <c r="AH1411" s="14">
        <v>4</v>
      </c>
    </row>
    <row r="1412" spans="1:34" x14ac:dyDescent="0.3">
      <c r="A1412" s="14">
        <v>40</v>
      </c>
      <c r="B1412" s="17" t="s">
        <v>43</v>
      </c>
      <c r="C1412" t="s">
        <v>36</v>
      </c>
      <c r="D1412">
        <v>444</v>
      </c>
      <c r="E1412" s="17" t="s">
        <v>37</v>
      </c>
      <c r="F1412">
        <v>2</v>
      </c>
      <c r="G1412">
        <v>2</v>
      </c>
      <c r="H1412" t="s">
        <v>59</v>
      </c>
      <c r="I1412">
        <v>1986</v>
      </c>
      <c r="J1412">
        <v>2</v>
      </c>
      <c r="K1412" s="17" t="s">
        <v>39</v>
      </c>
      <c r="L1412">
        <v>92</v>
      </c>
      <c r="M1412">
        <v>3</v>
      </c>
      <c r="N1412">
        <v>2</v>
      </c>
      <c r="O1412" s="17" t="s">
        <v>40</v>
      </c>
      <c r="P1412" s="14">
        <v>2</v>
      </c>
      <c r="Q1412" t="s">
        <v>48</v>
      </c>
      <c r="R1412" s="14">
        <v>5677</v>
      </c>
      <c r="S1412" s="17" t="str">
        <f t="shared" si="44"/>
        <v>medium</v>
      </c>
      <c r="T1412">
        <v>4258</v>
      </c>
      <c r="U1412">
        <v>3</v>
      </c>
      <c r="V1412" s="17" t="s">
        <v>43</v>
      </c>
      <c r="W1412">
        <v>14</v>
      </c>
      <c r="X1412">
        <v>3</v>
      </c>
      <c r="Y1412">
        <v>3</v>
      </c>
      <c r="Z1412">
        <v>1</v>
      </c>
      <c r="AA1412">
        <v>15</v>
      </c>
      <c r="AB1412">
        <v>4</v>
      </c>
      <c r="AC1412">
        <v>3</v>
      </c>
      <c r="AD1412" s="14">
        <v>11</v>
      </c>
      <c r="AE1412" t="str">
        <f t="shared" si="45"/>
        <v>10+ years</v>
      </c>
      <c r="AF1412" s="14">
        <v>8</v>
      </c>
      <c r="AG1412" s="14">
        <v>5</v>
      </c>
      <c r="AH1412" s="14">
        <v>10</v>
      </c>
    </row>
    <row r="1413" spans="1:34" x14ac:dyDescent="0.3">
      <c r="A1413" s="14">
        <v>25</v>
      </c>
      <c r="B1413" s="17" t="s">
        <v>43</v>
      </c>
      <c r="C1413" t="s">
        <v>36</v>
      </c>
      <c r="D1413">
        <v>309</v>
      </c>
      <c r="E1413" s="17" t="s">
        <v>61</v>
      </c>
      <c r="F1413">
        <v>2</v>
      </c>
      <c r="G1413">
        <v>3</v>
      </c>
      <c r="H1413" t="s">
        <v>61</v>
      </c>
      <c r="I1413">
        <v>1987</v>
      </c>
      <c r="J1413">
        <v>3</v>
      </c>
      <c r="K1413" s="17" t="s">
        <v>39</v>
      </c>
      <c r="L1413">
        <v>82</v>
      </c>
      <c r="M1413">
        <v>3</v>
      </c>
      <c r="N1413">
        <v>1</v>
      </c>
      <c r="O1413" s="17" t="s">
        <v>61</v>
      </c>
      <c r="P1413" s="14">
        <v>2</v>
      </c>
      <c r="Q1413" t="s">
        <v>48</v>
      </c>
      <c r="R1413" s="14">
        <v>2187</v>
      </c>
      <c r="S1413" s="17" t="str">
        <f t="shared" si="44"/>
        <v>low</v>
      </c>
      <c r="T1413">
        <v>19655</v>
      </c>
      <c r="U1413">
        <v>4</v>
      </c>
      <c r="V1413" s="17" t="s">
        <v>43</v>
      </c>
      <c r="W1413">
        <v>14</v>
      </c>
      <c r="X1413">
        <v>3</v>
      </c>
      <c r="Y1413">
        <v>3</v>
      </c>
      <c r="Z1413">
        <v>0</v>
      </c>
      <c r="AA1413">
        <v>6</v>
      </c>
      <c r="AB1413">
        <v>3</v>
      </c>
      <c r="AC1413">
        <v>3</v>
      </c>
      <c r="AD1413" s="14">
        <v>2</v>
      </c>
      <c r="AE1413" t="str">
        <f t="shared" si="45"/>
        <v>0-2 years</v>
      </c>
      <c r="AF1413" s="14">
        <v>0</v>
      </c>
      <c r="AG1413" s="14">
        <v>1</v>
      </c>
      <c r="AH1413" s="14">
        <v>2</v>
      </c>
    </row>
    <row r="1414" spans="1:34" x14ac:dyDescent="0.3">
      <c r="A1414" s="14">
        <v>30</v>
      </c>
      <c r="B1414" s="17" t="s">
        <v>43</v>
      </c>
      <c r="C1414" t="s">
        <v>36</v>
      </c>
      <c r="D1414">
        <v>911</v>
      </c>
      <c r="E1414" s="17" t="s">
        <v>45</v>
      </c>
      <c r="F1414">
        <v>1</v>
      </c>
      <c r="G1414">
        <v>2</v>
      </c>
      <c r="H1414" t="s">
        <v>51</v>
      </c>
      <c r="I1414">
        <v>1989</v>
      </c>
      <c r="J1414">
        <v>4</v>
      </c>
      <c r="K1414" s="17" t="s">
        <v>46</v>
      </c>
      <c r="L1414">
        <v>76</v>
      </c>
      <c r="M1414">
        <v>3</v>
      </c>
      <c r="N1414">
        <v>1</v>
      </c>
      <c r="O1414" s="17" t="s">
        <v>50</v>
      </c>
      <c r="P1414" s="14">
        <v>2</v>
      </c>
      <c r="Q1414" t="s">
        <v>48</v>
      </c>
      <c r="R1414" s="14">
        <v>3748</v>
      </c>
      <c r="S1414" s="17" t="str">
        <f t="shared" si="44"/>
        <v>medium</v>
      </c>
      <c r="T1414">
        <v>4077</v>
      </c>
      <c r="U1414">
        <v>1</v>
      </c>
      <c r="V1414" s="17" t="s">
        <v>43</v>
      </c>
      <c r="W1414">
        <v>13</v>
      </c>
      <c r="X1414">
        <v>3</v>
      </c>
      <c r="Y1414">
        <v>3</v>
      </c>
      <c r="Z1414">
        <v>0</v>
      </c>
      <c r="AA1414">
        <v>12</v>
      </c>
      <c r="AB1414">
        <v>6</v>
      </c>
      <c r="AC1414">
        <v>2</v>
      </c>
      <c r="AD1414" s="14">
        <v>12</v>
      </c>
      <c r="AE1414" t="str">
        <f t="shared" si="45"/>
        <v>10+ years</v>
      </c>
      <c r="AF1414" s="14">
        <v>8</v>
      </c>
      <c r="AG1414" s="14">
        <v>1</v>
      </c>
      <c r="AH1414" s="14">
        <v>7</v>
      </c>
    </row>
    <row r="1415" spans="1:34" x14ac:dyDescent="0.3">
      <c r="A1415" s="14">
        <v>25</v>
      </c>
      <c r="B1415" s="17" t="s">
        <v>43</v>
      </c>
      <c r="C1415" t="s">
        <v>36</v>
      </c>
      <c r="D1415">
        <v>977</v>
      </c>
      <c r="E1415" s="17" t="s">
        <v>45</v>
      </c>
      <c r="F1415">
        <v>2</v>
      </c>
      <c r="G1415">
        <v>1</v>
      </c>
      <c r="H1415" t="s">
        <v>49</v>
      </c>
      <c r="I1415">
        <v>1992</v>
      </c>
      <c r="J1415">
        <v>4</v>
      </c>
      <c r="K1415" s="17" t="s">
        <v>46</v>
      </c>
      <c r="L1415">
        <v>57</v>
      </c>
      <c r="M1415">
        <v>3</v>
      </c>
      <c r="N1415">
        <v>1</v>
      </c>
      <c r="O1415" s="17" t="s">
        <v>50</v>
      </c>
      <c r="P1415" s="14">
        <v>3</v>
      </c>
      <c r="Q1415" t="s">
        <v>52</v>
      </c>
      <c r="R1415" s="14">
        <v>3977</v>
      </c>
      <c r="S1415" s="17" t="str">
        <f t="shared" si="44"/>
        <v>medium</v>
      </c>
      <c r="T1415">
        <v>7298</v>
      </c>
      <c r="U1415">
        <v>6</v>
      </c>
      <c r="V1415" s="17" t="s">
        <v>35</v>
      </c>
      <c r="W1415">
        <v>19</v>
      </c>
      <c r="X1415">
        <v>3</v>
      </c>
      <c r="Y1415">
        <v>3</v>
      </c>
      <c r="Z1415">
        <v>1</v>
      </c>
      <c r="AA1415">
        <v>7</v>
      </c>
      <c r="AB1415">
        <v>2</v>
      </c>
      <c r="AC1415">
        <v>2</v>
      </c>
      <c r="AD1415" s="14">
        <v>2</v>
      </c>
      <c r="AE1415" t="str">
        <f t="shared" si="45"/>
        <v>0-2 years</v>
      </c>
      <c r="AF1415" s="14">
        <v>2</v>
      </c>
      <c r="AG1415" s="14">
        <v>0</v>
      </c>
      <c r="AH1415" s="14">
        <v>2</v>
      </c>
    </row>
    <row r="1416" spans="1:34" x14ac:dyDescent="0.3">
      <c r="A1416" s="14">
        <v>47</v>
      </c>
      <c r="B1416" s="17" t="s">
        <v>43</v>
      </c>
      <c r="C1416" t="s">
        <v>36</v>
      </c>
      <c r="D1416">
        <v>1180</v>
      </c>
      <c r="E1416" s="17" t="s">
        <v>45</v>
      </c>
      <c r="F1416">
        <v>25</v>
      </c>
      <c r="G1416">
        <v>3</v>
      </c>
      <c r="H1416" t="s">
        <v>51</v>
      </c>
      <c r="I1416">
        <v>1993</v>
      </c>
      <c r="J1416">
        <v>1</v>
      </c>
      <c r="K1416" s="17" t="s">
        <v>46</v>
      </c>
      <c r="L1416">
        <v>84</v>
      </c>
      <c r="M1416">
        <v>3</v>
      </c>
      <c r="N1416">
        <v>3</v>
      </c>
      <c r="O1416" s="17" t="s">
        <v>54</v>
      </c>
      <c r="P1416" s="14">
        <v>3</v>
      </c>
      <c r="Q1416" t="s">
        <v>41</v>
      </c>
      <c r="R1416" s="14">
        <v>8633</v>
      </c>
      <c r="S1416" s="17" t="str">
        <f t="shared" si="44"/>
        <v>high</v>
      </c>
      <c r="T1416">
        <v>13084</v>
      </c>
      <c r="U1416">
        <v>2</v>
      </c>
      <c r="V1416" s="17" t="s">
        <v>43</v>
      </c>
      <c r="W1416">
        <v>23</v>
      </c>
      <c r="X1416">
        <v>4</v>
      </c>
      <c r="Y1416">
        <v>2</v>
      </c>
      <c r="Z1416">
        <v>0</v>
      </c>
      <c r="AA1416">
        <v>25</v>
      </c>
      <c r="AB1416">
        <v>3</v>
      </c>
      <c r="AC1416">
        <v>3</v>
      </c>
      <c r="AD1416" s="14">
        <v>17</v>
      </c>
      <c r="AE1416" t="str">
        <f t="shared" si="45"/>
        <v>10+ years</v>
      </c>
      <c r="AF1416" s="14">
        <v>14</v>
      </c>
      <c r="AG1416" s="14">
        <v>12</v>
      </c>
      <c r="AH1416" s="14">
        <v>11</v>
      </c>
    </row>
    <row r="1417" spans="1:34" x14ac:dyDescent="0.3">
      <c r="A1417" s="14">
        <v>33</v>
      </c>
      <c r="B1417" s="17" t="s">
        <v>43</v>
      </c>
      <c r="C1417" t="s">
        <v>55</v>
      </c>
      <c r="D1417">
        <v>1313</v>
      </c>
      <c r="E1417" s="17" t="s">
        <v>45</v>
      </c>
      <c r="F1417">
        <v>1</v>
      </c>
      <c r="G1417">
        <v>2</v>
      </c>
      <c r="H1417" t="s">
        <v>51</v>
      </c>
      <c r="I1417">
        <v>1994</v>
      </c>
      <c r="J1417">
        <v>2</v>
      </c>
      <c r="K1417" s="17" t="s">
        <v>46</v>
      </c>
      <c r="L1417">
        <v>59</v>
      </c>
      <c r="M1417">
        <v>2</v>
      </c>
      <c r="N1417">
        <v>1</v>
      </c>
      <c r="O1417" s="17" t="s">
        <v>50</v>
      </c>
      <c r="P1417" s="14">
        <v>3</v>
      </c>
      <c r="Q1417" t="s">
        <v>52</v>
      </c>
      <c r="R1417" s="14">
        <v>2008</v>
      </c>
      <c r="S1417" s="17" t="str">
        <f t="shared" si="44"/>
        <v>low</v>
      </c>
      <c r="T1417">
        <v>20439</v>
      </c>
      <c r="U1417">
        <v>1</v>
      </c>
      <c r="V1417" s="17" t="s">
        <v>43</v>
      </c>
      <c r="W1417">
        <v>12</v>
      </c>
      <c r="X1417">
        <v>3</v>
      </c>
      <c r="Y1417">
        <v>3</v>
      </c>
      <c r="Z1417">
        <v>3</v>
      </c>
      <c r="AA1417">
        <v>1</v>
      </c>
      <c r="AB1417">
        <v>2</v>
      </c>
      <c r="AC1417">
        <v>2</v>
      </c>
      <c r="AD1417" s="14">
        <v>1</v>
      </c>
      <c r="AE1417" t="str">
        <f t="shared" si="45"/>
        <v>0-2 years</v>
      </c>
      <c r="AF1417" s="14">
        <v>1</v>
      </c>
      <c r="AG1417" s="14">
        <v>0</v>
      </c>
      <c r="AH1417" s="14">
        <v>0</v>
      </c>
    </row>
    <row r="1418" spans="1:34" x14ac:dyDescent="0.3">
      <c r="A1418" s="14">
        <v>38</v>
      </c>
      <c r="B1418" s="17" t="s">
        <v>43</v>
      </c>
      <c r="C1418" t="s">
        <v>36</v>
      </c>
      <c r="D1418">
        <v>1321</v>
      </c>
      <c r="E1418" s="17" t="s">
        <v>37</v>
      </c>
      <c r="F1418">
        <v>1</v>
      </c>
      <c r="G1418">
        <v>4</v>
      </c>
      <c r="H1418" t="s">
        <v>38</v>
      </c>
      <c r="I1418">
        <v>1995</v>
      </c>
      <c r="J1418">
        <v>4</v>
      </c>
      <c r="K1418" s="17" t="s">
        <v>46</v>
      </c>
      <c r="L1418">
        <v>86</v>
      </c>
      <c r="M1418">
        <v>3</v>
      </c>
      <c r="N1418">
        <v>2</v>
      </c>
      <c r="O1418" s="17" t="s">
        <v>40</v>
      </c>
      <c r="P1418" s="14">
        <v>2</v>
      </c>
      <c r="Q1418" t="s">
        <v>48</v>
      </c>
      <c r="R1418" s="14">
        <v>4440</v>
      </c>
      <c r="S1418" s="17" t="str">
        <f t="shared" si="44"/>
        <v>medium</v>
      </c>
      <c r="T1418">
        <v>7636</v>
      </c>
      <c r="U1418">
        <v>0</v>
      </c>
      <c r="V1418" s="17" t="s">
        <v>43</v>
      </c>
      <c r="W1418">
        <v>15</v>
      </c>
      <c r="X1418">
        <v>3</v>
      </c>
      <c r="Y1418">
        <v>1</v>
      </c>
      <c r="Z1418">
        <v>2</v>
      </c>
      <c r="AA1418">
        <v>16</v>
      </c>
      <c r="AB1418">
        <v>3</v>
      </c>
      <c r="AC1418">
        <v>3</v>
      </c>
      <c r="AD1418" s="14">
        <v>15</v>
      </c>
      <c r="AE1418" t="str">
        <f t="shared" si="45"/>
        <v>10+ years</v>
      </c>
      <c r="AF1418" s="14">
        <v>13</v>
      </c>
      <c r="AG1418" s="14">
        <v>5</v>
      </c>
      <c r="AH1418" s="14">
        <v>8</v>
      </c>
    </row>
    <row r="1419" spans="1:34" x14ac:dyDescent="0.3">
      <c r="A1419" s="14">
        <v>31</v>
      </c>
      <c r="B1419" s="17" t="s">
        <v>43</v>
      </c>
      <c r="C1419" t="s">
        <v>36</v>
      </c>
      <c r="D1419">
        <v>1154</v>
      </c>
      <c r="E1419" s="17" t="s">
        <v>37</v>
      </c>
      <c r="F1419">
        <v>2</v>
      </c>
      <c r="G1419">
        <v>2</v>
      </c>
      <c r="H1419" t="s">
        <v>38</v>
      </c>
      <c r="I1419">
        <v>1996</v>
      </c>
      <c r="J1419">
        <v>1</v>
      </c>
      <c r="K1419" s="17" t="s">
        <v>46</v>
      </c>
      <c r="L1419">
        <v>54</v>
      </c>
      <c r="M1419">
        <v>3</v>
      </c>
      <c r="N1419">
        <v>1</v>
      </c>
      <c r="O1419" s="17" t="s">
        <v>57</v>
      </c>
      <c r="P1419" s="14">
        <v>3</v>
      </c>
      <c r="Q1419" t="s">
        <v>48</v>
      </c>
      <c r="R1419" s="14">
        <v>3067</v>
      </c>
      <c r="S1419" s="17" t="str">
        <f t="shared" si="44"/>
        <v>medium</v>
      </c>
      <c r="T1419">
        <v>6393</v>
      </c>
      <c r="U1419">
        <v>0</v>
      </c>
      <c r="V1419" s="17" t="s">
        <v>43</v>
      </c>
      <c r="W1419">
        <v>19</v>
      </c>
      <c r="X1419">
        <v>3</v>
      </c>
      <c r="Y1419">
        <v>3</v>
      </c>
      <c r="Z1419">
        <v>1</v>
      </c>
      <c r="AA1419">
        <v>3</v>
      </c>
      <c r="AB1419">
        <v>1</v>
      </c>
      <c r="AC1419">
        <v>3</v>
      </c>
      <c r="AD1419" s="14">
        <v>2</v>
      </c>
      <c r="AE1419" t="str">
        <f t="shared" si="45"/>
        <v>0-2 years</v>
      </c>
      <c r="AF1419" s="14">
        <v>2</v>
      </c>
      <c r="AG1419" s="14">
        <v>1</v>
      </c>
      <c r="AH1419" s="14">
        <v>2</v>
      </c>
    </row>
    <row r="1420" spans="1:34" x14ac:dyDescent="0.3">
      <c r="A1420" s="14">
        <v>38</v>
      </c>
      <c r="B1420" s="17" t="s">
        <v>43</v>
      </c>
      <c r="C1420" t="s">
        <v>44</v>
      </c>
      <c r="D1420">
        <v>508</v>
      </c>
      <c r="E1420" s="17" t="s">
        <v>45</v>
      </c>
      <c r="F1420">
        <v>6</v>
      </c>
      <c r="G1420">
        <v>4</v>
      </c>
      <c r="H1420" t="s">
        <v>38</v>
      </c>
      <c r="I1420">
        <v>1997</v>
      </c>
      <c r="J1420">
        <v>1</v>
      </c>
      <c r="K1420" s="17" t="s">
        <v>46</v>
      </c>
      <c r="L1420">
        <v>72</v>
      </c>
      <c r="M1420">
        <v>2</v>
      </c>
      <c r="N1420">
        <v>2</v>
      </c>
      <c r="O1420" s="17" t="s">
        <v>53</v>
      </c>
      <c r="P1420" s="14">
        <v>3</v>
      </c>
      <c r="Q1420" t="s">
        <v>48</v>
      </c>
      <c r="R1420" s="14">
        <v>5321</v>
      </c>
      <c r="S1420" s="17" t="str">
        <f t="shared" si="44"/>
        <v>medium</v>
      </c>
      <c r="T1420">
        <v>14284</v>
      </c>
      <c r="U1420">
        <v>2</v>
      </c>
      <c r="V1420" s="17" t="s">
        <v>43</v>
      </c>
      <c r="W1420">
        <v>11</v>
      </c>
      <c r="X1420">
        <v>3</v>
      </c>
      <c r="Y1420">
        <v>4</v>
      </c>
      <c r="Z1420">
        <v>1</v>
      </c>
      <c r="AA1420">
        <v>10</v>
      </c>
      <c r="AB1420">
        <v>1</v>
      </c>
      <c r="AC1420">
        <v>3</v>
      </c>
      <c r="AD1420" s="14">
        <v>8</v>
      </c>
      <c r="AE1420" t="str">
        <f t="shared" si="45"/>
        <v>6-10 years</v>
      </c>
      <c r="AF1420" s="14">
        <v>3</v>
      </c>
      <c r="AG1420" s="14">
        <v>7</v>
      </c>
      <c r="AH1420" s="14">
        <v>7</v>
      </c>
    </row>
    <row r="1421" spans="1:34" x14ac:dyDescent="0.3">
      <c r="A1421" s="14">
        <v>42</v>
      </c>
      <c r="B1421" s="17" t="s">
        <v>43</v>
      </c>
      <c r="C1421" t="s">
        <v>36</v>
      </c>
      <c r="D1421">
        <v>557</v>
      </c>
      <c r="E1421" s="17" t="s">
        <v>45</v>
      </c>
      <c r="F1421">
        <v>18</v>
      </c>
      <c r="G1421">
        <v>4</v>
      </c>
      <c r="H1421" t="s">
        <v>38</v>
      </c>
      <c r="I1421">
        <v>1998</v>
      </c>
      <c r="J1421">
        <v>4</v>
      </c>
      <c r="K1421" s="17" t="s">
        <v>46</v>
      </c>
      <c r="L1421">
        <v>35</v>
      </c>
      <c r="M1421">
        <v>3</v>
      </c>
      <c r="N1421">
        <v>2</v>
      </c>
      <c r="O1421" s="17" t="s">
        <v>47</v>
      </c>
      <c r="P1421" s="14">
        <v>1</v>
      </c>
      <c r="Q1421" t="s">
        <v>52</v>
      </c>
      <c r="R1421" s="14">
        <v>5410</v>
      </c>
      <c r="S1421" s="17" t="str">
        <f t="shared" si="44"/>
        <v>medium</v>
      </c>
      <c r="T1421">
        <v>11189</v>
      </c>
      <c r="U1421">
        <v>6</v>
      </c>
      <c r="V1421" s="17" t="s">
        <v>35</v>
      </c>
      <c r="W1421">
        <v>17</v>
      </c>
      <c r="X1421">
        <v>3</v>
      </c>
      <c r="Y1421">
        <v>3</v>
      </c>
      <c r="Z1421">
        <v>1</v>
      </c>
      <c r="AA1421">
        <v>9</v>
      </c>
      <c r="AB1421">
        <v>3</v>
      </c>
      <c r="AC1421">
        <v>2</v>
      </c>
      <c r="AD1421" s="14">
        <v>4</v>
      </c>
      <c r="AE1421" t="str">
        <f t="shared" si="45"/>
        <v>3-5 years</v>
      </c>
      <c r="AF1421" s="14">
        <v>3</v>
      </c>
      <c r="AG1421" s="14">
        <v>1</v>
      </c>
      <c r="AH1421" s="14">
        <v>2</v>
      </c>
    </row>
    <row r="1422" spans="1:34" x14ac:dyDescent="0.3">
      <c r="A1422" s="14">
        <v>41</v>
      </c>
      <c r="B1422" s="17" t="s">
        <v>43</v>
      </c>
      <c r="C1422" t="s">
        <v>36</v>
      </c>
      <c r="D1422">
        <v>642</v>
      </c>
      <c r="E1422" s="17" t="s">
        <v>45</v>
      </c>
      <c r="F1422">
        <v>1</v>
      </c>
      <c r="G1422">
        <v>3</v>
      </c>
      <c r="H1422" t="s">
        <v>38</v>
      </c>
      <c r="I1422">
        <v>1999</v>
      </c>
      <c r="J1422">
        <v>4</v>
      </c>
      <c r="K1422" s="17" t="s">
        <v>46</v>
      </c>
      <c r="L1422">
        <v>76</v>
      </c>
      <c r="M1422">
        <v>3</v>
      </c>
      <c r="N1422">
        <v>1</v>
      </c>
      <c r="O1422" s="17" t="s">
        <v>47</v>
      </c>
      <c r="P1422" s="14">
        <v>4</v>
      </c>
      <c r="Q1422" t="s">
        <v>48</v>
      </c>
      <c r="R1422" s="14">
        <v>2782</v>
      </c>
      <c r="S1422" s="17" t="str">
        <f t="shared" si="44"/>
        <v>low</v>
      </c>
      <c r="T1422">
        <v>21412</v>
      </c>
      <c r="U1422">
        <v>3</v>
      </c>
      <c r="V1422" s="17" t="s">
        <v>43</v>
      </c>
      <c r="W1422">
        <v>22</v>
      </c>
      <c r="X1422">
        <v>4</v>
      </c>
      <c r="Y1422">
        <v>1</v>
      </c>
      <c r="Z1422">
        <v>1</v>
      </c>
      <c r="AA1422">
        <v>12</v>
      </c>
      <c r="AB1422">
        <v>3</v>
      </c>
      <c r="AC1422">
        <v>3</v>
      </c>
      <c r="AD1422" s="14">
        <v>5</v>
      </c>
      <c r="AE1422" t="str">
        <f t="shared" si="45"/>
        <v>3-5 years</v>
      </c>
      <c r="AF1422" s="14">
        <v>3</v>
      </c>
      <c r="AG1422" s="14">
        <v>1</v>
      </c>
      <c r="AH1422" s="14">
        <v>0</v>
      </c>
    </row>
    <row r="1423" spans="1:34" x14ac:dyDescent="0.3">
      <c r="A1423" s="14">
        <v>47</v>
      </c>
      <c r="B1423" s="17" t="s">
        <v>43</v>
      </c>
      <c r="C1423" t="s">
        <v>55</v>
      </c>
      <c r="D1423">
        <v>1162</v>
      </c>
      <c r="E1423" s="17" t="s">
        <v>45</v>
      </c>
      <c r="F1423">
        <v>1</v>
      </c>
      <c r="G1423">
        <v>1</v>
      </c>
      <c r="H1423" t="s">
        <v>51</v>
      </c>
      <c r="I1423">
        <v>2000</v>
      </c>
      <c r="J1423">
        <v>3</v>
      </c>
      <c r="K1423" s="17" t="s">
        <v>39</v>
      </c>
      <c r="L1423">
        <v>98</v>
      </c>
      <c r="M1423">
        <v>3</v>
      </c>
      <c r="N1423">
        <v>3</v>
      </c>
      <c r="O1423" s="17" t="s">
        <v>58</v>
      </c>
      <c r="P1423" s="14">
        <v>2</v>
      </c>
      <c r="Q1423" t="s">
        <v>48</v>
      </c>
      <c r="R1423" s="14">
        <v>11957</v>
      </c>
      <c r="S1423" s="17" t="str">
        <f t="shared" si="44"/>
        <v>high</v>
      </c>
      <c r="T1423">
        <v>17231</v>
      </c>
      <c r="U1423">
        <v>0</v>
      </c>
      <c r="V1423" s="17" t="s">
        <v>43</v>
      </c>
      <c r="W1423">
        <v>18</v>
      </c>
      <c r="X1423">
        <v>3</v>
      </c>
      <c r="Y1423">
        <v>1</v>
      </c>
      <c r="Z1423">
        <v>2</v>
      </c>
      <c r="AA1423">
        <v>14</v>
      </c>
      <c r="AB1423">
        <v>3</v>
      </c>
      <c r="AC1423">
        <v>1</v>
      </c>
      <c r="AD1423" s="14">
        <v>13</v>
      </c>
      <c r="AE1423" t="str">
        <f t="shared" si="45"/>
        <v>10+ years</v>
      </c>
      <c r="AF1423" s="14">
        <v>8</v>
      </c>
      <c r="AG1423" s="14">
        <v>5</v>
      </c>
      <c r="AH1423" s="14">
        <v>12</v>
      </c>
    </row>
    <row r="1424" spans="1:34" x14ac:dyDescent="0.3">
      <c r="A1424" s="14">
        <v>35</v>
      </c>
      <c r="B1424" s="17" t="s">
        <v>43</v>
      </c>
      <c r="C1424" t="s">
        <v>36</v>
      </c>
      <c r="D1424">
        <v>1490</v>
      </c>
      <c r="E1424" s="17" t="s">
        <v>45</v>
      </c>
      <c r="F1424">
        <v>11</v>
      </c>
      <c r="G1424">
        <v>4</v>
      </c>
      <c r="H1424" t="s">
        <v>51</v>
      </c>
      <c r="I1424">
        <v>2003</v>
      </c>
      <c r="J1424">
        <v>4</v>
      </c>
      <c r="K1424" s="17" t="s">
        <v>46</v>
      </c>
      <c r="L1424">
        <v>43</v>
      </c>
      <c r="M1424">
        <v>3</v>
      </c>
      <c r="N1424">
        <v>1</v>
      </c>
      <c r="O1424" s="17" t="s">
        <v>50</v>
      </c>
      <c r="P1424" s="14">
        <v>3</v>
      </c>
      <c r="Q1424" t="s">
        <v>48</v>
      </c>
      <c r="R1424" s="14">
        <v>2660</v>
      </c>
      <c r="S1424" s="17" t="str">
        <f t="shared" si="44"/>
        <v>low</v>
      </c>
      <c r="T1424">
        <v>20232</v>
      </c>
      <c r="U1424">
        <v>7</v>
      </c>
      <c r="V1424" s="17" t="s">
        <v>35</v>
      </c>
      <c r="W1424">
        <v>11</v>
      </c>
      <c r="X1424">
        <v>3</v>
      </c>
      <c r="Y1424">
        <v>3</v>
      </c>
      <c r="Z1424">
        <v>1</v>
      </c>
      <c r="AA1424">
        <v>5</v>
      </c>
      <c r="AB1424">
        <v>3</v>
      </c>
      <c r="AC1424">
        <v>3</v>
      </c>
      <c r="AD1424" s="14">
        <v>2</v>
      </c>
      <c r="AE1424" t="str">
        <f t="shared" si="45"/>
        <v>0-2 years</v>
      </c>
      <c r="AF1424" s="14">
        <v>2</v>
      </c>
      <c r="AG1424" s="14">
        <v>2</v>
      </c>
      <c r="AH1424" s="14">
        <v>2</v>
      </c>
    </row>
    <row r="1425" spans="1:34" x14ac:dyDescent="0.3">
      <c r="A1425" s="14">
        <v>22</v>
      </c>
      <c r="B1425" s="17" t="s">
        <v>43</v>
      </c>
      <c r="C1425" t="s">
        <v>36</v>
      </c>
      <c r="D1425">
        <v>581</v>
      </c>
      <c r="E1425" s="17" t="s">
        <v>45</v>
      </c>
      <c r="F1425">
        <v>1</v>
      </c>
      <c r="G1425">
        <v>2</v>
      </c>
      <c r="H1425" t="s">
        <v>38</v>
      </c>
      <c r="I1425">
        <v>2007</v>
      </c>
      <c r="J1425">
        <v>4</v>
      </c>
      <c r="K1425" s="17" t="s">
        <v>46</v>
      </c>
      <c r="L1425">
        <v>63</v>
      </c>
      <c r="M1425">
        <v>3</v>
      </c>
      <c r="N1425">
        <v>1</v>
      </c>
      <c r="O1425" s="17" t="s">
        <v>47</v>
      </c>
      <c r="P1425" s="14">
        <v>3</v>
      </c>
      <c r="Q1425" t="s">
        <v>41</v>
      </c>
      <c r="R1425" s="14">
        <v>3375</v>
      </c>
      <c r="S1425" s="17" t="str">
        <f t="shared" si="44"/>
        <v>medium</v>
      </c>
      <c r="T1425">
        <v>17624</v>
      </c>
      <c r="U1425">
        <v>0</v>
      </c>
      <c r="V1425" s="17" t="s">
        <v>43</v>
      </c>
      <c r="W1425">
        <v>12</v>
      </c>
      <c r="X1425">
        <v>3</v>
      </c>
      <c r="Y1425">
        <v>4</v>
      </c>
      <c r="Z1425">
        <v>0</v>
      </c>
      <c r="AA1425">
        <v>4</v>
      </c>
      <c r="AB1425">
        <v>2</v>
      </c>
      <c r="AC1425">
        <v>4</v>
      </c>
      <c r="AD1425" s="14">
        <v>3</v>
      </c>
      <c r="AE1425" t="str">
        <f t="shared" si="45"/>
        <v>3-5 years</v>
      </c>
      <c r="AF1425" s="14">
        <v>2</v>
      </c>
      <c r="AG1425" s="14">
        <v>1</v>
      </c>
      <c r="AH1425" s="14">
        <v>2</v>
      </c>
    </row>
    <row r="1426" spans="1:34" x14ac:dyDescent="0.3">
      <c r="A1426" s="14">
        <v>35</v>
      </c>
      <c r="B1426" s="17" t="s">
        <v>43</v>
      </c>
      <c r="C1426" t="s">
        <v>36</v>
      </c>
      <c r="D1426">
        <v>1395</v>
      </c>
      <c r="E1426" s="17" t="s">
        <v>45</v>
      </c>
      <c r="F1426">
        <v>9</v>
      </c>
      <c r="G1426">
        <v>4</v>
      </c>
      <c r="H1426" t="s">
        <v>51</v>
      </c>
      <c r="I1426">
        <v>2008</v>
      </c>
      <c r="J1426">
        <v>2</v>
      </c>
      <c r="K1426" s="17" t="s">
        <v>46</v>
      </c>
      <c r="L1426">
        <v>48</v>
      </c>
      <c r="M1426">
        <v>3</v>
      </c>
      <c r="N1426">
        <v>2</v>
      </c>
      <c r="O1426" s="17" t="s">
        <v>47</v>
      </c>
      <c r="P1426" s="14">
        <v>3</v>
      </c>
      <c r="Q1426" t="s">
        <v>41</v>
      </c>
      <c r="R1426" s="14">
        <v>5098</v>
      </c>
      <c r="S1426" s="17" t="str">
        <f t="shared" si="44"/>
        <v>medium</v>
      </c>
      <c r="T1426">
        <v>18698</v>
      </c>
      <c r="U1426">
        <v>1</v>
      </c>
      <c r="V1426" s="17" t="s">
        <v>43</v>
      </c>
      <c r="W1426">
        <v>19</v>
      </c>
      <c r="X1426">
        <v>3</v>
      </c>
      <c r="Y1426">
        <v>2</v>
      </c>
      <c r="Z1426">
        <v>0</v>
      </c>
      <c r="AA1426">
        <v>10</v>
      </c>
      <c r="AB1426">
        <v>5</v>
      </c>
      <c r="AC1426">
        <v>3</v>
      </c>
      <c r="AD1426" s="14">
        <v>10</v>
      </c>
      <c r="AE1426" t="str">
        <f t="shared" si="45"/>
        <v>6-10 years</v>
      </c>
      <c r="AF1426" s="14">
        <v>7</v>
      </c>
      <c r="AG1426" s="14">
        <v>0</v>
      </c>
      <c r="AH1426" s="14">
        <v>8</v>
      </c>
    </row>
    <row r="1427" spans="1:34" x14ac:dyDescent="0.3">
      <c r="A1427" s="14">
        <v>33</v>
      </c>
      <c r="B1427" s="17" t="s">
        <v>43</v>
      </c>
      <c r="C1427" t="s">
        <v>36</v>
      </c>
      <c r="D1427">
        <v>501</v>
      </c>
      <c r="E1427" s="17" t="s">
        <v>45</v>
      </c>
      <c r="F1427">
        <v>15</v>
      </c>
      <c r="G1427">
        <v>2</v>
      </c>
      <c r="H1427" t="s">
        <v>51</v>
      </c>
      <c r="I1427">
        <v>2009</v>
      </c>
      <c r="J1427">
        <v>2</v>
      </c>
      <c r="K1427" s="17" t="s">
        <v>39</v>
      </c>
      <c r="L1427">
        <v>95</v>
      </c>
      <c r="M1427">
        <v>3</v>
      </c>
      <c r="N1427">
        <v>2</v>
      </c>
      <c r="O1427" s="17" t="s">
        <v>54</v>
      </c>
      <c r="P1427" s="14">
        <v>4</v>
      </c>
      <c r="Q1427" t="s">
        <v>48</v>
      </c>
      <c r="R1427" s="14">
        <v>4878</v>
      </c>
      <c r="S1427" s="17" t="str">
        <f t="shared" si="44"/>
        <v>medium</v>
      </c>
      <c r="T1427">
        <v>21653</v>
      </c>
      <c r="U1427">
        <v>0</v>
      </c>
      <c r="V1427" s="17" t="s">
        <v>35</v>
      </c>
      <c r="W1427">
        <v>13</v>
      </c>
      <c r="X1427">
        <v>3</v>
      </c>
      <c r="Y1427">
        <v>1</v>
      </c>
      <c r="Z1427">
        <v>1</v>
      </c>
      <c r="AA1427">
        <v>10</v>
      </c>
      <c r="AB1427">
        <v>6</v>
      </c>
      <c r="AC1427">
        <v>3</v>
      </c>
      <c r="AD1427" s="14">
        <v>9</v>
      </c>
      <c r="AE1427" t="str">
        <f t="shared" si="45"/>
        <v>6-10 years</v>
      </c>
      <c r="AF1427" s="14">
        <v>7</v>
      </c>
      <c r="AG1427" s="14">
        <v>8</v>
      </c>
      <c r="AH1427" s="14">
        <v>1</v>
      </c>
    </row>
    <row r="1428" spans="1:34" x14ac:dyDescent="0.3">
      <c r="A1428" s="14">
        <v>32</v>
      </c>
      <c r="B1428" s="17" t="s">
        <v>43</v>
      </c>
      <c r="C1428" t="s">
        <v>36</v>
      </c>
      <c r="D1428">
        <v>267</v>
      </c>
      <c r="E1428" s="17" t="s">
        <v>45</v>
      </c>
      <c r="F1428">
        <v>29</v>
      </c>
      <c r="G1428">
        <v>4</v>
      </c>
      <c r="H1428" t="s">
        <v>38</v>
      </c>
      <c r="I1428">
        <v>2010</v>
      </c>
      <c r="J1428">
        <v>3</v>
      </c>
      <c r="K1428" s="17" t="s">
        <v>39</v>
      </c>
      <c r="L1428">
        <v>49</v>
      </c>
      <c r="M1428">
        <v>2</v>
      </c>
      <c r="N1428">
        <v>1</v>
      </c>
      <c r="O1428" s="17" t="s">
        <v>50</v>
      </c>
      <c r="P1428" s="14">
        <v>2</v>
      </c>
      <c r="Q1428" t="s">
        <v>41</v>
      </c>
      <c r="R1428" s="14">
        <v>2837</v>
      </c>
      <c r="S1428" s="17" t="str">
        <f t="shared" si="44"/>
        <v>low</v>
      </c>
      <c r="T1428">
        <v>15919</v>
      </c>
      <c r="U1428">
        <v>1</v>
      </c>
      <c r="V1428" s="17" t="s">
        <v>43</v>
      </c>
      <c r="W1428">
        <v>13</v>
      </c>
      <c r="X1428">
        <v>3</v>
      </c>
      <c r="Y1428">
        <v>3</v>
      </c>
      <c r="Z1428">
        <v>0</v>
      </c>
      <c r="AA1428">
        <v>6</v>
      </c>
      <c r="AB1428">
        <v>3</v>
      </c>
      <c r="AC1428">
        <v>3</v>
      </c>
      <c r="AD1428" s="14">
        <v>6</v>
      </c>
      <c r="AE1428" t="str">
        <f t="shared" si="45"/>
        <v>6-10 years</v>
      </c>
      <c r="AF1428" s="14">
        <v>2</v>
      </c>
      <c r="AG1428" s="14">
        <v>4</v>
      </c>
      <c r="AH1428" s="14">
        <v>1</v>
      </c>
    </row>
    <row r="1429" spans="1:34" x14ac:dyDescent="0.3">
      <c r="A1429" s="14">
        <v>40</v>
      </c>
      <c r="B1429" s="17" t="s">
        <v>43</v>
      </c>
      <c r="C1429" t="s">
        <v>36</v>
      </c>
      <c r="D1429">
        <v>543</v>
      </c>
      <c r="E1429" s="17" t="s">
        <v>45</v>
      </c>
      <c r="F1429">
        <v>1</v>
      </c>
      <c r="G1429">
        <v>4</v>
      </c>
      <c r="H1429" t="s">
        <v>38</v>
      </c>
      <c r="I1429">
        <v>2012</v>
      </c>
      <c r="J1429">
        <v>1</v>
      </c>
      <c r="K1429" s="17" t="s">
        <v>46</v>
      </c>
      <c r="L1429">
        <v>83</v>
      </c>
      <c r="M1429">
        <v>3</v>
      </c>
      <c r="N1429">
        <v>1</v>
      </c>
      <c r="O1429" s="17" t="s">
        <v>50</v>
      </c>
      <c r="P1429" s="14">
        <v>4</v>
      </c>
      <c r="Q1429" t="s">
        <v>48</v>
      </c>
      <c r="R1429" s="14">
        <v>2406</v>
      </c>
      <c r="S1429" s="17" t="str">
        <f t="shared" si="44"/>
        <v>low</v>
      </c>
      <c r="T1429">
        <v>4060</v>
      </c>
      <c r="U1429">
        <v>8</v>
      </c>
      <c r="V1429" s="17" t="s">
        <v>43</v>
      </c>
      <c r="W1429">
        <v>19</v>
      </c>
      <c r="X1429">
        <v>3</v>
      </c>
      <c r="Y1429">
        <v>3</v>
      </c>
      <c r="Z1429">
        <v>2</v>
      </c>
      <c r="AA1429">
        <v>8</v>
      </c>
      <c r="AB1429">
        <v>3</v>
      </c>
      <c r="AC1429">
        <v>2</v>
      </c>
      <c r="AD1429" s="14">
        <v>1</v>
      </c>
      <c r="AE1429" t="str">
        <f t="shared" si="45"/>
        <v>0-2 years</v>
      </c>
      <c r="AF1429" s="14">
        <v>0</v>
      </c>
      <c r="AG1429" s="14">
        <v>0</v>
      </c>
      <c r="AH1429" s="14">
        <v>0</v>
      </c>
    </row>
    <row r="1430" spans="1:34" x14ac:dyDescent="0.3">
      <c r="A1430" s="14">
        <v>32</v>
      </c>
      <c r="B1430" s="17" t="s">
        <v>43</v>
      </c>
      <c r="C1430" t="s">
        <v>36</v>
      </c>
      <c r="D1430">
        <v>234</v>
      </c>
      <c r="E1430" s="17" t="s">
        <v>37</v>
      </c>
      <c r="F1430">
        <v>1</v>
      </c>
      <c r="G1430">
        <v>4</v>
      </c>
      <c r="H1430" t="s">
        <v>51</v>
      </c>
      <c r="I1430">
        <v>2013</v>
      </c>
      <c r="J1430">
        <v>2</v>
      </c>
      <c r="K1430" s="17" t="s">
        <v>46</v>
      </c>
      <c r="L1430">
        <v>68</v>
      </c>
      <c r="M1430">
        <v>2</v>
      </c>
      <c r="N1430">
        <v>1</v>
      </c>
      <c r="O1430" s="17" t="s">
        <v>57</v>
      </c>
      <c r="P1430" s="14">
        <v>2</v>
      </c>
      <c r="Q1430" t="s">
        <v>48</v>
      </c>
      <c r="R1430" s="14">
        <v>2269</v>
      </c>
      <c r="S1430" s="17" t="str">
        <f t="shared" si="44"/>
        <v>low</v>
      </c>
      <c r="T1430">
        <v>18024</v>
      </c>
      <c r="U1430">
        <v>0</v>
      </c>
      <c r="V1430" s="17" t="s">
        <v>43</v>
      </c>
      <c r="W1430">
        <v>14</v>
      </c>
      <c r="X1430">
        <v>3</v>
      </c>
      <c r="Y1430">
        <v>2</v>
      </c>
      <c r="Z1430">
        <v>1</v>
      </c>
      <c r="AA1430">
        <v>3</v>
      </c>
      <c r="AB1430">
        <v>2</v>
      </c>
      <c r="AC1430">
        <v>3</v>
      </c>
      <c r="AD1430" s="14">
        <v>2</v>
      </c>
      <c r="AE1430" t="str">
        <f t="shared" si="45"/>
        <v>0-2 years</v>
      </c>
      <c r="AF1430" s="14">
        <v>2</v>
      </c>
      <c r="AG1430" s="14">
        <v>2</v>
      </c>
      <c r="AH1430" s="14">
        <v>2</v>
      </c>
    </row>
    <row r="1431" spans="1:34" x14ac:dyDescent="0.3">
      <c r="A1431" s="14">
        <v>39</v>
      </c>
      <c r="B1431" s="17" t="s">
        <v>43</v>
      </c>
      <c r="C1431" t="s">
        <v>36</v>
      </c>
      <c r="D1431">
        <v>116</v>
      </c>
      <c r="E1431" s="17" t="s">
        <v>45</v>
      </c>
      <c r="F1431">
        <v>24</v>
      </c>
      <c r="G1431">
        <v>1</v>
      </c>
      <c r="H1431" t="s">
        <v>38</v>
      </c>
      <c r="I1431">
        <v>2014</v>
      </c>
      <c r="J1431">
        <v>1</v>
      </c>
      <c r="K1431" s="17" t="s">
        <v>46</v>
      </c>
      <c r="L1431">
        <v>52</v>
      </c>
      <c r="M1431">
        <v>3</v>
      </c>
      <c r="N1431">
        <v>2</v>
      </c>
      <c r="O1431" s="17" t="s">
        <v>47</v>
      </c>
      <c r="P1431" s="14">
        <v>4</v>
      </c>
      <c r="Q1431" t="s">
        <v>41</v>
      </c>
      <c r="R1431" s="14">
        <v>4108</v>
      </c>
      <c r="S1431" s="17" t="str">
        <f t="shared" si="44"/>
        <v>medium</v>
      </c>
      <c r="T1431">
        <v>5340</v>
      </c>
      <c r="U1431">
        <v>7</v>
      </c>
      <c r="V1431" s="17" t="s">
        <v>43</v>
      </c>
      <c r="W1431">
        <v>13</v>
      </c>
      <c r="X1431">
        <v>3</v>
      </c>
      <c r="Y1431">
        <v>1</v>
      </c>
      <c r="Z1431">
        <v>0</v>
      </c>
      <c r="AA1431">
        <v>18</v>
      </c>
      <c r="AB1431">
        <v>2</v>
      </c>
      <c r="AC1431">
        <v>3</v>
      </c>
      <c r="AD1431" s="14">
        <v>7</v>
      </c>
      <c r="AE1431" t="str">
        <f t="shared" si="45"/>
        <v>6-10 years</v>
      </c>
      <c r="AF1431" s="14">
        <v>7</v>
      </c>
      <c r="AG1431" s="14">
        <v>1</v>
      </c>
      <c r="AH1431" s="14">
        <v>7</v>
      </c>
    </row>
    <row r="1432" spans="1:34" x14ac:dyDescent="0.3">
      <c r="A1432" s="14">
        <v>38</v>
      </c>
      <c r="B1432" s="17" t="s">
        <v>43</v>
      </c>
      <c r="C1432" t="s">
        <v>36</v>
      </c>
      <c r="D1432">
        <v>201</v>
      </c>
      <c r="E1432" s="17" t="s">
        <v>45</v>
      </c>
      <c r="F1432">
        <v>10</v>
      </c>
      <c r="G1432">
        <v>3</v>
      </c>
      <c r="H1432" t="s">
        <v>51</v>
      </c>
      <c r="I1432">
        <v>2015</v>
      </c>
      <c r="J1432">
        <v>2</v>
      </c>
      <c r="K1432" s="17" t="s">
        <v>39</v>
      </c>
      <c r="L1432">
        <v>99</v>
      </c>
      <c r="M1432">
        <v>1</v>
      </c>
      <c r="N1432">
        <v>3</v>
      </c>
      <c r="O1432" s="17" t="s">
        <v>58</v>
      </c>
      <c r="P1432" s="14">
        <v>3</v>
      </c>
      <c r="Q1432" t="s">
        <v>48</v>
      </c>
      <c r="R1432" s="14">
        <v>13206</v>
      </c>
      <c r="S1432" s="17" t="str">
        <f t="shared" si="44"/>
        <v>high</v>
      </c>
      <c r="T1432">
        <v>3376</v>
      </c>
      <c r="U1432">
        <v>3</v>
      </c>
      <c r="V1432" s="17" t="s">
        <v>43</v>
      </c>
      <c r="W1432">
        <v>12</v>
      </c>
      <c r="X1432">
        <v>3</v>
      </c>
      <c r="Y1432">
        <v>1</v>
      </c>
      <c r="Z1432">
        <v>1</v>
      </c>
      <c r="AA1432">
        <v>20</v>
      </c>
      <c r="AB1432">
        <v>3</v>
      </c>
      <c r="AC1432">
        <v>3</v>
      </c>
      <c r="AD1432" s="14">
        <v>18</v>
      </c>
      <c r="AE1432" t="str">
        <f t="shared" si="45"/>
        <v>10+ years</v>
      </c>
      <c r="AF1432" s="14">
        <v>16</v>
      </c>
      <c r="AG1432" s="14">
        <v>1</v>
      </c>
      <c r="AH1432" s="14">
        <v>11</v>
      </c>
    </row>
    <row r="1433" spans="1:34" x14ac:dyDescent="0.3">
      <c r="A1433" s="14">
        <v>32</v>
      </c>
      <c r="B1433" s="17" t="s">
        <v>43</v>
      </c>
      <c r="C1433" t="s">
        <v>36</v>
      </c>
      <c r="D1433">
        <v>801</v>
      </c>
      <c r="E1433" s="17" t="s">
        <v>37</v>
      </c>
      <c r="F1433">
        <v>1</v>
      </c>
      <c r="G1433">
        <v>4</v>
      </c>
      <c r="H1433" t="s">
        <v>59</v>
      </c>
      <c r="I1433">
        <v>2016</v>
      </c>
      <c r="J1433">
        <v>3</v>
      </c>
      <c r="K1433" s="17" t="s">
        <v>39</v>
      </c>
      <c r="L1433">
        <v>48</v>
      </c>
      <c r="M1433">
        <v>3</v>
      </c>
      <c r="N1433">
        <v>3</v>
      </c>
      <c r="O1433" s="17" t="s">
        <v>40</v>
      </c>
      <c r="P1433" s="14">
        <v>4</v>
      </c>
      <c r="Q1433" t="s">
        <v>48</v>
      </c>
      <c r="R1433" s="14">
        <v>10422</v>
      </c>
      <c r="S1433" s="17" t="str">
        <f t="shared" si="44"/>
        <v>high</v>
      </c>
      <c r="T1433">
        <v>24032</v>
      </c>
      <c r="U1433">
        <v>1</v>
      </c>
      <c r="V1433" s="17" t="s">
        <v>43</v>
      </c>
      <c r="W1433">
        <v>19</v>
      </c>
      <c r="X1433">
        <v>3</v>
      </c>
      <c r="Y1433">
        <v>3</v>
      </c>
      <c r="Z1433">
        <v>2</v>
      </c>
      <c r="AA1433">
        <v>14</v>
      </c>
      <c r="AB1433">
        <v>3</v>
      </c>
      <c r="AC1433">
        <v>3</v>
      </c>
      <c r="AD1433" s="14">
        <v>14</v>
      </c>
      <c r="AE1433" t="str">
        <f t="shared" si="45"/>
        <v>10+ years</v>
      </c>
      <c r="AF1433" s="14">
        <v>10</v>
      </c>
      <c r="AG1433" s="14">
        <v>5</v>
      </c>
      <c r="AH1433" s="14">
        <v>7</v>
      </c>
    </row>
    <row r="1434" spans="1:34" x14ac:dyDescent="0.3">
      <c r="A1434" s="14">
        <v>37</v>
      </c>
      <c r="B1434" s="17" t="s">
        <v>43</v>
      </c>
      <c r="C1434" t="s">
        <v>36</v>
      </c>
      <c r="D1434">
        <v>161</v>
      </c>
      <c r="E1434" s="17" t="s">
        <v>45</v>
      </c>
      <c r="F1434">
        <v>10</v>
      </c>
      <c r="G1434">
        <v>3</v>
      </c>
      <c r="H1434" t="s">
        <v>38</v>
      </c>
      <c r="I1434">
        <v>2017</v>
      </c>
      <c r="J1434">
        <v>3</v>
      </c>
      <c r="K1434" s="17" t="s">
        <v>39</v>
      </c>
      <c r="L1434">
        <v>42</v>
      </c>
      <c r="M1434">
        <v>4</v>
      </c>
      <c r="N1434">
        <v>3</v>
      </c>
      <c r="O1434" s="17" t="s">
        <v>58</v>
      </c>
      <c r="P1434" s="14">
        <v>4</v>
      </c>
      <c r="Q1434" t="s">
        <v>48</v>
      </c>
      <c r="R1434" s="14">
        <v>13744</v>
      </c>
      <c r="S1434" s="17" t="str">
        <f t="shared" si="44"/>
        <v>high</v>
      </c>
      <c r="T1434">
        <v>15471</v>
      </c>
      <c r="U1434">
        <v>1</v>
      </c>
      <c r="V1434" s="17" t="s">
        <v>35</v>
      </c>
      <c r="W1434">
        <v>25</v>
      </c>
      <c r="X1434">
        <v>4</v>
      </c>
      <c r="Y1434">
        <v>1</v>
      </c>
      <c r="Z1434">
        <v>1</v>
      </c>
      <c r="AA1434">
        <v>16</v>
      </c>
      <c r="AB1434">
        <v>2</v>
      </c>
      <c r="AC1434">
        <v>3</v>
      </c>
      <c r="AD1434" s="14">
        <v>16</v>
      </c>
      <c r="AE1434" t="str">
        <f t="shared" si="45"/>
        <v>10+ years</v>
      </c>
      <c r="AF1434" s="14">
        <v>11</v>
      </c>
      <c r="AG1434" s="14">
        <v>6</v>
      </c>
      <c r="AH1434" s="14">
        <v>8</v>
      </c>
    </row>
    <row r="1435" spans="1:34" x14ac:dyDescent="0.3">
      <c r="A1435" s="14">
        <v>25</v>
      </c>
      <c r="B1435" s="17" t="s">
        <v>43</v>
      </c>
      <c r="C1435" t="s">
        <v>36</v>
      </c>
      <c r="D1435">
        <v>1382</v>
      </c>
      <c r="E1435" s="17" t="s">
        <v>37</v>
      </c>
      <c r="F1435">
        <v>8</v>
      </c>
      <c r="G1435">
        <v>2</v>
      </c>
      <c r="H1435" t="s">
        <v>49</v>
      </c>
      <c r="I1435">
        <v>2018</v>
      </c>
      <c r="J1435">
        <v>1</v>
      </c>
      <c r="K1435" s="17" t="s">
        <v>39</v>
      </c>
      <c r="L1435">
        <v>85</v>
      </c>
      <c r="M1435">
        <v>3</v>
      </c>
      <c r="N1435">
        <v>2</v>
      </c>
      <c r="O1435" s="17" t="s">
        <v>40</v>
      </c>
      <c r="P1435" s="14">
        <v>3</v>
      </c>
      <c r="Q1435" t="s">
        <v>52</v>
      </c>
      <c r="R1435" s="14">
        <v>4907</v>
      </c>
      <c r="S1435" s="17" t="str">
        <f t="shared" si="44"/>
        <v>medium</v>
      </c>
      <c r="T1435">
        <v>13684</v>
      </c>
      <c r="U1435">
        <v>0</v>
      </c>
      <c r="V1435" s="17" t="s">
        <v>35</v>
      </c>
      <c r="W1435">
        <v>22</v>
      </c>
      <c r="X1435">
        <v>4</v>
      </c>
      <c r="Y1435">
        <v>2</v>
      </c>
      <c r="Z1435">
        <v>1</v>
      </c>
      <c r="AA1435">
        <v>6</v>
      </c>
      <c r="AB1435">
        <v>3</v>
      </c>
      <c r="AC1435">
        <v>2</v>
      </c>
      <c r="AD1435" s="14">
        <v>5</v>
      </c>
      <c r="AE1435" t="str">
        <f t="shared" si="45"/>
        <v>3-5 years</v>
      </c>
      <c r="AF1435" s="14">
        <v>3</v>
      </c>
      <c r="AG1435" s="14">
        <v>0</v>
      </c>
      <c r="AH1435" s="14">
        <v>4</v>
      </c>
    </row>
    <row r="1436" spans="1:34" x14ac:dyDescent="0.3">
      <c r="A1436" s="14">
        <v>52</v>
      </c>
      <c r="B1436" s="17" t="s">
        <v>43</v>
      </c>
      <c r="C1436" t="s">
        <v>55</v>
      </c>
      <c r="D1436">
        <v>585</v>
      </c>
      <c r="E1436" s="17" t="s">
        <v>37</v>
      </c>
      <c r="F1436">
        <v>29</v>
      </c>
      <c r="G1436">
        <v>4</v>
      </c>
      <c r="H1436" t="s">
        <v>38</v>
      </c>
      <c r="I1436">
        <v>2019</v>
      </c>
      <c r="J1436">
        <v>1</v>
      </c>
      <c r="K1436" s="17" t="s">
        <v>46</v>
      </c>
      <c r="L1436">
        <v>40</v>
      </c>
      <c r="M1436">
        <v>3</v>
      </c>
      <c r="N1436">
        <v>1</v>
      </c>
      <c r="O1436" s="17" t="s">
        <v>57</v>
      </c>
      <c r="P1436" s="14">
        <v>4</v>
      </c>
      <c r="Q1436" t="s">
        <v>52</v>
      </c>
      <c r="R1436" s="14">
        <v>3482</v>
      </c>
      <c r="S1436" s="17" t="str">
        <f t="shared" si="44"/>
        <v>medium</v>
      </c>
      <c r="T1436">
        <v>19788</v>
      </c>
      <c r="U1436">
        <v>2</v>
      </c>
      <c r="V1436" s="17" t="s">
        <v>43</v>
      </c>
      <c r="W1436">
        <v>15</v>
      </c>
      <c r="X1436">
        <v>3</v>
      </c>
      <c r="Y1436">
        <v>2</v>
      </c>
      <c r="Z1436">
        <v>2</v>
      </c>
      <c r="AA1436">
        <v>16</v>
      </c>
      <c r="AB1436">
        <v>3</v>
      </c>
      <c r="AC1436">
        <v>2</v>
      </c>
      <c r="AD1436" s="14">
        <v>9</v>
      </c>
      <c r="AE1436" t="str">
        <f t="shared" si="45"/>
        <v>6-10 years</v>
      </c>
      <c r="AF1436" s="14">
        <v>8</v>
      </c>
      <c r="AG1436" s="14">
        <v>0</v>
      </c>
      <c r="AH1436" s="14">
        <v>0</v>
      </c>
    </row>
    <row r="1437" spans="1:34" x14ac:dyDescent="0.3">
      <c r="A1437" s="14">
        <v>44</v>
      </c>
      <c r="B1437" s="17" t="s">
        <v>43</v>
      </c>
      <c r="C1437" t="s">
        <v>36</v>
      </c>
      <c r="D1437">
        <v>1037</v>
      </c>
      <c r="E1437" s="17" t="s">
        <v>45</v>
      </c>
      <c r="F1437">
        <v>1</v>
      </c>
      <c r="G1437">
        <v>3</v>
      </c>
      <c r="H1437" t="s">
        <v>51</v>
      </c>
      <c r="I1437">
        <v>2020</v>
      </c>
      <c r="J1437">
        <v>2</v>
      </c>
      <c r="K1437" s="17" t="s">
        <v>46</v>
      </c>
      <c r="L1437">
        <v>42</v>
      </c>
      <c r="M1437">
        <v>3</v>
      </c>
      <c r="N1437">
        <v>1</v>
      </c>
      <c r="O1437" s="17" t="s">
        <v>47</v>
      </c>
      <c r="P1437" s="14">
        <v>4</v>
      </c>
      <c r="Q1437" t="s">
        <v>41</v>
      </c>
      <c r="R1437" s="14">
        <v>2436</v>
      </c>
      <c r="S1437" s="17" t="str">
        <f t="shared" si="44"/>
        <v>low</v>
      </c>
      <c r="T1437">
        <v>13422</v>
      </c>
      <c r="U1437">
        <v>6</v>
      </c>
      <c r="V1437" s="17" t="s">
        <v>35</v>
      </c>
      <c r="W1437">
        <v>12</v>
      </c>
      <c r="X1437">
        <v>3</v>
      </c>
      <c r="Y1437">
        <v>3</v>
      </c>
      <c r="Z1437">
        <v>0</v>
      </c>
      <c r="AA1437">
        <v>6</v>
      </c>
      <c r="AB1437">
        <v>2</v>
      </c>
      <c r="AC1437">
        <v>3</v>
      </c>
      <c r="AD1437" s="14">
        <v>4</v>
      </c>
      <c r="AE1437" t="str">
        <f t="shared" si="45"/>
        <v>3-5 years</v>
      </c>
      <c r="AF1437" s="14">
        <v>3</v>
      </c>
      <c r="AG1437" s="14">
        <v>1</v>
      </c>
      <c r="AH1437" s="14">
        <v>2</v>
      </c>
    </row>
    <row r="1438" spans="1:34" x14ac:dyDescent="0.3">
      <c r="A1438" s="14">
        <v>21</v>
      </c>
      <c r="B1438" s="17" t="s">
        <v>43</v>
      </c>
      <c r="C1438" t="s">
        <v>36</v>
      </c>
      <c r="D1438">
        <v>501</v>
      </c>
      <c r="E1438" s="17" t="s">
        <v>37</v>
      </c>
      <c r="F1438">
        <v>5</v>
      </c>
      <c r="G1438">
        <v>1</v>
      </c>
      <c r="H1438" t="s">
        <v>51</v>
      </c>
      <c r="I1438">
        <v>2021</v>
      </c>
      <c r="J1438">
        <v>3</v>
      </c>
      <c r="K1438" s="17" t="s">
        <v>46</v>
      </c>
      <c r="L1438">
        <v>58</v>
      </c>
      <c r="M1438">
        <v>3</v>
      </c>
      <c r="N1438">
        <v>1</v>
      </c>
      <c r="O1438" s="17" t="s">
        <v>57</v>
      </c>
      <c r="P1438" s="14">
        <v>1</v>
      </c>
      <c r="Q1438" t="s">
        <v>41</v>
      </c>
      <c r="R1438" s="14">
        <v>2380</v>
      </c>
      <c r="S1438" s="17" t="str">
        <f t="shared" si="44"/>
        <v>low</v>
      </c>
      <c r="T1438">
        <v>25479</v>
      </c>
      <c r="U1438">
        <v>1</v>
      </c>
      <c r="V1438" s="17" t="s">
        <v>35</v>
      </c>
      <c r="W1438">
        <v>11</v>
      </c>
      <c r="X1438">
        <v>3</v>
      </c>
      <c r="Y1438">
        <v>4</v>
      </c>
      <c r="Z1438">
        <v>0</v>
      </c>
      <c r="AA1438">
        <v>2</v>
      </c>
      <c r="AB1438">
        <v>6</v>
      </c>
      <c r="AC1438">
        <v>3</v>
      </c>
      <c r="AD1438" s="14">
        <v>2</v>
      </c>
      <c r="AE1438" t="str">
        <f t="shared" si="45"/>
        <v>0-2 years</v>
      </c>
      <c r="AF1438" s="14">
        <v>2</v>
      </c>
      <c r="AG1438" s="14">
        <v>1</v>
      </c>
      <c r="AH1438" s="14">
        <v>2</v>
      </c>
    </row>
    <row r="1439" spans="1:34" x14ac:dyDescent="0.3">
      <c r="A1439" s="14">
        <v>39</v>
      </c>
      <c r="B1439" s="17" t="s">
        <v>43</v>
      </c>
      <c r="C1439" t="s">
        <v>55</v>
      </c>
      <c r="D1439">
        <v>105</v>
      </c>
      <c r="E1439" s="17" t="s">
        <v>45</v>
      </c>
      <c r="F1439">
        <v>9</v>
      </c>
      <c r="G1439">
        <v>3</v>
      </c>
      <c r="H1439" t="s">
        <v>38</v>
      </c>
      <c r="I1439">
        <v>2022</v>
      </c>
      <c r="J1439">
        <v>4</v>
      </c>
      <c r="K1439" s="17" t="s">
        <v>46</v>
      </c>
      <c r="L1439">
        <v>87</v>
      </c>
      <c r="M1439">
        <v>3</v>
      </c>
      <c r="N1439">
        <v>5</v>
      </c>
      <c r="O1439" s="17" t="s">
        <v>56</v>
      </c>
      <c r="P1439" s="14">
        <v>4</v>
      </c>
      <c r="Q1439" t="s">
        <v>41</v>
      </c>
      <c r="R1439" s="14">
        <v>19431</v>
      </c>
      <c r="S1439" s="17" t="str">
        <f t="shared" si="44"/>
        <v>high</v>
      </c>
      <c r="T1439">
        <v>15302</v>
      </c>
      <c r="U1439">
        <v>2</v>
      </c>
      <c r="V1439" s="17" t="s">
        <v>43</v>
      </c>
      <c r="W1439">
        <v>13</v>
      </c>
      <c r="X1439">
        <v>3</v>
      </c>
      <c r="Y1439">
        <v>3</v>
      </c>
      <c r="Z1439">
        <v>0</v>
      </c>
      <c r="AA1439">
        <v>21</v>
      </c>
      <c r="AB1439">
        <v>3</v>
      </c>
      <c r="AC1439">
        <v>2</v>
      </c>
      <c r="AD1439" s="14">
        <v>6</v>
      </c>
      <c r="AE1439" t="str">
        <f t="shared" si="45"/>
        <v>6-10 years</v>
      </c>
      <c r="AF1439" s="14">
        <v>0</v>
      </c>
      <c r="AG1439" s="14">
        <v>1</v>
      </c>
      <c r="AH1439" s="14">
        <v>3</v>
      </c>
    </row>
    <row r="1440" spans="1:34" x14ac:dyDescent="0.3">
      <c r="A1440" s="14">
        <v>23</v>
      </c>
      <c r="B1440" s="17" t="s">
        <v>35</v>
      </c>
      <c r="C1440" t="s">
        <v>44</v>
      </c>
      <c r="D1440">
        <v>638</v>
      </c>
      <c r="E1440" s="17" t="s">
        <v>37</v>
      </c>
      <c r="F1440">
        <v>9</v>
      </c>
      <c r="G1440">
        <v>3</v>
      </c>
      <c r="H1440" t="s">
        <v>59</v>
      </c>
      <c r="I1440">
        <v>2023</v>
      </c>
      <c r="J1440">
        <v>4</v>
      </c>
      <c r="K1440" s="17" t="s">
        <v>46</v>
      </c>
      <c r="L1440">
        <v>33</v>
      </c>
      <c r="M1440">
        <v>3</v>
      </c>
      <c r="N1440">
        <v>1</v>
      </c>
      <c r="O1440" s="17" t="s">
        <v>57</v>
      </c>
      <c r="P1440" s="14">
        <v>1</v>
      </c>
      <c r="Q1440" t="s">
        <v>48</v>
      </c>
      <c r="R1440" s="14">
        <v>1790</v>
      </c>
      <c r="S1440" s="17" t="str">
        <f t="shared" si="44"/>
        <v>low</v>
      </c>
      <c r="T1440">
        <v>26956</v>
      </c>
      <c r="U1440">
        <v>1</v>
      </c>
      <c r="V1440" s="17" t="s">
        <v>43</v>
      </c>
      <c r="W1440">
        <v>19</v>
      </c>
      <c r="X1440">
        <v>3</v>
      </c>
      <c r="Y1440">
        <v>1</v>
      </c>
      <c r="Z1440">
        <v>1</v>
      </c>
      <c r="AA1440">
        <v>1</v>
      </c>
      <c r="AB1440">
        <v>3</v>
      </c>
      <c r="AC1440">
        <v>2</v>
      </c>
      <c r="AD1440" s="14">
        <v>1</v>
      </c>
      <c r="AE1440" t="str">
        <f t="shared" si="45"/>
        <v>0-2 years</v>
      </c>
      <c r="AF1440" s="14">
        <v>0</v>
      </c>
      <c r="AG1440" s="14">
        <v>1</v>
      </c>
      <c r="AH1440" s="14">
        <v>0</v>
      </c>
    </row>
    <row r="1441" spans="1:34" x14ac:dyDescent="0.3">
      <c r="A1441" s="14">
        <v>36</v>
      </c>
      <c r="B1441" s="17" t="s">
        <v>43</v>
      </c>
      <c r="C1441" t="s">
        <v>36</v>
      </c>
      <c r="D1441">
        <v>557</v>
      </c>
      <c r="E1441" s="17" t="s">
        <v>37</v>
      </c>
      <c r="F1441">
        <v>3</v>
      </c>
      <c r="G1441">
        <v>3</v>
      </c>
      <c r="H1441" t="s">
        <v>51</v>
      </c>
      <c r="I1441">
        <v>2024</v>
      </c>
      <c r="J1441">
        <v>1</v>
      </c>
      <c r="K1441" s="17" t="s">
        <v>39</v>
      </c>
      <c r="L1441">
        <v>94</v>
      </c>
      <c r="M1441">
        <v>2</v>
      </c>
      <c r="N1441">
        <v>3</v>
      </c>
      <c r="O1441" s="17" t="s">
        <v>40</v>
      </c>
      <c r="P1441" s="14">
        <v>4</v>
      </c>
      <c r="Q1441" t="s">
        <v>48</v>
      </c>
      <c r="R1441" s="14">
        <v>7644</v>
      </c>
      <c r="S1441" s="17" t="str">
        <f t="shared" si="44"/>
        <v>high</v>
      </c>
      <c r="T1441">
        <v>12695</v>
      </c>
      <c r="U1441">
        <v>0</v>
      </c>
      <c r="V1441" s="17" t="s">
        <v>43</v>
      </c>
      <c r="W1441">
        <v>19</v>
      </c>
      <c r="X1441">
        <v>3</v>
      </c>
      <c r="Y1441">
        <v>3</v>
      </c>
      <c r="Z1441">
        <v>2</v>
      </c>
      <c r="AA1441">
        <v>10</v>
      </c>
      <c r="AB1441">
        <v>2</v>
      </c>
      <c r="AC1441">
        <v>3</v>
      </c>
      <c r="AD1441" s="14">
        <v>9</v>
      </c>
      <c r="AE1441" t="str">
        <f t="shared" si="45"/>
        <v>6-10 years</v>
      </c>
      <c r="AF1441" s="14">
        <v>7</v>
      </c>
      <c r="AG1441" s="14">
        <v>3</v>
      </c>
      <c r="AH1441" s="14">
        <v>4</v>
      </c>
    </row>
    <row r="1442" spans="1:34" x14ac:dyDescent="0.3">
      <c r="A1442" s="14">
        <v>36</v>
      </c>
      <c r="B1442" s="17" t="s">
        <v>43</v>
      </c>
      <c r="C1442" t="s">
        <v>44</v>
      </c>
      <c r="D1442">
        <v>688</v>
      </c>
      <c r="E1442" s="17" t="s">
        <v>45</v>
      </c>
      <c r="F1442">
        <v>4</v>
      </c>
      <c r="G1442">
        <v>2</v>
      </c>
      <c r="H1442" t="s">
        <v>38</v>
      </c>
      <c r="I1442">
        <v>2025</v>
      </c>
      <c r="J1442">
        <v>4</v>
      </c>
      <c r="K1442" s="17" t="s">
        <v>39</v>
      </c>
      <c r="L1442">
        <v>97</v>
      </c>
      <c r="M1442">
        <v>3</v>
      </c>
      <c r="N1442">
        <v>2</v>
      </c>
      <c r="O1442" s="17" t="s">
        <v>53</v>
      </c>
      <c r="P1442" s="14">
        <v>2</v>
      </c>
      <c r="Q1442" t="s">
        <v>52</v>
      </c>
      <c r="R1442" s="14">
        <v>5131</v>
      </c>
      <c r="S1442" s="17" t="str">
        <f t="shared" si="44"/>
        <v>medium</v>
      </c>
      <c r="T1442">
        <v>9192</v>
      </c>
      <c r="U1442">
        <v>7</v>
      </c>
      <c r="V1442" s="17" t="s">
        <v>43</v>
      </c>
      <c r="W1442">
        <v>13</v>
      </c>
      <c r="X1442">
        <v>3</v>
      </c>
      <c r="Y1442">
        <v>2</v>
      </c>
      <c r="Z1442">
        <v>3</v>
      </c>
      <c r="AA1442">
        <v>18</v>
      </c>
      <c r="AB1442">
        <v>3</v>
      </c>
      <c r="AC1442">
        <v>3</v>
      </c>
      <c r="AD1442" s="14">
        <v>4</v>
      </c>
      <c r="AE1442" t="str">
        <f t="shared" si="45"/>
        <v>3-5 years</v>
      </c>
      <c r="AF1442" s="14">
        <v>2</v>
      </c>
      <c r="AG1442" s="14">
        <v>0</v>
      </c>
      <c r="AH1442" s="14">
        <v>2</v>
      </c>
    </row>
    <row r="1443" spans="1:34" x14ac:dyDescent="0.3">
      <c r="A1443" s="14">
        <v>56</v>
      </c>
      <c r="B1443" s="17" t="s">
        <v>43</v>
      </c>
      <c r="C1443" t="s">
        <v>55</v>
      </c>
      <c r="D1443">
        <v>667</v>
      </c>
      <c r="E1443" s="17" t="s">
        <v>45</v>
      </c>
      <c r="F1443">
        <v>1</v>
      </c>
      <c r="G1443">
        <v>4</v>
      </c>
      <c r="H1443" t="s">
        <v>38</v>
      </c>
      <c r="I1443">
        <v>2026</v>
      </c>
      <c r="J1443">
        <v>3</v>
      </c>
      <c r="K1443" s="17" t="s">
        <v>46</v>
      </c>
      <c r="L1443">
        <v>57</v>
      </c>
      <c r="M1443">
        <v>3</v>
      </c>
      <c r="N1443">
        <v>2</v>
      </c>
      <c r="O1443" s="17" t="s">
        <v>54</v>
      </c>
      <c r="P1443" s="14">
        <v>3</v>
      </c>
      <c r="Q1443" t="s">
        <v>52</v>
      </c>
      <c r="R1443" s="14">
        <v>6306</v>
      </c>
      <c r="S1443" s="17" t="str">
        <f t="shared" si="44"/>
        <v>medium</v>
      </c>
      <c r="T1443">
        <v>26236</v>
      </c>
      <c r="U1443">
        <v>1</v>
      </c>
      <c r="V1443" s="17" t="s">
        <v>43</v>
      </c>
      <c r="W1443">
        <v>21</v>
      </c>
      <c r="X1443">
        <v>4</v>
      </c>
      <c r="Y1443">
        <v>1</v>
      </c>
      <c r="Z1443">
        <v>1</v>
      </c>
      <c r="AA1443">
        <v>13</v>
      </c>
      <c r="AB1443">
        <v>2</v>
      </c>
      <c r="AC1443">
        <v>2</v>
      </c>
      <c r="AD1443" s="14">
        <v>13</v>
      </c>
      <c r="AE1443" t="str">
        <f t="shared" si="45"/>
        <v>10+ years</v>
      </c>
      <c r="AF1443" s="14">
        <v>12</v>
      </c>
      <c r="AG1443" s="14">
        <v>1</v>
      </c>
      <c r="AH1443" s="14">
        <v>9</v>
      </c>
    </row>
    <row r="1444" spans="1:34" x14ac:dyDescent="0.3">
      <c r="A1444" s="14">
        <v>29</v>
      </c>
      <c r="B1444" s="17" t="s">
        <v>35</v>
      </c>
      <c r="C1444" t="s">
        <v>36</v>
      </c>
      <c r="D1444">
        <v>1092</v>
      </c>
      <c r="E1444" s="17" t="s">
        <v>45</v>
      </c>
      <c r="F1444">
        <v>1</v>
      </c>
      <c r="G1444">
        <v>4</v>
      </c>
      <c r="H1444" t="s">
        <v>51</v>
      </c>
      <c r="I1444">
        <v>2027</v>
      </c>
      <c r="J1444">
        <v>1</v>
      </c>
      <c r="K1444" s="17" t="s">
        <v>46</v>
      </c>
      <c r="L1444">
        <v>36</v>
      </c>
      <c r="M1444">
        <v>3</v>
      </c>
      <c r="N1444">
        <v>1</v>
      </c>
      <c r="O1444" s="17" t="s">
        <v>47</v>
      </c>
      <c r="P1444" s="14">
        <v>4</v>
      </c>
      <c r="Q1444" t="s">
        <v>48</v>
      </c>
      <c r="R1444" s="14">
        <v>4787</v>
      </c>
      <c r="S1444" s="17" t="str">
        <f t="shared" si="44"/>
        <v>medium</v>
      </c>
      <c r="T1444">
        <v>26124</v>
      </c>
      <c r="U1444">
        <v>9</v>
      </c>
      <c r="V1444" s="17" t="s">
        <v>35</v>
      </c>
      <c r="W1444">
        <v>14</v>
      </c>
      <c r="X1444">
        <v>3</v>
      </c>
      <c r="Y1444">
        <v>2</v>
      </c>
      <c r="Z1444">
        <v>3</v>
      </c>
      <c r="AA1444">
        <v>4</v>
      </c>
      <c r="AB1444">
        <v>3</v>
      </c>
      <c r="AC1444">
        <v>4</v>
      </c>
      <c r="AD1444" s="14">
        <v>2</v>
      </c>
      <c r="AE1444" t="str">
        <f t="shared" si="45"/>
        <v>0-2 years</v>
      </c>
      <c r="AF1444" s="14">
        <v>2</v>
      </c>
      <c r="AG1444" s="14">
        <v>2</v>
      </c>
      <c r="AH1444" s="14">
        <v>2</v>
      </c>
    </row>
    <row r="1445" spans="1:34" x14ac:dyDescent="0.3">
      <c r="A1445" s="14">
        <v>42</v>
      </c>
      <c r="B1445" s="17" t="s">
        <v>43</v>
      </c>
      <c r="C1445" t="s">
        <v>36</v>
      </c>
      <c r="D1445">
        <v>300</v>
      </c>
      <c r="E1445" s="17" t="s">
        <v>45</v>
      </c>
      <c r="F1445">
        <v>2</v>
      </c>
      <c r="G1445">
        <v>3</v>
      </c>
      <c r="H1445" t="s">
        <v>38</v>
      </c>
      <c r="I1445">
        <v>2031</v>
      </c>
      <c r="J1445">
        <v>1</v>
      </c>
      <c r="K1445" s="17" t="s">
        <v>46</v>
      </c>
      <c r="L1445">
        <v>56</v>
      </c>
      <c r="M1445">
        <v>3</v>
      </c>
      <c r="N1445">
        <v>5</v>
      </c>
      <c r="O1445" s="17" t="s">
        <v>56</v>
      </c>
      <c r="P1445" s="14">
        <v>3</v>
      </c>
      <c r="Q1445" t="s">
        <v>48</v>
      </c>
      <c r="R1445" s="14">
        <v>18880</v>
      </c>
      <c r="S1445" s="17" t="str">
        <f t="shared" si="44"/>
        <v>high</v>
      </c>
      <c r="T1445">
        <v>17312</v>
      </c>
      <c r="U1445">
        <v>5</v>
      </c>
      <c r="V1445" s="17" t="s">
        <v>43</v>
      </c>
      <c r="W1445">
        <v>11</v>
      </c>
      <c r="X1445">
        <v>3</v>
      </c>
      <c r="Y1445">
        <v>1</v>
      </c>
      <c r="Z1445">
        <v>0</v>
      </c>
      <c r="AA1445">
        <v>24</v>
      </c>
      <c r="AB1445">
        <v>2</v>
      </c>
      <c r="AC1445">
        <v>2</v>
      </c>
      <c r="AD1445" s="14">
        <v>22</v>
      </c>
      <c r="AE1445" t="str">
        <f t="shared" si="45"/>
        <v>10+ years</v>
      </c>
      <c r="AF1445" s="14">
        <v>6</v>
      </c>
      <c r="AG1445" s="14">
        <v>4</v>
      </c>
      <c r="AH1445" s="14">
        <v>14</v>
      </c>
    </row>
    <row r="1446" spans="1:34" x14ac:dyDescent="0.3">
      <c r="A1446" s="14">
        <v>56</v>
      </c>
      <c r="B1446" s="17" t="s">
        <v>35</v>
      </c>
      <c r="C1446" t="s">
        <v>36</v>
      </c>
      <c r="D1446">
        <v>310</v>
      </c>
      <c r="E1446" s="17" t="s">
        <v>45</v>
      </c>
      <c r="F1446">
        <v>7</v>
      </c>
      <c r="G1446">
        <v>2</v>
      </c>
      <c r="H1446" t="s">
        <v>60</v>
      </c>
      <c r="I1446">
        <v>2032</v>
      </c>
      <c r="J1446">
        <v>4</v>
      </c>
      <c r="K1446" s="17" t="s">
        <v>46</v>
      </c>
      <c r="L1446">
        <v>72</v>
      </c>
      <c r="M1446">
        <v>3</v>
      </c>
      <c r="N1446">
        <v>1</v>
      </c>
      <c r="O1446" s="17" t="s">
        <v>50</v>
      </c>
      <c r="P1446" s="14">
        <v>3</v>
      </c>
      <c r="Q1446" t="s">
        <v>48</v>
      </c>
      <c r="R1446" s="14">
        <v>2339</v>
      </c>
      <c r="S1446" s="17" t="str">
        <f t="shared" si="44"/>
        <v>low</v>
      </c>
      <c r="T1446">
        <v>3666</v>
      </c>
      <c r="U1446">
        <v>8</v>
      </c>
      <c r="V1446" s="17" t="s">
        <v>43</v>
      </c>
      <c r="W1446">
        <v>11</v>
      </c>
      <c r="X1446">
        <v>3</v>
      </c>
      <c r="Y1446">
        <v>4</v>
      </c>
      <c r="Z1446">
        <v>1</v>
      </c>
      <c r="AA1446">
        <v>14</v>
      </c>
      <c r="AB1446">
        <v>4</v>
      </c>
      <c r="AC1446">
        <v>1</v>
      </c>
      <c r="AD1446" s="14">
        <v>10</v>
      </c>
      <c r="AE1446" t="str">
        <f t="shared" si="45"/>
        <v>6-10 years</v>
      </c>
      <c r="AF1446" s="14">
        <v>9</v>
      </c>
      <c r="AG1446" s="14">
        <v>9</v>
      </c>
      <c r="AH1446" s="14">
        <v>8</v>
      </c>
    </row>
    <row r="1447" spans="1:34" x14ac:dyDescent="0.3">
      <c r="A1447" s="14">
        <v>41</v>
      </c>
      <c r="B1447" s="17" t="s">
        <v>43</v>
      </c>
      <c r="C1447" t="s">
        <v>36</v>
      </c>
      <c r="D1447">
        <v>582</v>
      </c>
      <c r="E1447" s="17" t="s">
        <v>45</v>
      </c>
      <c r="F1447">
        <v>28</v>
      </c>
      <c r="G1447">
        <v>4</v>
      </c>
      <c r="H1447" t="s">
        <v>38</v>
      </c>
      <c r="I1447">
        <v>2034</v>
      </c>
      <c r="J1447">
        <v>1</v>
      </c>
      <c r="K1447" s="17" t="s">
        <v>39</v>
      </c>
      <c r="L1447">
        <v>60</v>
      </c>
      <c r="M1447">
        <v>2</v>
      </c>
      <c r="N1447">
        <v>4</v>
      </c>
      <c r="O1447" s="17" t="s">
        <v>53</v>
      </c>
      <c r="P1447" s="14">
        <v>2</v>
      </c>
      <c r="Q1447" t="s">
        <v>48</v>
      </c>
      <c r="R1447" s="14">
        <v>13570</v>
      </c>
      <c r="S1447" s="17" t="str">
        <f t="shared" si="44"/>
        <v>high</v>
      </c>
      <c r="T1447">
        <v>5640</v>
      </c>
      <c r="U1447">
        <v>0</v>
      </c>
      <c r="V1447" s="17" t="s">
        <v>43</v>
      </c>
      <c r="W1447">
        <v>23</v>
      </c>
      <c r="X1447">
        <v>4</v>
      </c>
      <c r="Y1447">
        <v>3</v>
      </c>
      <c r="Z1447">
        <v>1</v>
      </c>
      <c r="AA1447">
        <v>21</v>
      </c>
      <c r="AB1447">
        <v>3</v>
      </c>
      <c r="AC1447">
        <v>3</v>
      </c>
      <c r="AD1447" s="14">
        <v>20</v>
      </c>
      <c r="AE1447" t="str">
        <f t="shared" si="45"/>
        <v>10+ years</v>
      </c>
      <c r="AF1447" s="14">
        <v>7</v>
      </c>
      <c r="AG1447" s="14">
        <v>0</v>
      </c>
      <c r="AH1447" s="14">
        <v>10</v>
      </c>
    </row>
    <row r="1448" spans="1:34" x14ac:dyDescent="0.3">
      <c r="A1448" s="14">
        <v>34</v>
      </c>
      <c r="B1448" s="17" t="s">
        <v>43</v>
      </c>
      <c r="C1448" t="s">
        <v>36</v>
      </c>
      <c r="D1448">
        <v>704</v>
      </c>
      <c r="E1448" s="17" t="s">
        <v>37</v>
      </c>
      <c r="F1448">
        <v>28</v>
      </c>
      <c r="G1448">
        <v>3</v>
      </c>
      <c r="H1448" t="s">
        <v>59</v>
      </c>
      <c r="I1448">
        <v>2035</v>
      </c>
      <c r="J1448">
        <v>4</v>
      </c>
      <c r="K1448" s="17" t="s">
        <v>39</v>
      </c>
      <c r="L1448">
        <v>95</v>
      </c>
      <c r="M1448">
        <v>2</v>
      </c>
      <c r="N1448">
        <v>2</v>
      </c>
      <c r="O1448" s="17" t="s">
        <v>40</v>
      </c>
      <c r="P1448" s="14">
        <v>3</v>
      </c>
      <c r="Q1448" t="s">
        <v>48</v>
      </c>
      <c r="R1448" s="14">
        <v>6712</v>
      </c>
      <c r="S1448" s="17" t="str">
        <f t="shared" si="44"/>
        <v>medium</v>
      </c>
      <c r="T1448">
        <v>8978</v>
      </c>
      <c r="U1448">
        <v>1</v>
      </c>
      <c r="V1448" s="17" t="s">
        <v>43</v>
      </c>
      <c r="W1448">
        <v>21</v>
      </c>
      <c r="X1448">
        <v>4</v>
      </c>
      <c r="Y1448">
        <v>4</v>
      </c>
      <c r="Z1448">
        <v>2</v>
      </c>
      <c r="AA1448">
        <v>8</v>
      </c>
      <c r="AB1448">
        <v>2</v>
      </c>
      <c r="AC1448">
        <v>3</v>
      </c>
      <c r="AD1448" s="14">
        <v>8</v>
      </c>
      <c r="AE1448" t="str">
        <f t="shared" si="45"/>
        <v>6-10 years</v>
      </c>
      <c r="AF1448" s="14">
        <v>7</v>
      </c>
      <c r="AG1448" s="14">
        <v>1</v>
      </c>
      <c r="AH1448" s="14">
        <v>7</v>
      </c>
    </row>
    <row r="1449" spans="1:34" x14ac:dyDescent="0.3">
      <c r="A1449" s="14">
        <v>36</v>
      </c>
      <c r="B1449" s="17" t="s">
        <v>43</v>
      </c>
      <c r="C1449" t="s">
        <v>55</v>
      </c>
      <c r="D1449">
        <v>301</v>
      </c>
      <c r="E1449" s="17" t="s">
        <v>37</v>
      </c>
      <c r="F1449">
        <v>15</v>
      </c>
      <c r="G1449">
        <v>4</v>
      </c>
      <c r="H1449" t="s">
        <v>59</v>
      </c>
      <c r="I1449">
        <v>2036</v>
      </c>
      <c r="J1449">
        <v>4</v>
      </c>
      <c r="K1449" s="17" t="s">
        <v>46</v>
      </c>
      <c r="L1449">
        <v>88</v>
      </c>
      <c r="M1449">
        <v>1</v>
      </c>
      <c r="N1449">
        <v>2</v>
      </c>
      <c r="O1449" s="17" t="s">
        <v>40</v>
      </c>
      <c r="P1449" s="14">
        <v>4</v>
      </c>
      <c r="Q1449" t="s">
        <v>52</v>
      </c>
      <c r="R1449" s="14">
        <v>5406</v>
      </c>
      <c r="S1449" s="17" t="str">
        <f t="shared" si="44"/>
        <v>medium</v>
      </c>
      <c r="T1449">
        <v>10436</v>
      </c>
      <c r="U1449">
        <v>1</v>
      </c>
      <c r="V1449" s="17" t="s">
        <v>43</v>
      </c>
      <c r="W1449">
        <v>24</v>
      </c>
      <c r="X1449">
        <v>4</v>
      </c>
      <c r="Y1449">
        <v>1</v>
      </c>
      <c r="Z1449">
        <v>1</v>
      </c>
      <c r="AA1449">
        <v>15</v>
      </c>
      <c r="AB1449">
        <v>4</v>
      </c>
      <c r="AC1449">
        <v>2</v>
      </c>
      <c r="AD1449" s="14">
        <v>15</v>
      </c>
      <c r="AE1449" t="str">
        <f t="shared" si="45"/>
        <v>10+ years</v>
      </c>
      <c r="AF1449" s="14">
        <v>12</v>
      </c>
      <c r="AG1449" s="14">
        <v>11</v>
      </c>
      <c r="AH1449" s="14">
        <v>11</v>
      </c>
    </row>
    <row r="1450" spans="1:34" x14ac:dyDescent="0.3">
      <c r="A1450" s="14">
        <v>41</v>
      </c>
      <c r="B1450" s="17" t="s">
        <v>43</v>
      </c>
      <c r="C1450" t="s">
        <v>36</v>
      </c>
      <c r="D1450">
        <v>930</v>
      </c>
      <c r="E1450" s="17" t="s">
        <v>37</v>
      </c>
      <c r="F1450">
        <v>3</v>
      </c>
      <c r="G1450">
        <v>3</v>
      </c>
      <c r="H1450" t="s">
        <v>38</v>
      </c>
      <c r="I1450">
        <v>2037</v>
      </c>
      <c r="J1450">
        <v>3</v>
      </c>
      <c r="K1450" s="17" t="s">
        <v>46</v>
      </c>
      <c r="L1450">
        <v>57</v>
      </c>
      <c r="M1450">
        <v>2</v>
      </c>
      <c r="N1450">
        <v>2</v>
      </c>
      <c r="O1450" s="17" t="s">
        <v>40</v>
      </c>
      <c r="P1450" s="14">
        <v>2</v>
      </c>
      <c r="Q1450" t="s">
        <v>52</v>
      </c>
      <c r="R1450" s="14">
        <v>8938</v>
      </c>
      <c r="S1450" s="17" t="str">
        <f t="shared" si="44"/>
        <v>high</v>
      </c>
      <c r="T1450">
        <v>12227</v>
      </c>
      <c r="U1450">
        <v>2</v>
      </c>
      <c r="V1450" s="17" t="s">
        <v>43</v>
      </c>
      <c r="W1450">
        <v>11</v>
      </c>
      <c r="X1450">
        <v>3</v>
      </c>
      <c r="Y1450">
        <v>3</v>
      </c>
      <c r="Z1450">
        <v>1</v>
      </c>
      <c r="AA1450">
        <v>14</v>
      </c>
      <c r="AB1450">
        <v>5</v>
      </c>
      <c r="AC1450">
        <v>3</v>
      </c>
      <c r="AD1450" s="14">
        <v>5</v>
      </c>
      <c r="AE1450" t="str">
        <f t="shared" si="45"/>
        <v>3-5 years</v>
      </c>
      <c r="AF1450" s="14">
        <v>4</v>
      </c>
      <c r="AG1450" s="14">
        <v>0</v>
      </c>
      <c r="AH1450" s="14">
        <v>4</v>
      </c>
    </row>
    <row r="1451" spans="1:34" x14ac:dyDescent="0.3">
      <c r="A1451" s="14">
        <v>32</v>
      </c>
      <c r="B1451" s="17" t="s">
        <v>43</v>
      </c>
      <c r="C1451" t="s">
        <v>36</v>
      </c>
      <c r="D1451">
        <v>529</v>
      </c>
      <c r="E1451" s="17" t="s">
        <v>45</v>
      </c>
      <c r="F1451">
        <v>2</v>
      </c>
      <c r="G1451">
        <v>3</v>
      </c>
      <c r="H1451" t="s">
        <v>60</v>
      </c>
      <c r="I1451">
        <v>2038</v>
      </c>
      <c r="J1451">
        <v>4</v>
      </c>
      <c r="K1451" s="17" t="s">
        <v>46</v>
      </c>
      <c r="L1451">
        <v>78</v>
      </c>
      <c r="M1451">
        <v>3</v>
      </c>
      <c r="N1451">
        <v>1</v>
      </c>
      <c r="O1451" s="17" t="s">
        <v>47</v>
      </c>
      <c r="P1451" s="14">
        <v>1</v>
      </c>
      <c r="Q1451" t="s">
        <v>41</v>
      </c>
      <c r="R1451" s="14">
        <v>2439</v>
      </c>
      <c r="S1451" s="17" t="str">
        <f t="shared" si="44"/>
        <v>low</v>
      </c>
      <c r="T1451">
        <v>11288</v>
      </c>
      <c r="U1451">
        <v>1</v>
      </c>
      <c r="V1451" s="17" t="s">
        <v>43</v>
      </c>
      <c r="W1451">
        <v>14</v>
      </c>
      <c r="X1451">
        <v>3</v>
      </c>
      <c r="Y1451">
        <v>4</v>
      </c>
      <c r="Z1451">
        <v>0</v>
      </c>
      <c r="AA1451">
        <v>4</v>
      </c>
      <c r="AB1451">
        <v>4</v>
      </c>
      <c r="AC1451">
        <v>3</v>
      </c>
      <c r="AD1451" s="14">
        <v>4</v>
      </c>
      <c r="AE1451" t="str">
        <f t="shared" si="45"/>
        <v>3-5 years</v>
      </c>
      <c r="AF1451" s="14">
        <v>2</v>
      </c>
      <c r="AG1451" s="14">
        <v>1</v>
      </c>
      <c r="AH1451" s="14">
        <v>2</v>
      </c>
    </row>
    <row r="1452" spans="1:34" x14ac:dyDescent="0.3">
      <c r="A1452" s="14">
        <v>35</v>
      </c>
      <c r="B1452" s="17" t="s">
        <v>43</v>
      </c>
      <c r="C1452" t="s">
        <v>36</v>
      </c>
      <c r="D1452">
        <v>1146</v>
      </c>
      <c r="E1452" s="17" t="s">
        <v>61</v>
      </c>
      <c r="F1452">
        <v>26</v>
      </c>
      <c r="G1452">
        <v>4</v>
      </c>
      <c r="H1452" t="s">
        <v>38</v>
      </c>
      <c r="I1452">
        <v>2040</v>
      </c>
      <c r="J1452">
        <v>3</v>
      </c>
      <c r="K1452" s="17" t="s">
        <v>39</v>
      </c>
      <c r="L1452">
        <v>31</v>
      </c>
      <c r="M1452">
        <v>3</v>
      </c>
      <c r="N1452">
        <v>3</v>
      </c>
      <c r="O1452" s="17" t="s">
        <v>61</v>
      </c>
      <c r="P1452" s="14">
        <v>4</v>
      </c>
      <c r="Q1452" t="s">
        <v>41</v>
      </c>
      <c r="R1452" s="14">
        <v>8837</v>
      </c>
      <c r="S1452" s="17" t="str">
        <f t="shared" si="44"/>
        <v>high</v>
      </c>
      <c r="T1452">
        <v>16642</v>
      </c>
      <c r="U1452">
        <v>1</v>
      </c>
      <c r="V1452" s="17" t="s">
        <v>35</v>
      </c>
      <c r="W1452">
        <v>16</v>
      </c>
      <c r="X1452">
        <v>3</v>
      </c>
      <c r="Y1452">
        <v>3</v>
      </c>
      <c r="Z1452">
        <v>0</v>
      </c>
      <c r="AA1452">
        <v>9</v>
      </c>
      <c r="AB1452">
        <v>2</v>
      </c>
      <c r="AC1452">
        <v>3</v>
      </c>
      <c r="AD1452" s="14">
        <v>9</v>
      </c>
      <c r="AE1452" t="str">
        <f t="shared" si="45"/>
        <v>6-10 years</v>
      </c>
      <c r="AF1452" s="14">
        <v>0</v>
      </c>
      <c r="AG1452" s="14">
        <v>1</v>
      </c>
      <c r="AH1452" s="14">
        <v>7</v>
      </c>
    </row>
    <row r="1453" spans="1:34" x14ac:dyDescent="0.3">
      <c r="A1453" s="14">
        <v>38</v>
      </c>
      <c r="B1453" s="17" t="s">
        <v>43</v>
      </c>
      <c r="C1453" t="s">
        <v>36</v>
      </c>
      <c r="D1453">
        <v>345</v>
      </c>
      <c r="E1453" s="17" t="s">
        <v>37</v>
      </c>
      <c r="F1453">
        <v>10</v>
      </c>
      <c r="G1453">
        <v>2</v>
      </c>
      <c r="H1453" t="s">
        <v>38</v>
      </c>
      <c r="I1453">
        <v>2041</v>
      </c>
      <c r="J1453">
        <v>1</v>
      </c>
      <c r="K1453" s="17" t="s">
        <v>39</v>
      </c>
      <c r="L1453">
        <v>100</v>
      </c>
      <c r="M1453">
        <v>3</v>
      </c>
      <c r="N1453">
        <v>2</v>
      </c>
      <c r="O1453" s="17" t="s">
        <v>40</v>
      </c>
      <c r="P1453" s="14">
        <v>4</v>
      </c>
      <c r="Q1453" t="s">
        <v>48</v>
      </c>
      <c r="R1453" s="14">
        <v>5343</v>
      </c>
      <c r="S1453" s="17" t="str">
        <f t="shared" si="44"/>
        <v>medium</v>
      </c>
      <c r="T1453">
        <v>5982</v>
      </c>
      <c r="U1453">
        <v>1</v>
      </c>
      <c r="V1453" s="17" t="s">
        <v>43</v>
      </c>
      <c r="W1453">
        <v>11</v>
      </c>
      <c r="X1453">
        <v>3</v>
      </c>
      <c r="Y1453">
        <v>3</v>
      </c>
      <c r="Z1453">
        <v>1</v>
      </c>
      <c r="AA1453">
        <v>10</v>
      </c>
      <c r="AB1453">
        <v>1</v>
      </c>
      <c r="AC1453">
        <v>3</v>
      </c>
      <c r="AD1453" s="14">
        <v>10</v>
      </c>
      <c r="AE1453" t="str">
        <f t="shared" si="45"/>
        <v>6-10 years</v>
      </c>
      <c r="AF1453" s="14">
        <v>7</v>
      </c>
      <c r="AG1453" s="14">
        <v>1</v>
      </c>
      <c r="AH1453" s="14">
        <v>9</v>
      </c>
    </row>
    <row r="1454" spans="1:34" x14ac:dyDescent="0.3">
      <c r="A1454" s="14">
        <v>50</v>
      </c>
      <c r="B1454" s="17" t="s">
        <v>35</v>
      </c>
      <c r="C1454" t="s">
        <v>44</v>
      </c>
      <c r="D1454">
        <v>878</v>
      </c>
      <c r="E1454" s="17" t="s">
        <v>37</v>
      </c>
      <c r="F1454">
        <v>1</v>
      </c>
      <c r="G1454">
        <v>4</v>
      </c>
      <c r="H1454" t="s">
        <v>38</v>
      </c>
      <c r="I1454">
        <v>2044</v>
      </c>
      <c r="J1454">
        <v>2</v>
      </c>
      <c r="K1454" s="17" t="s">
        <v>46</v>
      </c>
      <c r="L1454">
        <v>94</v>
      </c>
      <c r="M1454">
        <v>3</v>
      </c>
      <c r="N1454">
        <v>2</v>
      </c>
      <c r="O1454" s="17" t="s">
        <v>40</v>
      </c>
      <c r="P1454" s="14">
        <v>3</v>
      </c>
      <c r="Q1454" t="s">
        <v>52</v>
      </c>
      <c r="R1454" s="14">
        <v>6728</v>
      </c>
      <c r="S1454" s="17" t="str">
        <f t="shared" si="44"/>
        <v>medium</v>
      </c>
      <c r="T1454">
        <v>14255</v>
      </c>
      <c r="U1454">
        <v>7</v>
      </c>
      <c r="V1454" s="17" t="s">
        <v>43</v>
      </c>
      <c r="W1454">
        <v>12</v>
      </c>
      <c r="X1454">
        <v>3</v>
      </c>
      <c r="Y1454">
        <v>4</v>
      </c>
      <c r="Z1454">
        <v>2</v>
      </c>
      <c r="AA1454">
        <v>12</v>
      </c>
      <c r="AB1454">
        <v>3</v>
      </c>
      <c r="AC1454">
        <v>3</v>
      </c>
      <c r="AD1454" s="14">
        <v>6</v>
      </c>
      <c r="AE1454" t="str">
        <f t="shared" si="45"/>
        <v>6-10 years</v>
      </c>
      <c r="AF1454" s="14">
        <v>3</v>
      </c>
      <c r="AG1454" s="14">
        <v>0</v>
      </c>
      <c r="AH1454" s="14">
        <v>1</v>
      </c>
    </row>
    <row r="1455" spans="1:34" x14ac:dyDescent="0.3">
      <c r="A1455" s="14">
        <v>36</v>
      </c>
      <c r="B1455" s="17" t="s">
        <v>43</v>
      </c>
      <c r="C1455" t="s">
        <v>36</v>
      </c>
      <c r="D1455">
        <v>1120</v>
      </c>
      <c r="E1455" s="17" t="s">
        <v>37</v>
      </c>
      <c r="F1455">
        <v>11</v>
      </c>
      <c r="G1455">
        <v>4</v>
      </c>
      <c r="H1455" t="s">
        <v>59</v>
      </c>
      <c r="I1455">
        <v>2045</v>
      </c>
      <c r="J1455">
        <v>2</v>
      </c>
      <c r="K1455" s="17" t="s">
        <v>39</v>
      </c>
      <c r="L1455">
        <v>100</v>
      </c>
      <c r="M1455">
        <v>2</v>
      </c>
      <c r="N1455">
        <v>2</v>
      </c>
      <c r="O1455" s="17" t="s">
        <v>40</v>
      </c>
      <c r="P1455" s="14">
        <v>4</v>
      </c>
      <c r="Q1455" t="s">
        <v>48</v>
      </c>
      <c r="R1455" s="14">
        <v>6652</v>
      </c>
      <c r="S1455" s="17" t="str">
        <f t="shared" si="44"/>
        <v>medium</v>
      </c>
      <c r="T1455">
        <v>14369</v>
      </c>
      <c r="U1455">
        <v>4</v>
      </c>
      <c r="V1455" s="17" t="s">
        <v>43</v>
      </c>
      <c r="W1455">
        <v>13</v>
      </c>
      <c r="X1455">
        <v>3</v>
      </c>
      <c r="Y1455">
        <v>1</v>
      </c>
      <c r="Z1455">
        <v>1</v>
      </c>
      <c r="AA1455">
        <v>8</v>
      </c>
      <c r="AB1455">
        <v>2</v>
      </c>
      <c r="AC1455">
        <v>2</v>
      </c>
      <c r="AD1455" s="14">
        <v>6</v>
      </c>
      <c r="AE1455" t="str">
        <f t="shared" si="45"/>
        <v>6-10 years</v>
      </c>
      <c r="AF1455" s="14">
        <v>3</v>
      </c>
      <c r="AG1455" s="14">
        <v>0</v>
      </c>
      <c r="AH1455" s="14">
        <v>0</v>
      </c>
    </row>
    <row r="1456" spans="1:34" x14ac:dyDescent="0.3">
      <c r="A1456" s="14">
        <v>45</v>
      </c>
      <c r="B1456" s="17" t="s">
        <v>43</v>
      </c>
      <c r="C1456" t="s">
        <v>36</v>
      </c>
      <c r="D1456">
        <v>374</v>
      </c>
      <c r="E1456" s="17" t="s">
        <v>37</v>
      </c>
      <c r="F1456">
        <v>20</v>
      </c>
      <c r="G1456">
        <v>3</v>
      </c>
      <c r="H1456" t="s">
        <v>38</v>
      </c>
      <c r="I1456">
        <v>2046</v>
      </c>
      <c r="J1456">
        <v>4</v>
      </c>
      <c r="K1456" s="17" t="s">
        <v>39</v>
      </c>
      <c r="L1456">
        <v>50</v>
      </c>
      <c r="M1456">
        <v>3</v>
      </c>
      <c r="N1456">
        <v>2</v>
      </c>
      <c r="O1456" s="17" t="s">
        <v>40</v>
      </c>
      <c r="P1456" s="14">
        <v>3</v>
      </c>
      <c r="Q1456" t="s">
        <v>41</v>
      </c>
      <c r="R1456" s="14">
        <v>4850</v>
      </c>
      <c r="S1456" s="17" t="str">
        <f t="shared" si="44"/>
        <v>medium</v>
      </c>
      <c r="T1456">
        <v>23333</v>
      </c>
      <c r="U1456">
        <v>8</v>
      </c>
      <c r="V1456" s="17" t="s">
        <v>43</v>
      </c>
      <c r="W1456">
        <v>15</v>
      </c>
      <c r="X1456">
        <v>3</v>
      </c>
      <c r="Y1456">
        <v>3</v>
      </c>
      <c r="Z1456">
        <v>0</v>
      </c>
      <c r="AA1456">
        <v>8</v>
      </c>
      <c r="AB1456">
        <v>3</v>
      </c>
      <c r="AC1456">
        <v>3</v>
      </c>
      <c r="AD1456" s="14">
        <v>5</v>
      </c>
      <c r="AE1456" t="str">
        <f t="shared" si="45"/>
        <v>3-5 years</v>
      </c>
      <c r="AF1456" s="14">
        <v>3</v>
      </c>
      <c r="AG1456" s="14">
        <v>0</v>
      </c>
      <c r="AH1456" s="14">
        <v>1</v>
      </c>
    </row>
    <row r="1457" spans="1:34" x14ac:dyDescent="0.3">
      <c r="A1457" s="14">
        <v>40</v>
      </c>
      <c r="B1457" s="17" t="s">
        <v>43</v>
      </c>
      <c r="C1457" t="s">
        <v>36</v>
      </c>
      <c r="D1457">
        <v>1322</v>
      </c>
      <c r="E1457" s="17" t="s">
        <v>45</v>
      </c>
      <c r="F1457">
        <v>2</v>
      </c>
      <c r="G1457">
        <v>4</v>
      </c>
      <c r="H1457" t="s">
        <v>38</v>
      </c>
      <c r="I1457">
        <v>2048</v>
      </c>
      <c r="J1457">
        <v>3</v>
      </c>
      <c r="K1457" s="17" t="s">
        <v>46</v>
      </c>
      <c r="L1457">
        <v>52</v>
      </c>
      <c r="M1457">
        <v>2</v>
      </c>
      <c r="N1457">
        <v>1</v>
      </c>
      <c r="O1457" s="17" t="s">
        <v>47</v>
      </c>
      <c r="P1457" s="14">
        <v>3</v>
      </c>
      <c r="Q1457" t="s">
        <v>41</v>
      </c>
      <c r="R1457" s="14">
        <v>2809</v>
      </c>
      <c r="S1457" s="17" t="str">
        <f t="shared" si="44"/>
        <v>low</v>
      </c>
      <c r="T1457">
        <v>2725</v>
      </c>
      <c r="U1457">
        <v>2</v>
      </c>
      <c r="V1457" s="17" t="s">
        <v>43</v>
      </c>
      <c r="W1457">
        <v>14</v>
      </c>
      <c r="X1457">
        <v>3</v>
      </c>
      <c r="Y1457">
        <v>4</v>
      </c>
      <c r="Z1457">
        <v>0</v>
      </c>
      <c r="AA1457">
        <v>8</v>
      </c>
      <c r="AB1457">
        <v>2</v>
      </c>
      <c r="AC1457">
        <v>3</v>
      </c>
      <c r="AD1457" s="14">
        <v>2</v>
      </c>
      <c r="AE1457" t="str">
        <f t="shared" si="45"/>
        <v>0-2 years</v>
      </c>
      <c r="AF1457" s="14">
        <v>2</v>
      </c>
      <c r="AG1457" s="14">
        <v>2</v>
      </c>
      <c r="AH1457" s="14">
        <v>2</v>
      </c>
    </row>
    <row r="1458" spans="1:34" x14ac:dyDescent="0.3">
      <c r="A1458" s="14">
        <v>35</v>
      </c>
      <c r="B1458" s="17" t="s">
        <v>43</v>
      </c>
      <c r="C1458" t="s">
        <v>44</v>
      </c>
      <c r="D1458">
        <v>1199</v>
      </c>
      <c r="E1458" s="17" t="s">
        <v>45</v>
      </c>
      <c r="F1458">
        <v>18</v>
      </c>
      <c r="G1458">
        <v>4</v>
      </c>
      <c r="H1458" t="s">
        <v>38</v>
      </c>
      <c r="I1458">
        <v>2049</v>
      </c>
      <c r="J1458">
        <v>3</v>
      </c>
      <c r="K1458" s="17" t="s">
        <v>46</v>
      </c>
      <c r="L1458">
        <v>80</v>
      </c>
      <c r="M1458">
        <v>3</v>
      </c>
      <c r="N1458">
        <v>2</v>
      </c>
      <c r="O1458" s="17" t="s">
        <v>54</v>
      </c>
      <c r="P1458" s="14">
        <v>3</v>
      </c>
      <c r="Q1458" t="s">
        <v>48</v>
      </c>
      <c r="R1458" s="14">
        <v>5689</v>
      </c>
      <c r="S1458" s="17" t="str">
        <f t="shared" si="44"/>
        <v>medium</v>
      </c>
      <c r="T1458">
        <v>24594</v>
      </c>
      <c r="U1458">
        <v>1</v>
      </c>
      <c r="V1458" s="17" t="s">
        <v>35</v>
      </c>
      <c r="W1458">
        <v>14</v>
      </c>
      <c r="X1458">
        <v>3</v>
      </c>
      <c r="Y1458">
        <v>4</v>
      </c>
      <c r="Z1458">
        <v>2</v>
      </c>
      <c r="AA1458">
        <v>10</v>
      </c>
      <c r="AB1458">
        <v>2</v>
      </c>
      <c r="AC1458">
        <v>4</v>
      </c>
      <c r="AD1458" s="14">
        <v>10</v>
      </c>
      <c r="AE1458" t="str">
        <f t="shared" si="45"/>
        <v>6-10 years</v>
      </c>
      <c r="AF1458" s="14">
        <v>2</v>
      </c>
      <c r="AG1458" s="14">
        <v>0</v>
      </c>
      <c r="AH1458" s="14">
        <v>2</v>
      </c>
    </row>
    <row r="1459" spans="1:34" x14ac:dyDescent="0.3">
      <c r="A1459" s="14">
        <v>40</v>
      </c>
      <c r="B1459" s="17" t="s">
        <v>43</v>
      </c>
      <c r="C1459" t="s">
        <v>36</v>
      </c>
      <c r="D1459">
        <v>1194</v>
      </c>
      <c r="E1459" s="17" t="s">
        <v>45</v>
      </c>
      <c r="F1459">
        <v>2</v>
      </c>
      <c r="G1459">
        <v>4</v>
      </c>
      <c r="H1459" t="s">
        <v>51</v>
      </c>
      <c r="I1459">
        <v>2051</v>
      </c>
      <c r="J1459">
        <v>3</v>
      </c>
      <c r="K1459" s="17" t="s">
        <v>39</v>
      </c>
      <c r="L1459">
        <v>98</v>
      </c>
      <c r="M1459">
        <v>3</v>
      </c>
      <c r="N1459">
        <v>1</v>
      </c>
      <c r="O1459" s="17" t="s">
        <v>47</v>
      </c>
      <c r="P1459" s="14">
        <v>3</v>
      </c>
      <c r="Q1459" t="s">
        <v>48</v>
      </c>
      <c r="R1459" s="14">
        <v>2001</v>
      </c>
      <c r="S1459" s="17" t="str">
        <f t="shared" si="44"/>
        <v>low</v>
      </c>
      <c r="T1459">
        <v>12549</v>
      </c>
      <c r="U1459">
        <v>2</v>
      </c>
      <c r="V1459" s="17" t="s">
        <v>43</v>
      </c>
      <c r="W1459">
        <v>14</v>
      </c>
      <c r="X1459">
        <v>3</v>
      </c>
      <c r="Y1459">
        <v>2</v>
      </c>
      <c r="Z1459">
        <v>3</v>
      </c>
      <c r="AA1459">
        <v>20</v>
      </c>
      <c r="AB1459">
        <v>2</v>
      </c>
      <c r="AC1459">
        <v>3</v>
      </c>
      <c r="AD1459" s="14">
        <v>5</v>
      </c>
      <c r="AE1459" t="str">
        <f t="shared" si="45"/>
        <v>3-5 years</v>
      </c>
      <c r="AF1459" s="14">
        <v>3</v>
      </c>
      <c r="AG1459" s="14">
        <v>0</v>
      </c>
      <c r="AH1459" s="14">
        <v>2</v>
      </c>
    </row>
    <row r="1460" spans="1:34" x14ac:dyDescent="0.3">
      <c r="A1460" s="14">
        <v>35</v>
      </c>
      <c r="B1460" s="17" t="s">
        <v>43</v>
      </c>
      <c r="C1460" t="s">
        <v>36</v>
      </c>
      <c r="D1460">
        <v>287</v>
      </c>
      <c r="E1460" s="17" t="s">
        <v>45</v>
      </c>
      <c r="F1460">
        <v>1</v>
      </c>
      <c r="G1460">
        <v>4</v>
      </c>
      <c r="H1460" t="s">
        <v>38</v>
      </c>
      <c r="I1460">
        <v>2052</v>
      </c>
      <c r="J1460">
        <v>3</v>
      </c>
      <c r="K1460" s="17" t="s">
        <v>39</v>
      </c>
      <c r="L1460">
        <v>62</v>
      </c>
      <c r="M1460">
        <v>1</v>
      </c>
      <c r="N1460">
        <v>1</v>
      </c>
      <c r="O1460" s="17" t="s">
        <v>47</v>
      </c>
      <c r="P1460" s="14">
        <v>4</v>
      </c>
      <c r="Q1460" t="s">
        <v>48</v>
      </c>
      <c r="R1460" s="14">
        <v>2977</v>
      </c>
      <c r="S1460" s="17" t="str">
        <f t="shared" si="44"/>
        <v>low</v>
      </c>
      <c r="T1460">
        <v>8952</v>
      </c>
      <c r="U1460">
        <v>1</v>
      </c>
      <c r="V1460" s="17" t="s">
        <v>43</v>
      </c>
      <c r="W1460">
        <v>12</v>
      </c>
      <c r="X1460">
        <v>3</v>
      </c>
      <c r="Y1460">
        <v>4</v>
      </c>
      <c r="Z1460">
        <v>1</v>
      </c>
      <c r="AA1460">
        <v>4</v>
      </c>
      <c r="AB1460">
        <v>5</v>
      </c>
      <c r="AC1460">
        <v>3</v>
      </c>
      <c r="AD1460" s="14">
        <v>4</v>
      </c>
      <c r="AE1460" t="str">
        <f t="shared" si="45"/>
        <v>3-5 years</v>
      </c>
      <c r="AF1460" s="14">
        <v>3</v>
      </c>
      <c r="AG1460" s="14">
        <v>1</v>
      </c>
      <c r="AH1460" s="14">
        <v>1</v>
      </c>
    </row>
    <row r="1461" spans="1:34" x14ac:dyDescent="0.3">
      <c r="A1461" s="14">
        <v>29</v>
      </c>
      <c r="B1461" s="17" t="s">
        <v>43</v>
      </c>
      <c r="C1461" t="s">
        <v>36</v>
      </c>
      <c r="D1461">
        <v>1378</v>
      </c>
      <c r="E1461" s="17" t="s">
        <v>45</v>
      </c>
      <c r="F1461">
        <v>13</v>
      </c>
      <c r="G1461">
        <v>2</v>
      </c>
      <c r="H1461" t="s">
        <v>49</v>
      </c>
      <c r="I1461">
        <v>2053</v>
      </c>
      <c r="J1461">
        <v>4</v>
      </c>
      <c r="K1461" s="17" t="s">
        <v>46</v>
      </c>
      <c r="L1461">
        <v>46</v>
      </c>
      <c r="M1461">
        <v>2</v>
      </c>
      <c r="N1461">
        <v>2</v>
      </c>
      <c r="O1461" s="17" t="s">
        <v>50</v>
      </c>
      <c r="P1461" s="14">
        <v>2</v>
      </c>
      <c r="Q1461" t="s">
        <v>48</v>
      </c>
      <c r="R1461" s="14">
        <v>4025</v>
      </c>
      <c r="S1461" s="17" t="str">
        <f t="shared" si="44"/>
        <v>medium</v>
      </c>
      <c r="T1461">
        <v>23679</v>
      </c>
      <c r="U1461">
        <v>4</v>
      </c>
      <c r="V1461" s="17" t="s">
        <v>35</v>
      </c>
      <c r="W1461">
        <v>13</v>
      </c>
      <c r="X1461">
        <v>3</v>
      </c>
      <c r="Y1461">
        <v>1</v>
      </c>
      <c r="Z1461">
        <v>1</v>
      </c>
      <c r="AA1461">
        <v>10</v>
      </c>
      <c r="AB1461">
        <v>2</v>
      </c>
      <c r="AC1461">
        <v>3</v>
      </c>
      <c r="AD1461" s="14">
        <v>4</v>
      </c>
      <c r="AE1461" t="str">
        <f t="shared" si="45"/>
        <v>3-5 years</v>
      </c>
      <c r="AF1461" s="14">
        <v>3</v>
      </c>
      <c r="AG1461" s="14">
        <v>0</v>
      </c>
      <c r="AH1461" s="14">
        <v>3</v>
      </c>
    </row>
    <row r="1462" spans="1:34" x14ac:dyDescent="0.3">
      <c r="A1462" s="14">
        <v>29</v>
      </c>
      <c r="B1462" s="17" t="s">
        <v>43</v>
      </c>
      <c r="C1462" t="s">
        <v>36</v>
      </c>
      <c r="D1462">
        <v>468</v>
      </c>
      <c r="E1462" s="17" t="s">
        <v>45</v>
      </c>
      <c r="F1462">
        <v>28</v>
      </c>
      <c r="G1462">
        <v>4</v>
      </c>
      <c r="H1462" t="s">
        <v>51</v>
      </c>
      <c r="I1462">
        <v>2054</v>
      </c>
      <c r="J1462">
        <v>4</v>
      </c>
      <c r="K1462" s="17" t="s">
        <v>39</v>
      </c>
      <c r="L1462">
        <v>73</v>
      </c>
      <c r="M1462">
        <v>2</v>
      </c>
      <c r="N1462">
        <v>1</v>
      </c>
      <c r="O1462" s="17" t="s">
        <v>47</v>
      </c>
      <c r="P1462" s="14">
        <v>1</v>
      </c>
      <c r="Q1462" t="s">
        <v>41</v>
      </c>
      <c r="R1462" s="14">
        <v>3785</v>
      </c>
      <c r="S1462" s="17" t="str">
        <f t="shared" si="44"/>
        <v>medium</v>
      </c>
      <c r="T1462">
        <v>8489</v>
      </c>
      <c r="U1462">
        <v>1</v>
      </c>
      <c r="V1462" s="17" t="s">
        <v>43</v>
      </c>
      <c r="W1462">
        <v>14</v>
      </c>
      <c r="X1462">
        <v>3</v>
      </c>
      <c r="Y1462">
        <v>2</v>
      </c>
      <c r="Z1462">
        <v>0</v>
      </c>
      <c r="AA1462">
        <v>5</v>
      </c>
      <c r="AB1462">
        <v>3</v>
      </c>
      <c r="AC1462">
        <v>1</v>
      </c>
      <c r="AD1462" s="14">
        <v>5</v>
      </c>
      <c r="AE1462" t="str">
        <f t="shared" si="45"/>
        <v>3-5 years</v>
      </c>
      <c r="AF1462" s="14">
        <v>4</v>
      </c>
      <c r="AG1462" s="14">
        <v>0</v>
      </c>
      <c r="AH1462" s="14">
        <v>4</v>
      </c>
    </row>
    <row r="1463" spans="1:34" x14ac:dyDescent="0.3">
      <c r="A1463" s="14">
        <v>50</v>
      </c>
      <c r="B1463" s="17" t="s">
        <v>35</v>
      </c>
      <c r="C1463" t="s">
        <v>36</v>
      </c>
      <c r="D1463">
        <v>410</v>
      </c>
      <c r="E1463" s="17" t="s">
        <v>37</v>
      </c>
      <c r="F1463">
        <v>28</v>
      </c>
      <c r="G1463">
        <v>3</v>
      </c>
      <c r="H1463" t="s">
        <v>59</v>
      </c>
      <c r="I1463">
        <v>2055</v>
      </c>
      <c r="J1463">
        <v>4</v>
      </c>
      <c r="K1463" s="17" t="s">
        <v>46</v>
      </c>
      <c r="L1463">
        <v>39</v>
      </c>
      <c r="M1463">
        <v>2</v>
      </c>
      <c r="N1463">
        <v>3</v>
      </c>
      <c r="O1463" s="17" t="s">
        <v>40</v>
      </c>
      <c r="P1463" s="14">
        <v>1</v>
      </c>
      <c r="Q1463" t="s">
        <v>52</v>
      </c>
      <c r="R1463" s="14">
        <v>10854</v>
      </c>
      <c r="S1463" s="17" t="str">
        <f t="shared" si="44"/>
        <v>high</v>
      </c>
      <c r="T1463">
        <v>16586</v>
      </c>
      <c r="U1463">
        <v>4</v>
      </c>
      <c r="V1463" s="17" t="s">
        <v>35</v>
      </c>
      <c r="W1463">
        <v>13</v>
      </c>
      <c r="X1463">
        <v>3</v>
      </c>
      <c r="Y1463">
        <v>2</v>
      </c>
      <c r="Z1463">
        <v>1</v>
      </c>
      <c r="AA1463">
        <v>20</v>
      </c>
      <c r="AB1463">
        <v>3</v>
      </c>
      <c r="AC1463">
        <v>3</v>
      </c>
      <c r="AD1463" s="14">
        <v>3</v>
      </c>
      <c r="AE1463" t="str">
        <f t="shared" si="45"/>
        <v>3-5 years</v>
      </c>
      <c r="AF1463" s="14">
        <v>2</v>
      </c>
      <c r="AG1463" s="14">
        <v>2</v>
      </c>
      <c r="AH1463" s="14">
        <v>0</v>
      </c>
    </row>
    <row r="1464" spans="1:34" x14ac:dyDescent="0.3">
      <c r="A1464" s="14">
        <v>39</v>
      </c>
      <c r="B1464" s="17" t="s">
        <v>43</v>
      </c>
      <c r="C1464" t="s">
        <v>36</v>
      </c>
      <c r="D1464">
        <v>722</v>
      </c>
      <c r="E1464" s="17" t="s">
        <v>37</v>
      </c>
      <c r="F1464">
        <v>24</v>
      </c>
      <c r="G1464">
        <v>1</v>
      </c>
      <c r="H1464" t="s">
        <v>59</v>
      </c>
      <c r="I1464">
        <v>2056</v>
      </c>
      <c r="J1464">
        <v>2</v>
      </c>
      <c r="K1464" s="17" t="s">
        <v>39</v>
      </c>
      <c r="L1464">
        <v>60</v>
      </c>
      <c r="M1464">
        <v>2</v>
      </c>
      <c r="N1464">
        <v>4</v>
      </c>
      <c r="O1464" s="17" t="s">
        <v>40</v>
      </c>
      <c r="P1464" s="14">
        <v>4</v>
      </c>
      <c r="Q1464" t="s">
        <v>48</v>
      </c>
      <c r="R1464" s="14">
        <v>12031</v>
      </c>
      <c r="S1464" s="17" t="str">
        <f t="shared" si="44"/>
        <v>high</v>
      </c>
      <c r="T1464">
        <v>8828</v>
      </c>
      <c r="U1464">
        <v>0</v>
      </c>
      <c r="V1464" s="17" t="s">
        <v>43</v>
      </c>
      <c r="W1464">
        <v>11</v>
      </c>
      <c r="X1464">
        <v>3</v>
      </c>
      <c r="Y1464">
        <v>1</v>
      </c>
      <c r="Z1464">
        <v>1</v>
      </c>
      <c r="AA1464">
        <v>21</v>
      </c>
      <c r="AB1464">
        <v>2</v>
      </c>
      <c r="AC1464">
        <v>2</v>
      </c>
      <c r="AD1464" s="14">
        <v>20</v>
      </c>
      <c r="AE1464" t="str">
        <f t="shared" si="45"/>
        <v>10+ years</v>
      </c>
      <c r="AF1464" s="14">
        <v>9</v>
      </c>
      <c r="AG1464" s="14">
        <v>9</v>
      </c>
      <c r="AH1464" s="14">
        <v>6</v>
      </c>
    </row>
    <row r="1465" spans="1:34" x14ac:dyDescent="0.3">
      <c r="A1465" s="14">
        <v>31</v>
      </c>
      <c r="B1465" s="17" t="s">
        <v>43</v>
      </c>
      <c r="C1465" t="s">
        <v>55</v>
      </c>
      <c r="D1465">
        <v>325</v>
      </c>
      <c r="E1465" s="17" t="s">
        <v>45</v>
      </c>
      <c r="F1465">
        <v>5</v>
      </c>
      <c r="G1465">
        <v>3</v>
      </c>
      <c r="H1465" t="s">
        <v>51</v>
      </c>
      <c r="I1465">
        <v>2057</v>
      </c>
      <c r="J1465">
        <v>2</v>
      </c>
      <c r="K1465" s="17" t="s">
        <v>46</v>
      </c>
      <c r="L1465">
        <v>74</v>
      </c>
      <c r="M1465">
        <v>3</v>
      </c>
      <c r="N1465">
        <v>2</v>
      </c>
      <c r="O1465" s="17" t="s">
        <v>53</v>
      </c>
      <c r="P1465" s="14">
        <v>1</v>
      </c>
      <c r="Q1465" t="s">
        <v>41</v>
      </c>
      <c r="R1465" s="14">
        <v>9936</v>
      </c>
      <c r="S1465" s="17" t="str">
        <f t="shared" si="44"/>
        <v>high</v>
      </c>
      <c r="T1465">
        <v>3787</v>
      </c>
      <c r="U1465">
        <v>0</v>
      </c>
      <c r="V1465" s="17" t="s">
        <v>43</v>
      </c>
      <c r="W1465">
        <v>19</v>
      </c>
      <c r="X1465">
        <v>3</v>
      </c>
      <c r="Y1465">
        <v>2</v>
      </c>
      <c r="Z1465">
        <v>0</v>
      </c>
      <c r="AA1465">
        <v>10</v>
      </c>
      <c r="AB1465">
        <v>2</v>
      </c>
      <c r="AC1465">
        <v>3</v>
      </c>
      <c r="AD1465" s="14">
        <v>9</v>
      </c>
      <c r="AE1465" t="str">
        <f t="shared" si="45"/>
        <v>6-10 years</v>
      </c>
      <c r="AF1465" s="14">
        <v>4</v>
      </c>
      <c r="AG1465" s="14">
        <v>1</v>
      </c>
      <c r="AH1465" s="14">
        <v>7</v>
      </c>
    </row>
    <row r="1466" spans="1:34" x14ac:dyDescent="0.3">
      <c r="A1466" s="14">
        <v>26</v>
      </c>
      <c r="B1466" s="17" t="s">
        <v>43</v>
      </c>
      <c r="C1466" t="s">
        <v>36</v>
      </c>
      <c r="D1466">
        <v>1167</v>
      </c>
      <c r="E1466" s="17" t="s">
        <v>37</v>
      </c>
      <c r="F1466">
        <v>5</v>
      </c>
      <c r="G1466">
        <v>3</v>
      </c>
      <c r="H1466" t="s">
        <v>49</v>
      </c>
      <c r="I1466">
        <v>2060</v>
      </c>
      <c r="J1466">
        <v>4</v>
      </c>
      <c r="K1466" s="17" t="s">
        <v>39</v>
      </c>
      <c r="L1466">
        <v>30</v>
      </c>
      <c r="M1466">
        <v>2</v>
      </c>
      <c r="N1466">
        <v>1</v>
      </c>
      <c r="O1466" s="17" t="s">
        <v>57</v>
      </c>
      <c r="P1466" s="14">
        <v>3</v>
      </c>
      <c r="Q1466" t="s">
        <v>41</v>
      </c>
      <c r="R1466" s="14">
        <v>2966</v>
      </c>
      <c r="S1466" s="17" t="str">
        <f t="shared" si="44"/>
        <v>low</v>
      </c>
      <c r="T1466">
        <v>21378</v>
      </c>
      <c r="U1466">
        <v>0</v>
      </c>
      <c r="V1466" s="17" t="s">
        <v>43</v>
      </c>
      <c r="W1466">
        <v>18</v>
      </c>
      <c r="X1466">
        <v>3</v>
      </c>
      <c r="Y1466">
        <v>4</v>
      </c>
      <c r="Z1466">
        <v>0</v>
      </c>
      <c r="AA1466">
        <v>5</v>
      </c>
      <c r="AB1466">
        <v>2</v>
      </c>
      <c r="AC1466">
        <v>3</v>
      </c>
      <c r="AD1466" s="14">
        <v>4</v>
      </c>
      <c r="AE1466" t="str">
        <f t="shared" si="45"/>
        <v>3-5 years</v>
      </c>
      <c r="AF1466" s="14">
        <v>2</v>
      </c>
      <c r="AG1466" s="14">
        <v>0</v>
      </c>
      <c r="AH1466" s="14">
        <v>0</v>
      </c>
    </row>
    <row r="1467" spans="1:34" x14ac:dyDescent="0.3">
      <c r="A1467" s="14">
        <v>36</v>
      </c>
      <c r="B1467" s="17" t="s">
        <v>43</v>
      </c>
      <c r="C1467" t="s">
        <v>44</v>
      </c>
      <c r="D1467">
        <v>884</v>
      </c>
      <c r="E1467" s="17" t="s">
        <v>45</v>
      </c>
      <c r="F1467">
        <v>23</v>
      </c>
      <c r="G1467">
        <v>2</v>
      </c>
      <c r="H1467" t="s">
        <v>51</v>
      </c>
      <c r="I1467">
        <v>2061</v>
      </c>
      <c r="J1467">
        <v>3</v>
      </c>
      <c r="K1467" s="17" t="s">
        <v>46</v>
      </c>
      <c r="L1467">
        <v>41</v>
      </c>
      <c r="M1467">
        <v>4</v>
      </c>
      <c r="N1467">
        <v>2</v>
      </c>
      <c r="O1467" s="17" t="s">
        <v>50</v>
      </c>
      <c r="P1467" s="14">
        <v>4</v>
      </c>
      <c r="Q1467" t="s">
        <v>48</v>
      </c>
      <c r="R1467" s="14">
        <v>2571</v>
      </c>
      <c r="S1467" s="17" t="str">
        <f t="shared" si="44"/>
        <v>low</v>
      </c>
      <c r="T1467">
        <v>12290</v>
      </c>
      <c r="U1467">
        <v>4</v>
      </c>
      <c r="V1467" s="17" t="s">
        <v>43</v>
      </c>
      <c r="W1467">
        <v>17</v>
      </c>
      <c r="X1467">
        <v>3</v>
      </c>
      <c r="Y1467">
        <v>3</v>
      </c>
      <c r="Z1467">
        <v>1</v>
      </c>
      <c r="AA1467">
        <v>17</v>
      </c>
      <c r="AB1467">
        <v>3</v>
      </c>
      <c r="AC1467">
        <v>3</v>
      </c>
      <c r="AD1467" s="14">
        <v>5</v>
      </c>
      <c r="AE1467" t="str">
        <f t="shared" si="45"/>
        <v>3-5 years</v>
      </c>
      <c r="AF1467" s="14">
        <v>2</v>
      </c>
      <c r="AG1467" s="14">
        <v>0</v>
      </c>
      <c r="AH1467" s="14">
        <v>3</v>
      </c>
    </row>
    <row r="1468" spans="1:34" x14ac:dyDescent="0.3">
      <c r="A1468" s="14">
        <v>39</v>
      </c>
      <c r="B1468" s="17" t="s">
        <v>43</v>
      </c>
      <c r="C1468" t="s">
        <v>36</v>
      </c>
      <c r="D1468">
        <v>613</v>
      </c>
      <c r="E1468" s="17" t="s">
        <v>45</v>
      </c>
      <c r="F1468">
        <v>6</v>
      </c>
      <c r="G1468">
        <v>1</v>
      </c>
      <c r="H1468" t="s">
        <v>51</v>
      </c>
      <c r="I1468">
        <v>2062</v>
      </c>
      <c r="J1468">
        <v>4</v>
      </c>
      <c r="K1468" s="17" t="s">
        <v>46</v>
      </c>
      <c r="L1468">
        <v>42</v>
      </c>
      <c r="M1468">
        <v>2</v>
      </c>
      <c r="N1468">
        <v>3</v>
      </c>
      <c r="O1468" s="17" t="s">
        <v>54</v>
      </c>
      <c r="P1468" s="14">
        <v>1</v>
      </c>
      <c r="Q1468" t="s">
        <v>48</v>
      </c>
      <c r="R1468" s="14">
        <v>9991</v>
      </c>
      <c r="S1468" s="17" t="str">
        <f t="shared" si="44"/>
        <v>high</v>
      </c>
      <c r="T1468">
        <v>21457</v>
      </c>
      <c r="U1468">
        <v>4</v>
      </c>
      <c r="V1468" s="17" t="s">
        <v>43</v>
      </c>
      <c r="W1468">
        <v>15</v>
      </c>
      <c r="X1468">
        <v>3</v>
      </c>
      <c r="Y1468">
        <v>1</v>
      </c>
      <c r="Z1468">
        <v>1</v>
      </c>
      <c r="AA1468">
        <v>9</v>
      </c>
      <c r="AB1468">
        <v>5</v>
      </c>
      <c r="AC1468">
        <v>3</v>
      </c>
      <c r="AD1468" s="14">
        <v>7</v>
      </c>
      <c r="AE1468" t="str">
        <f t="shared" si="45"/>
        <v>6-10 years</v>
      </c>
      <c r="AF1468" s="14">
        <v>7</v>
      </c>
      <c r="AG1468" s="14">
        <v>1</v>
      </c>
      <c r="AH1468" s="14">
        <v>7</v>
      </c>
    </row>
    <row r="1469" spans="1:34" x14ac:dyDescent="0.3">
      <c r="A1469" s="14">
        <v>27</v>
      </c>
      <c r="B1469" s="17" t="s">
        <v>43</v>
      </c>
      <c r="C1469" t="s">
        <v>36</v>
      </c>
      <c r="D1469">
        <v>155</v>
      </c>
      <c r="E1469" s="17" t="s">
        <v>45</v>
      </c>
      <c r="F1469">
        <v>4</v>
      </c>
      <c r="G1469">
        <v>3</v>
      </c>
      <c r="H1469" t="s">
        <v>38</v>
      </c>
      <c r="I1469">
        <v>2064</v>
      </c>
      <c r="J1469">
        <v>2</v>
      </c>
      <c r="K1469" s="17" t="s">
        <v>46</v>
      </c>
      <c r="L1469">
        <v>87</v>
      </c>
      <c r="M1469">
        <v>4</v>
      </c>
      <c r="N1469">
        <v>2</v>
      </c>
      <c r="O1469" s="17" t="s">
        <v>53</v>
      </c>
      <c r="P1469" s="14">
        <v>2</v>
      </c>
      <c r="Q1469" t="s">
        <v>48</v>
      </c>
      <c r="R1469" s="14">
        <v>6142</v>
      </c>
      <c r="S1469" s="17" t="str">
        <f t="shared" si="44"/>
        <v>medium</v>
      </c>
      <c r="T1469">
        <v>5174</v>
      </c>
      <c r="U1469">
        <v>1</v>
      </c>
      <c r="V1469" s="17" t="s">
        <v>35</v>
      </c>
      <c r="W1469">
        <v>20</v>
      </c>
      <c r="X1469">
        <v>4</v>
      </c>
      <c r="Y1469">
        <v>2</v>
      </c>
      <c r="Z1469">
        <v>1</v>
      </c>
      <c r="AA1469">
        <v>6</v>
      </c>
      <c r="AB1469">
        <v>0</v>
      </c>
      <c r="AC1469">
        <v>3</v>
      </c>
      <c r="AD1469" s="14">
        <v>6</v>
      </c>
      <c r="AE1469" t="str">
        <f t="shared" si="45"/>
        <v>6-10 years</v>
      </c>
      <c r="AF1469" s="14">
        <v>2</v>
      </c>
      <c r="AG1469" s="14">
        <v>0</v>
      </c>
      <c r="AH1469" s="14">
        <v>3</v>
      </c>
    </row>
    <row r="1470" spans="1:34" x14ac:dyDescent="0.3">
      <c r="A1470" s="14">
        <v>49</v>
      </c>
      <c r="B1470" s="17" t="s">
        <v>43</v>
      </c>
      <c r="C1470" t="s">
        <v>44</v>
      </c>
      <c r="D1470">
        <v>1023</v>
      </c>
      <c r="E1470" s="17" t="s">
        <v>37</v>
      </c>
      <c r="F1470">
        <v>2</v>
      </c>
      <c r="G1470">
        <v>3</v>
      </c>
      <c r="H1470" t="s">
        <v>51</v>
      </c>
      <c r="I1470">
        <v>2065</v>
      </c>
      <c r="J1470">
        <v>4</v>
      </c>
      <c r="K1470" s="17" t="s">
        <v>46</v>
      </c>
      <c r="L1470">
        <v>63</v>
      </c>
      <c r="M1470">
        <v>2</v>
      </c>
      <c r="N1470">
        <v>2</v>
      </c>
      <c r="O1470" s="17" t="s">
        <v>40</v>
      </c>
      <c r="P1470" s="14">
        <v>2</v>
      </c>
      <c r="Q1470" t="s">
        <v>48</v>
      </c>
      <c r="R1470" s="14">
        <v>5390</v>
      </c>
      <c r="S1470" s="17" t="str">
        <f t="shared" si="44"/>
        <v>medium</v>
      </c>
      <c r="T1470">
        <v>13243</v>
      </c>
      <c r="U1470">
        <v>2</v>
      </c>
      <c r="V1470" s="17" t="s">
        <v>43</v>
      </c>
      <c r="W1470">
        <v>14</v>
      </c>
      <c r="X1470">
        <v>3</v>
      </c>
      <c r="Y1470">
        <v>4</v>
      </c>
      <c r="Z1470">
        <v>0</v>
      </c>
      <c r="AA1470">
        <v>17</v>
      </c>
      <c r="AB1470">
        <v>3</v>
      </c>
      <c r="AC1470">
        <v>2</v>
      </c>
      <c r="AD1470" s="14">
        <v>9</v>
      </c>
      <c r="AE1470" t="str">
        <f t="shared" si="45"/>
        <v>6-10 years</v>
      </c>
      <c r="AF1470" s="14">
        <v>6</v>
      </c>
      <c r="AG1470" s="14">
        <v>0</v>
      </c>
      <c r="AH1470" s="14">
        <v>8</v>
      </c>
    </row>
    <row r="1471" spans="1:34" x14ac:dyDescent="0.3">
      <c r="A1471" s="14">
        <v>34</v>
      </c>
      <c r="B1471" s="17" t="s">
        <v>43</v>
      </c>
      <c r="C1471" t="s">
        <v>36</v>
      </c>
      <c r="D1471">
        <v>628</v>
      </c>
      <c r="E1471" s="17" t="s">
        <v>45</v>
      </c>
      <c r="F1471">
        <v>8</v>
      </c>
      <c r="G1471">
        <v>3</v>
      </c>
      <c r="H1471" t="s">
        <v>51</v>
      </c>
      <c r="I1471">
        <v>2068</v>
      </c>
      <c r="J1471">
        <v>2</v>
      </c>
      <c r="K1471" s="17" t="s">
        <v>46</v>
      </c>
      <c r="L1471">
        <v>82</v>
      </c>
      <c r="M1471">
        <v>4</v>
      </c>
      <c r="N1471">
        <v>2</v>
      </c>
      <c r="O1471" s="17" t="s">
        <v>50</v>
      </c>
      <c r="P1471" s="14">
        <v>3</v>
      </c>
      <c r="Q1471" t="s">
        <v>48</v>
      </c>
      <c r="R1471" s="14">
        <v>4404</v>
      </c>
      <c r="S1471" s="17" t="str">
        <f t="shared" si="44"/>
        <v>medium</v>
      </c>
      <c r="T1471">
        <v>10228</v>
      </c>
      <c r="U1471">
        <v>2</v>
      </c>
      <c r="V1471" s="17" t="s">
        <v>43</v>
      </c>
      <c r="W1471">
        <v>12</v>
      </c>
      <c r="X1471">
        <v>3</v>
      </c>
      <c r="Y1471">
        <v>1</v>
      </c>
      <c r="Z1471">
        <v>0</v>
      </c>
      <c r="AA1471">
        <v>6</v>
      </c>
      <c r="AB1471">
        <v>3</v>
      </c>
      <c r="AC1471">
        <v>4</v>
      </c>
      <c r="AD1471" s="14">
        <v>4</v>
      </c>
      <c r="AE1471" t="str">
        <f t="shared" si="45"/>
        <v>3-5 years</v>
      </c>
      <c r="AF1471" s="14">
        <v>3</v>
      </c>
      <c r="AG1471" s="14">
        <v>1</v>
      </c>
      <c r="AH1471" s="14">
        <v>2</v>
      </c>
    </row>
  </sheetData>
  <conditionalFormatting sqref="I2:I1471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1B3F1-A23C-4060-97B4-7C043E7CB566}">
  <dimension ref="A1:E163"/>
  <sheetViews>
    <sheetView zoomScale="105" workbookViewId="0">
      <selection activeCell="B100" sqref="B100"/>
    </sheetView>
  </sheetViews>
  <sheetFormatPr defaultRowHeight="14.4" x14ac:dyDescent="0.3"/>
  <cols>
    <col min="1" max="1" width="21.77734375" customWidth="1"/>
    <col min="2" max="2" width="22.33203125" customWidth="1"/>
    <col min="3" max="3" width="22.5546875" customWidth="1"/>
    <col min="4" max="4" width="22.88671875" customWidth="1"/>
    <col min="5" max="5" width="12.5546875" style="25" customWidth="1"/>
    <col min="6" max="6" width="3.77734375" bestFit="1" customWidth="1"/>
    <col min="7" max="7" width="9.21875" bestFit="1" customWidth="1"/>
    <col min="8" max="8" width="6.5546875" bestFit="1" customWidth="1"/>
    <col min="9" max="9" width="3.77734375" bestFit="1" customWidth="1"/>
    <col min="10" max="10" width="9.21875" bestFit="1" customWidth="1"/>
    <col min="11" max="11" width="6.5546875" bestFit="1" customWidth="1"/>
    <col min="12" max="12" width="3.77734375" bestFit="1" customWidth="1"/>
    <col min="13" max="13" width="9.21875" bestFit="1" customWidth="1"/>
    <col min="14" max="14" width="10.77734375" bestFit="1" customWidth="1"/>
  </cols>
  <sheetData>
    <row r="1" spans="1:4" ht="18.600000000000001" thickBot="1" x14ac:dyDescent="0.4">
      <c r="A1" s="95" t="s">
        <v>106</v>
      </c>
      <c r="B1" s="96"/>
      <c r="C1" s="96"/>
      <c r="D1" s="97"/>
    </row>
    <row r="2" spans="1:4" ht="18" x14ac:dyDescent="0.35">
      <c r="A2" s="98" t="s">
        <v>107</v>
      </c>
      <c r="B2" s="99"/>
      <c r="C2" s="99"/>
      <c r="D2" s="100"/>
    </row>
    <row r="3" spans="1:4" x14ac:dyDescent="0.3">
      <c r="A3" s="53" t="s">
        <v>80</v>
      </c>
      <c r="B3" s="53" t="s">
        <v>81</v>
      </c>
      <c r="C3" s="53" t="s">
        <v>82</v>
      </c>
      <c r="D3" s="53" t="s">
        <v>83</v>
      </c>
    </row>
    <row r="4" spans="1:4" x14ac:dyDescent="0.3">
      <c r="A4" s="54">
        <f>COUNTA(Table3[EmployeeNumber])</f>
        <v>1470</v>
      </c>
      <c r="B4" s="54">
        <f>COUNTIF(Table3[Attrition],"Yes")</f>
        <v>237</v>
      </c>
      <c r="C4" s="54">
        <f>COUNTIF(Table3[Attrition],"No")</f>
        <v>1233</v>
      </c>
      <c r="D4" s="55">
        <f>B4/A4</f>
        <v>0.16122448979591836</v>
      </c>
    </row>
    <row r="5" spans="1:4" ht="15" thickBot="1" x14ac:dyDescent="0.35">
      <c r="A5" s="101"/>
      <c r="B5" s="101"/>
      <c r="C5" s="101"/>
      <c r="D5" s="101"/>
    </row>
    <row r="6" spans="1:4" x14ac:dyDescent="0.3">
      <c r="A6" s="110" t="s">
        <v>111</v>
      </c>
      <c r="B6" s="111"/>
      <c r="C6" s="110" t="s">
        <v>112</v>
      </c>
      <c r="D6" s="111"/>
    </row>
    <row r="7" spans="1:4" x14ac:dyDescent="0.3">
      <c r="A7" s="30" t="s">
        <v>88</v>
      </c>
      <c r="B7" s="31" t="s">
        <v>89</v>
      </c>
      <c r="C7" s="35" t="s">
        <v>109</v>
      </c>
      <c r="D7" s="36" t="s">
        <v>110</v>
      </c>
    </row>
    <row r="8" spans="1:4" x14ac:dyDescent="0.3">
      <c r="A8" s="30" t="s">
        <v>61</v>
      </c>
      <c r="B8" s="32">
        <f>GETPIVOTDATA("Attrition",$A$72,"Attrition","Yes","Department","Human Resources")/GETPIVOTDATA("Attrition",$A$72,"Department","Human Resources")</f>
        <v>0.19047619047619047</v>
      </c>
      <c r="C8" s="30" t="s">
        <v>95</v>
      </c>
      <c r="D8" s="32">
        <f>GETPIVOTDATA("EmployeeNumber",$A$137,"Attrition","Yes","IncomeBand ","high")/GETPIVOTDATA("EmployeeNumber",$A$137,"IncomeBand ","high")</f>
        <v>0.10804597701149425</v>
      </c>
    </row>
    <row r="9" spans="1:4" x14ac:dyDescent="0.3">
      <c r="A9" s="30" t="s">
        <v>45</v>
      </c>
      <c r="B9" s="32">
        <f>GETPIVOTDATA("Attrition",$A$72,"Attrition","Yes","Department","Research &amp; Development")/GETPIVOTDATA("Attrition",$A$72,"Department","Research &amp; Development")</f>
        <v>0.13839750260145681</v>
      </c>
      <c r="C9" s="30" t="s">
        <v>96</v>
      </c>
      <c r="D9" s="32">
        <f>GETPIVOTDATA("EmployeeNumber",$A$137,"Attrition","Yes","IncomeBand ","low")/GETPIVOTDATA("EmployeeNumber",$A$137,"IncomeBand ","low")</f>
        <v>0.28607594936708863</v>
      </c>
    </row>
    <row r="10" spans="1:4" ht="15" thickBot="1" x14ac:dyDescent="0.35">
      <c r="A10" s="33" t="s">
        <v>37</v>
      </c>
      <c r="B10" s="34">
        <f>GETPIVOTDATA("Attrition",$A$72,"Attrition","Yes","Department","Sales")/GETPIVOTDATA("Attrition",$A$72,"Department","Sales")</f>
        <v>0.20627802690582961</v>
      </c>
      <c r="C10" s="33" t="s">
        <v>97</v>
      </c>
      <c r="D10" s="34">
        <f>GETPIVOTDATA("EmployeeNumber",$A$137,"Attrition","Yes","IncomeBand ","medium")/GETPIVOTDATA("EmployeeNumber",$A$137,"IncomeBand ","medium")</f>
        <v>0.1203125</v>
      </c>
    </row>
    <row r="11" spans="1:4" x14ac:dyDescent="0.3">
      <c r="A11" s="20"/>
      <c r="B11" s="18"/>
      <c r="C11" s="20"/>
      <c r="D11" s="18"/>
    </row>
    <row r="12" spans="1:4" x14ac:dyDescent="0.3">
      <c r="A12" s="20"/>
      <c r="B12" s="18"/>
      <c r="C12" s="20"/>
      <c r="D12" s="18"/>
    </row>
    <row r="13" spans="1:4" x14ac:dyDescent="0.3">
      <c r="A13" s="20"/>
      <c r="B13" s="18"/>
      <c r="C13" s="20"/>
      <c r="D13" s="18"/>
    </row>
    <row r="14" spans="1:4" x14ac:dyDescent="0.3">
      <c r="A14" s="20"/>
      <c r="B14" s="18"/>
      <c r="C14" s="20"/>
      <c r="D14" s="18"/>
    </row>
    <row r="15" spans="1:4" x14ac:dyDescent="0.3">
      <c r="A15" s="20"/>
      <c r="B15" s="18"/>
      <c r="C15" s="20"/>
      <c r="D15" s="18"/>
    </row>
    <row r="16" spans="1:4" x14ac:dyDescent="0.3">
      <c r="A16" s="20"/>
      <c r="B16" s="18"/>
      <c r="C16" s="20"/>
      <c r="D16" s="18"/>
    </row>
    <row r="17" spans="1:4" ht="15" thickBot="1" x14ac:dyDescent="0.35">
      <c r="A17" s="101"/>
      <c r="B17" s="101"/>
      <c r="C17" s="101"/>
      <c r="D17" s="101"/>
    </row>
    <row r="18" spans="1:4" x14ac:dyDescent="0.3">
      <c r="A18" s="110" t="s">
        <v>113</v>
      </c>
      <c r="B18" s="111"/>
      <c r="C18" s="110" t="s">
        <v>114</v>
      </c>
      <c r="D18" s="111"/>
    </row>
    <row r="19" spans="1:4" x14ac:dyDescent="0.3">
      <c r="A19" s="35" t="s">
        <v>108</v>
      </c>
      <c r="B19" s="37" t="s">
        <v>89</v>
      </c>
      <c r="C19" s="40" t="s">
        <v>91</v>
      </c>
      <c r="D19" s="36" t="s">
        <v>89</v>
      </c>
    </row>
    <row r="20" spans="1:4" x14ac:dyDescent="0.3">
      <c r="A20" s="38" t="s">
        <v>101</v>
      </c>
      <c r="B20" s="32">
        <f>GETPIVOTDATA("EmployeeNumber",$A$151,"Attrition","Yes","TenureBand ","0-2 years")/GETPIVOTDATA("EmployeeNumber",$A$151,"TenureBand ","0-2 years")</f>
        <v>0.2982456140350877</v>
      </c>
      <c r="C20" s="41">
        <v>1</v>
      </c>
      <c r="D20" s="42">
        <f>GETPIVOTDATA("Attrition",$A$85,"Attrition","Yes","JobSatisfaction",1)/GETPIVOTDATA("Attrition",$A$85,"JobSatisfaction",1)</f>
        <v>0.22837370242214533</v>
      </c>
    </row>
    <row r="21" spans="1:4" x14ac:dyDescent="0.3">
      <c r="A21" s="38" t="s">
        <v>103</v>
      </c>
      <c r="B21" s="32">
        <f>GETPIVOTDATA("EmployeeNumber",$A$151,"Attrition","Yes","TenureBand ","3-5 years")/GETPIVOTDATA("EmployeeNumber",$A$151,"TenureBand ","3-5 years")</f>
        <v>0.13824884792626729</v>
      </c>
      <c r="C21" s="41">
        <v>2</v>
      </c>
      <c r="D21" s="42">
        <f>GETPIVOTDATA("Attrition",$A$85,"Attrition","Yes","JobSatisfaction",2)/GETPIVOTDATA("Attrition",$A$85,"JobSatisfaction",2)</f>
        <v>0.16428571428571428</v>
      </c>
    </row>
    <row r="22" spans="1:4" x14ac:dyDescent="0.3">
      <c r="A22" s="38" t="s">
        <v>104</v>
      </c>
      <c r="B22" s="32">
        <f>GETPIVOTDATA("EmployeeNumber",$A$151,"Attrition","Yes","TenureBand ","6-10 years")/GETPIVOTDATA("EmployeeNumber",$A$151,"TenureBand ","6-10 years")</f>
        <v>0.12276785714285714</v>
      </c>
      <c r="C22" s="41">
        <v>3</v>
      </c>
      <c r="D22" s="42">
        <f>GETPIVOTDATA("Attrition",$A$85,"Attrition","Yes","JobSatisfaction",3)/GETPIVOTDATA("Attrition",$A$85,"JobSatisfaction",3)</f>
        <v>0.16515837104072398</v>
      </c>
    </row>
    <row r="23" spans="1:4" ht="15" thickBot="1" x14ac:dyDescent="0.35">
      <c r="A23" s="39" t="s">
        <v>102</v>
      </c>
      <c r="B23" s="34">
        <f>GETPIVOTDATA("EmployeeNumber",$A$151,"Attrition","Yes","TenureBand ","10+ years")/GETPIVOTDATA("EmployeeNumber",$A$151,"TenureBand ","10+ years")</f>
        <v>8.1300813008130079E-2</v>
      </c>
      <c r="C23" s="43">
        <v>4</v>
      </c>
      <c r="D23" s="44">
        <f>GETPIVOTDATA("Attrition",$A$85,"Attrition","Yes","JobSatisfaction",4)/GETPIVOTDATA("Attrition",$A$85,"JobSatisfaction",4)</f>
        <v>0.11328976034858387</v>
      </c>
    </row>
    <row r="24" spans="1:4" x14ac:dyDescent="0.3">
      <c r="A24" s="20"/>
      <c r="B24" s="18"/>
      <c r="C24" s="20"/>
      <c r="D24" s="18"/>
    </row>
    <row r="25" spans="1:4" x14ac:dyDescent="0.3">
      <c r="A25" s="20"/>
      <c r="B25" s="18"/>
      <c r="C25" s="20"/>
      <c r="D25" s="18"/>
    </row>
    <row r="26" spans="1:4" x14ac:dyDescent="0.3">
      <c r="A26" s="20"/>
      <c r="B26" s="18"/>
      <c r="C26" s="20"/>
      <c r="D26" s="18"/>
    </row>
    <row r="27" spans="1:4" x14ac:dyDescent="0.3">
      <c r="A27" s="20"/>
      <c r="B27" s="18"/>
      <c r="C27" s="20"/>
      <c r="D27" s="18"/>
    </row>
    <row r="28" spans="1:4" x14ac:dyDescent="0.3">
      <c r="A28" s="20"/>
      <c r="B28" s="18"/>
      <c r="C28" s="20"/>
      <c r="D28" s="18"/>
    </row>
    <row r="29" spans="1:4" x14ac:dyDescent="0.3">
      <c r="A29" s="20"/>
      <c r="B29" s="18"/>
      <c r="C29" s="20"/>
      <c r="D29" s="18"/>
    </row>
    <row r="30" spans="1:4" x14ac:dyDescent="0.3">
      <c r="A30" s="2"/>
      <c r="B30" s="2"/>
      <c r="C30" s="2"/>
      <c r="D30" s="2"/>
    </row>
    <row r="31" spans="1:4" ht="15" thickBot="1" x14ac:dyDescent="0.35">
      <c r="A31" s="101"/>
      <c r="B31" s="101"/>
      <c r="C31" s="101"/>
      <c r="D31" s="101"/>
    </row>
    <row r="32" spans="1:4" x14ac:dyDescent="0.3">
      <c r="A32" s="110" t="s">
        <v>115</v>
      </c>
      <c r="B32" s="119"/>
      <c r="C32" s="119"/>
      <c r="D32" s="111"/>
    </row>
    <row r="33" spans="1:4" x14ac:dyDescent="0.3">
      <c r="A33" s="45" t="s">
        <v>92</v>
      </c>
      <c r="B33" s="1" t="s">
        <v>83</v>
      </c>
      <c r="C33" s="93"/>
      <c r="D33" s="94"/>
    </row>
    <row r="34" spans="1:4" x14ac:dyDescent="0.3">
      <c r="A34" s="30" t="s">
        <v>57</v>
      </c>
      <c r="B34" s="18">
        <f>GETPIVOTDATA("EmployeeNumber",$A$101,"Attrition","Yes","JobRole","Sales Representative")/GETPIVOTDATA("EmployeeNumber",$A$101,"JobRole","Sales Representative")</f>
        <v>0.39759036144578314</v>
      </c>
      <c r="C34" s="93"/>
      <c r="D34" s="94"/>
    </row>
    <row r="35" spans="1:4" x14ac:dyDescent="0.3">
      <c r="A35" s="30" t="s">
        <v>50</v>
      </c>
      <c r="B35" s="18">
        <f>GETPIVOTDATA("EmployeeNumber",$A$101,"Attrition","Yes","JobRole","Laboratory Technician")/GETPIVOTDATA("EmployeeNumber",$A$101,"JobRole","Laboratory Technician")</f>
        <v>0.23938223938223938</v>
      </c>
      <c r="C35" s="93"/>
      <c r="D35" s="94"/>
    </row>
    <row r="36" spans="1:4" x14ac:dyDescent="0.3">
      <c r="A36" s="30" t="s">
        <v>61</v>
      </c>
      <c r="B36" s="18">
        <f>GETPIVOTDATA("EmployeeNumber",$A$101,"Attrition","Yes","JobRole","Human Resources")/GETPIVOTDATA("EmployeeNumber",$A$101,"JobRole","Human Resources")</f>
        <v>0.23076923076923078</v>
      </c>
      <c r="C36" s="93"/>
      <c r="D36" s="94"/>
    </row>
    <row r="37" spans="1:4" x14ac:dyDescent="0.3">
      <c r="A37" s="30" t="s">
        <v>40</v>
      </c>
      <c r="B37" s="18">
        <f>GETPIVOTDATA("EmployeeNumber",$A$101,"Attrition","Yes","JobRole","Sales Executive")/GETPIVOTDATA("EmployeeNumber",$A$101,"JobRole","Sales Executive")</f>
        <v>0.17484662576687116</v>
      </c>
      <c r="C37" s="93"/>
      <c r="D37" s="94"/>
    </row>
    <row r="38" spans="1:4" x14ac:dyDescent="0.3">
      <c r="A38" s="30" t="s">
        <v>47</v>
      </c>
      <c r="B38" s="18">
        <f>GETPIVOTDATA("EmployeeNumber",$A$101,"Attrition","Yes","JobRole","Research Scientist")/GETPIVOTDATA("EmployeeNumber",$A$101,"JobRole","Research Scientist")</f>
        <v>0.16095890410958905</v>
      </c>
      <c r="C38" s="93"/>
      <c r="D38" s="94"/>
    </row>
    <row r="39" spans="1:4" x14ac:dyDescent="0.3">
      <c r="A39" s="30" t="s">
        <v>53</v>
      </c>
      <c r="B39" s="18">
        <f>GETPIVOTDATA("EmployeeNumber",$A$101,"Attrition","Yes","JobRole","Manufacturing Director")/GETPIVOTDATA("EmployeeNumber",$A$101,"JobRole","Manufacturing Director")</f>
        <v>6.8965517241379309E-2</v>
      </c>
      <c r="C39" s="93"/>
      <c r="D39" s="94"/>
    </row>
    <row r="40" spans="1:4" x14ac:dyDescent="0.3">
      <c r="A40" s="30" t="s">
        <v>54</v>
      </c>
      <c r="B40" s="18">
        <f>GETPIVOTDATA("EmployeeNumber",$A$101,"Attrition","Yes","JobRole","Healthcare Representative")/GETPIVOTDATA("EmployeeNumber",$A$101,"JobRole","Healthcare Representative")</f>
        <v>6.8702290076335881E-2</v>
      </c>
      <c r="C40" s="93"/>
      <c r="D40" s="94"/>
    </row>
    <row r="41" spans="1:4" x14ac:dyDescent="0.3">
      <c r="A41" s="30" t="s">
        <v>56</v>
      </c>
      <c r="B41" s="18">
        <f>GETPIVOTDATA("EmployeeNumber",$A$101,"Attrition","Yes","JobRole","Manager")/GETPIVOTDATA("EmployeeNumber",$A$101,"JobRole","Manager")</f>
        <v>4.9019607843137254E-2</v>
      </c>
      <c r="C41" s="93"/>
      <c r="D41" s="94"/>
    </row>
    <row r="42" spans="1:4" x14ac:dyDescent="0.3">
      <c r="A42" s="30" t="s">
        <v>58</v>
      </c>
      <c r="B42" s="18">
        <f>GETPIVOTDATA("EmployeeNumber",$A$101,"Attrition","Yes","JobRole","Research Director")/GETPIVOTDATA("EmployeeNumber",$A$101,"JobRole","Research Director")</f>
        <v>2.5000000000000001E-2</v>
      </c>
      <c r="C42" s="93"/>
      <c r="D42" s="94"/>
    </row>
    <row r="43" spans="1:4" ht="15" thickBot="1" x14ac:dyDescent="0.35">
      <c r="A43" s="33"/>
      <c r="B43" s="46"/>
      <c r="C43" s="47"/>
      <c r="D43" s="48"/>
    </row>
    <row r="44" spans="1:4" ht="15" thickBot="1" x14ac:dyDescent="0.35">
      <c r="A44" s="101"/>
      <c r="B44" s="101"/>
      <c r="C44" s="101"/>
      <c r="D44" s="101"/>
    </row>
    <row r="45" spans="1:4" ht="15" thickBot="1" x14ac:dyDescent="0.35">
      <c r="A45" s="116" t="s">
        <v>116</v>
      </c>
      <c r="B45" s="117"/>
      <c r="C45" s="117"/>
      <c r="D45" s="118"/>
    </row>
    <row r="46" spans="1:4" x14ac:dyDescent="0.3">
      <c r="A46" s="112" t="s">
        <v>93</v>
      </c>
      <c r="B46" s="113"/>
      <c r="C46" s="104" t="s">
        <v>83</v>
      </c>
      <c r="D46" s="105"/>
    </row>
    <row r="47" spans="1:4" x14ac:dyDescent="0.3">
      <c r="A47" s="114" t="s">
        <v>43</v>
      </c>
      <c r="B47" s="115"/>
      <c r="C47" s="106">
        <f>GETPIVOTDATA("EmployeeNumber",$A$126,"Attrition","Yes","OverTime","No")/GETPIVOTDATA("EmployeeNumber",$A$126,"OverTime","No")</f>
        <v>0.10436432637571158</v>
      </c>
      <c r="D47" s="107"/>
    </row>
    <row r="48" spans="1:4" x14ac:dyDescent="0.3">
      <c r="A48" s="102" t="s">
        <v>35</v>
      </c>
      <c r="B48" s="103"/>
      <c r="C48" s="108">
        <f>GETPIVOTDATA("EmployeeNumber",$A$126,"Attrition","Yes","OverTime","Yes")/GETPIVOTDATA("EmployeeNumber",$A$126,"OverTime","Yes")</f>
        <v>0.30528846153846156</v>
      </c>
      <c r="D48" s="109"/>
    </row>
    <row r="49" spans="1:4" x14ac:dyDescent="0.3">
      <c r="A49" s="38"/>
      <c r="D49" s="31"/>
    </row>
    <row r="50" spans="1:4" x14ac:dyDescent="0.3">
      <c r="A50" s="38"/>
      <c r="C50" s="20"/>
      <c r="D50" s="32"/>
    </row>
    <row r="51" spans="1:4" x14ac:dyDescent="0.3">
      <c r="A51" s="38"/>
      <c r="D51" s="31"/>
    </row>
    <row r="52" spans="1:4" x14ac:dyDescent="0.3">
      <c r="A52" s="38"/>
      <c r="D52" s="31"/>
    </row>
    <row r="53" spans="1:4" x14ac:dyDescent="0.3">
      <c r="A53" s="38"/>
      <c r="D53" s="31"/>
    </row>
    <row r="54" spans="1:4" ht="15" thickBot="1" x14ac:dyDescent="0.35">
      <c r="A54" s="39"/>
      <c r="B54" s="49"/>
      <c r="C54" s="49"/>
      <c r="D54" s="50"/>
    </row>
    <row r="56" spans="1:4" x14ac:dyDescent="0.3">
      <c r="A56" s="120" t="s">
        <v>117</v>
      </c>
      <c r="B56" s="120"/>
      <c r="C56" s="120"/>
      <c r="D56" s="120"/>
    </row>
    <row r="57" spans="1:4" x14ac:dyDescent="0.3">
      <c r="A57" s="91"/>
      <c r="B57" s="91"/>
      <c r="C57" s="91"/>
      <c r="D57" s="91"/>
    </row>
    <row r="58" spans="1:4" x14ac:dyDescent="0.3">
      <c r="A58" s="91"/>
      <c r="B58" s="91"/>
      <c r="C58" s="91"/>
      <c r="D58" s="91"/>
    </row>
    <row r="59" spans="1:4" x14ac:dyDescent="0.3">
      <c r="A59" s="91"/>
      <c r="B59" s="91"/>
      <c r="C59" s="91"/>
      <c r="D59" s="91"/>
    </row>
    <row r="60" spans="1:4" x14ac:dyDescent="0.3">
      <c r="A60" s="91"/>
      <c r="B60" s="91"/>
      <c r="C60" s="91"/>
      <c r="D60" s="91"/>
    </row>
    <row r="61" spans="1:4" x14ac:dyDescent="0.3">
      <c r="A61" s="91"/>
      <c r="B61" s="91"/>
      <c r="C61" s="91"/>
      <c r="D61" s="91"/>
    </row>
    <row r="62" spans="1:4" x14ac:dyDescent="0.3">
      <c r="A62" s="91"/>
      <c r="B62" s="91"/>
      <c r="C62" s="91"/>
      <c r="D62" s="91"/>
    </row>
    <row r="63" spans="1:4" x14ac:dyDescent="0.3">
      <c r="A63" s="91"/>
      <c r="B63" s="91"/>
      <c r="C63" s="91"/>
      <c r="D63" s="91"/>
    </row>
    <row r="71" spans="1:5" x14ac:dyDescent="0.3">
      <c r="A71" s="20"/>
      <c r="B71" s="18"/>
    </row>
    <row r="72" spans="1:5" x14ac:dyDescent="0.3">
      <c r="A72" s="19" t="s">
        <v>87</v>
      </c>
      <c r="B72" s="19" t="s">
        <v>84</v>
      </c>
    </row>
    <row r="73" spans="1:5" x14ac:dyDescent="0.3">
      <c r="A73" s="19" t="s">
        <v>86</v>
      </c>
      <c r="B73" t="s">
        <v>43</v>
      </c>
      <c r="C73" t="s">
        <v>35</v>
      </c>
      <c r="D73" t="s">
        <v>85</v>
      </c>
      <c r="E73" s="26" t="s">
        <v>83</v>
      </c>
    </row>
    <row r="74" spans="1:5" x14ac:dyDescent="0.3">
      <c r="A74" s="20" t="s">
        <v>61</v>
      </c>
      <c r="B74">
        <v>51</v>
      </c>
      <c r="C74">
        <v>12</v>
      </c>
      <c r="D74">
        <v>63</v>
      </c>
      <c r="E74" s="27">
        <f>GETPIVOTDATA("Attrition",$A$72,"Attrition","Yes","Department","Human Resources")/GETPIVOTDATA("Attrition",$A$72,"Department","Human Resources")</f>
        <v>0.19047619047619047</v>
      </c>
    </row>
    <row r="75" spans="1:5" x14ac:dyDescent="0.3">
      <c r="A75" s="20" t="s">
        <v>45</v>
      </c>
      <c r="B75">
        <v>828</v>
      </c>
      <c r="C75">
        <v>133</v>
      </c>
      <c r="D75">
        <v>961</v>
      </c>
      <c r="E75" s="27">
        <f>GETPIVOTDATA("Attrition",$A$72,"Attrition","Yes","Department","Research &amp; Development")/GETPIVOTDATA("Attrition",$A$72,"Department","Research &amp; Development")</f>
        <v>0.13839750260145681</v>
      </c>
    </row>
    <row r="76" spans="1:5" x14ac:dyDescent="0.3">
      <c r="A76" s="20" t="s">
        <v>37</v>
      </c>
      <c r="B76">
        <v>354</v>
      </c>
      <c r="C76">
        <v>92</v>
      </c>
      <c r="D76">
        <v>446</v>
      </c>
      <c r="E76" s="27">
        <f>GETPIVOTDATA("Attrition",$A$72,"Attrition","Yes","Department","Sales")/GETPIVOTDATA("Attrition",$A$72,"Department","Sales")</f>
        <v>0.20627802690582961</v>
      </c>
    </row>
    <row r="77" spans="1:5" x14ac:dyDescent="0.3">
      <c r="A77" s="20" t="s">
        <v>85</v>
      </c>
      <c r="B77">
        <v>1233</v>
      </c>
      <c r="C77">
        <v>237</v>
      </c>
      <c r="D77">
        <v>1470</v>
      </c>
    </row>
    <row r="79" spans="1:5" x14ac:dyDescent="0.3">
      <c r="A79" s="20" t="s">
        <v>88</v>
      </c>
      <c r="B79" t="s">
        <v>89</v>
      </c>
    </row>
    <row r="80" spans="1:5" x14ac:dyDescent="0.3">
      <c r="A80" s="20" t="s">
        <v>61</v>
      </c>
      <c r="B80" s="18">
        <f>GETPIVOTDATA("Attrition",$A$72,"Attrition","Yes","Department","Human Resources")/GETPIVOTDATA("Attrition",$A$72,"Department","Human Resources")</f>
        <v>0.19047619047619047</v>
      </c>
    </row>
    <row r="81" spans="1:5" x14ac:dyDescent="0.3">
      <c r="A81" s="20" t="s">
        <v>45</v>
      </c>
      <c r="B81" s="18">
        <f>GETPIVOTDATA("Attrition",$A$72,"Attrition","Yes","Department","Research &amp; Development")/GETPIVOTDATA("Attrition",$A$72,"Department","Research &amp; Development")</f>
        <v>0.13839750260145681</v>
      </c>
    </row>
    <row r="82" spans="1:5" x14ac:dyDescent="0.3">
      <c r="A82" s="20" t="s">
        <v>37</v>
      </c>
      <c r="B82" s="18">
        <f>GETPIVOTDATA("Attrition",$A$72,"Attrition","Yes","Department","Sales")/GETPIVOTDATA("Attrition",$A$72,"Department","Sales")</f>
        <v>0.20627802690582961</v>
      </c>
    </row>
    <row r="85" spans="1:5" x14ac:dyDescent="0.3">
      <c r="A85" s="19" t="s">
        <v>87</v>
      </c>
      <c r="B85" s="19" t="s">
        <v>84</v>
      </c>
    </row>
    <row r="86" spans="1:5" x14ac:dyDescent="0.3">
      <c r="A86" s="19" t="s">
        <v>86</v>
      </c>
      <c r="B86" t="s">
        <v>43</v>
      </c>
      <c r="C86" t="s">
        <v>35</v>
      </c>
      <c r="D86" t="s">
        <v>85</v>
      </c>
      <c r="E86" s="26" t="s">
        <v>83</v>
      </c>
    </row>
    <row r="87" spans="1:5" x14ac:dyDescent="0.3">
      <c r="A87" s="21">
        <v>1</v>
      </c>
      <c r="B87">
        <v>223</v>
      </c>
      <c r="C87">
        <v>66</v>
      </c>
      <c r="D87">
        <v>289</v>
      </c>
      <c r="E87" s="27">
        <f>GETPIVOTDATA("Attrition",$A$85,"Attrition","Yes","JobSatisfaction",1)/GETPIVOTDATA("Attrition",$A$85,"JobSatisfaction",1)</f>
        <v>0.22837370242214533</v>
      </c>
    </row>
    <row r="88" spans="1:5" x14ac:dyDescent="0.3">
      <c r="A88" s="21">
        <v>2</v>
      </c>
      <c r="B88">
        <v>234</v>
      </c>
      <c r="C88">
        <v>46</v>
      </c>
      <c r="D88">
        <v>280</v>
      </c>
      <c r="E88" s="27">
        <f>GETPIVOTDATA("Attrition",$A$85,"Attrition","Yes","JobSatisfaction",2)/GETPIVOTDATA("Attrition",$A$85,"JobSatisfaction",2)</f>
        <v>0.16428571428571428</v>
      </c>
    </row>
    <row r="89" spans="1:5" x14ac:dyDescent="0.3">
      <c r="A89" s="21">
        <v>3</v>
      </c>
      <c r="B89">
        <v>369</v>
      </c>
      <c r="C89">
        <v>73</v>
      </c>
      <c r="D89">
        <v>442</v>
      </c>
      <c r="E89" s="27">
        <f>GETPIVOTDATA("Attrition",$A$85,"Attrition","Yes","JobSatisfaction",3)/GETPIVOTDATA("Attrition",$A$85,"JobSatisfaction",3)</f>
        <v>0.16515837104072398</v>
      </c>
    </row>
    <row r="90" spans="1:5" x14ac:dyDescent="0.3">
      <c r="A90" s="21">
        <v>4</v>
      </c>
      <c r="B90">
        <v>407</v>
      </c>
      <c r="C90">
        <v>52</v>
      </c>
      <c r="D90">
        <v>459</v>
      </c>
      <c r="E90" s="27">
        <f>GETPIVOTDATA("Attrition",$A$85,"Attrition","Yes","JobSatisfaction",4)/GETPIVOTDATA("Attrition",$A$85,"JobSatisfaction",4)</f>
        <v>0.11328976034858387</v>
      </c>
    </row>
    <row r="91" spans="1:5" x14ac:dyDescent="0.3">
      <c r="A91" s="21" t="s">
        <v>85</v>
      </c>
      <c r="B91">
        <v>1233</v>
      </c>
      <c r="C91">
        <v>237</v>
      </c>
      <c r="D91">
        <v>1470</v>
      </c>
      <c r="E91" s="28"/>
    </row>
    <row r="93" spans="1:5" x14ac:dyDescent="0.3">
      <c r="A93" s="1" t="s">
        <v>91</v>
      </c>
      <c r="B93" s="1" t="s">
        <v>83</v>
      </c>
    </row>
    <row r="94" spans="1:5" x14ac:dyDescent="0.3">
      <c r="A94" s="21" t="s">
        <v>142</v>
      </c>
      <c r="B94" s="22">
        <f>GETPIVOTDATA("Attrition",$A$85,"Attrition","Yes","JobSatisfaction",1)/GETPIVOTDATA("Attrition",$A$85,"JobSatisfaction",1)</f>
        <v>0.22837370242214533</v>
      </c>
    </row>
    <row r="95" spans="1:5" x14ac:dyDescent="0.3">
      <c r="A95" s="21" t="s">
        <v>143</v>
      </c>
      <c r="B95" s="22">
        <f>GETPIVOTDATA("Attrition",$A$85,"Attrition","Yes","JobSatisfaction",2)/GETPIVOTDATA("Attrition",$A$85,"JobSatisfaction",2)</f>
        <v>0.16428571428571428</v>
      </c>
    </row>
    <row r="96" spans="1:5" x14ac:dyDescent="0.3">
      <c r="A96" s="21" t="s">
        <v>144</v>
      </c>
      <c r="B96" s="22">
        <f>GETPIVOTDATA("Attrition",$A$85,"Attrition","Yes","JobSatisfaction",3)/GETPIVOTDATA("Attrition",$A$85,"JobSatisfaction",3)</f>
        <v>0.16515837104072398</v>
      </c>
    </row>
    <row r="97" spans="1:5" x14ac:dyDescent="0.3">
      <c r="A97" s="21" t="s">
        <v>145</v>
      </c>
      <c r="B97" s="22">
        <f>GETPIVOTDATA("Attrition",$A$85,"Attrition","Yes","JobSatisfaction",4)/GETPIVOTDATA("Attrition",$A$85,"JobSatisfaction",4)</f>
        <v>0.11328976034858387</v>
      </c>
    </row>
    <row r="101" spans="1:5" x14ac:dyDescent="0.3">
      <c r="A101" s="19" t="s">
        <v>90</v>
      </c>
      <c r="B101" s="19" t="s">
        <v>84</v>
      </c>
    </row>
    <row r="102" spans="1:5" x14ac:dyDescent="0.3">
      <c r="A102" s="19" t="s">
        <v>86</v>
      </c>
      <c r="B102" t="s">
        <v>43</v>
      </c>
      <c r="C102" t="s">
        <v>35</v>
      </c>
      <c r="D102" t="s">
        <v>85</v>
      </c>
      <c r="E102" s="26" t="s">
        <v>83</v>
      </c>
    </row>
    <row r="103" spans="1:5" x14ac:dyDescent="0.3">
      <c r="A103" s="20" t="s">
        <v>54</v>
      </c>
      <c r="B103">
        <v>122</v>
      </c>
      <c r="C103">
        <v>9</v>
      </c>
      <c r="D103">
        <v>131</v>
      </c>
      <c r="E103" s="27">
        <f>GETPIVOTDATA("EmployeeNumber",$A$101,"Attrition","Yes","JobRole","Healthcare Representative")/GETPIVOTDATA("EmployeeNumber",$A$101,"JobRole","Healthcare Representative")</f>
        <v>6.8702290076335881E-2</v>
      </c>
    </row>
    <row r="104" spans="1:5" x14ac:dyDescent="0.3">
      <c r="A104" s="20" t="s">
        <v>61</v>
      </c>
      <c r="B104">
        <v>40</v>
      </c>
      <c r="C104">
        <v>12</v>
      </c>
      <c r="D104">
        <v>52</v>
      </c>
      <c r="E104" s="27">
        <f>GETPIVOTDATA("EmployeeNumber",$A$101,"Attrition","Yes","JobRole","Human Resources")/GETPIVOTDATA("EmployeeNumber",$A$101,"JobRole","Human Resources")</f>
        <v>0.23076923076923078</v>
      </c>
    </row>
    <row r="105" spans="1:5" x14ac:dyDescent="0.3">
      <c r="A105" s="20" t="s">
        <v>50</v>
      </c>
      <c r="B105">
        <v>197</v>
      </c>
      <c r="C105">
        <v>62</v>
      </c>
      <c r="D105">
        <v>259</v>
      </c>
      <c r="E105" s="27">
        <f>GETPIVOTDATA("EmployeeNumber",$A$101,"Attrition","Yes","JobRole","Laboratory Technician")/GETPIVOTDATA("EmployeeNumber",$A$101,"JobRole","Laboratory Technician")</f>
        <v>0.23938223938223938</v>
      </c>
    </row>
    <row r="106" spans="1:5" x14ac:dyDescent="0.3">
      <c r="A106" s="20" t="s">
        <v>56</v>
      </c>
      <c r="B106">
        <v>97</v>
      </c>
      <c r="C106">
        <v>5</v>
      </c>
      <c r="D106">
        <v>102</v>
      </c>
      <c r="E106" s="27">
        <f>GETPIVOTDATA("EmployeeNumber",$A$101,"Attrition","Yes","JobRole","Manager")/GETPIVOTDATA("EmployeeNumber",$A$101,"JobRole","Manager")</f>
        <v>4.9019607843137254E-2</v>
      </c>
    </row>
    <row r="107" spans="1:5" x14ac:dyDescent="0.3">
      <c r="A107" s="20" t="s">
        <v>53</v>
      </c>
      <c r="B107">
        <v>135</v>
      </c>
      <c r="C107">
        <v>10</v>
      </c>
      <c r="D107">
        <v>145</v>
      </c>
      <c r="E107" s="27">
        <f>GETPIVOTDATA("EmployeeNumber",$A$101,"Attrition","Yes","JobRole","Manufacturing Director")/GETPIVOTDATA("EmployeeNumber",$A$101,"JobRole","Manufacturing Director")</f>
        <v>6.8965517241379309E-2</v>
      </c>
    </row>
    <row r="108" spans="1:5" x14ac:dyDescent="0.3">
      <c r="A108" s="20" t="s">
        <v>58</v>
      </c>
      <c r="B108">
        <v>78</v>
      </c>
      <c r="C108">
        <v>2</v>
      </c>
      <c r="D108">
        <v>80</v>
      </c>
      <c r="E108" s="27">
        <f>GETPIVOTDATA("EmployeeNumber",$A$101,"Attrition","Yes","JobRole","Research Director")/GETPIVOTDATA("EmployeeNumber",$A$101,"JobRole","Research Director")</f>
        <v>2.5000000000000001E-2</v>
      </c>
    </row>
    <row r="109" spans="1:5" x14ac:dyDescent="0.3">
      <c r="A109" s="20" t="s">
        <v>47</v>
      </c>
      <c r="B109">
        <v>245</v>
      </c>
      <c r="C109">
        <v>47</v>
      </c>
      <c r="D109">
        <v>292</v>
      </c>
      <c r="E109" s="27">
        <f>GETPIVOTDATA("EmployeeNumber",$A$101,"Attrition","Yes","JobRole","Research Scientist")/GETPIVOTDATA("EmployeeNumber",$A$101,"JobRole","Research Scientist")</f>
        <v>0.16095890410958905</v>
      </c>
    </row>
    <row r="110" spans="1:5" x14ac:dyDescent="0.3">
      <c r="A110" s="20" t="s">
        <v>40</v>
      </c>
      <c r="B110">
        <v>269</v>
      </c>
      <c r="C110">
        <v>57</v>
      </c>
      <c r="D110">
        <v>326</v>
      </c>
      <c r="E110" s="27">
        <f>GETPIVOTDATA("EmployeeNumber",$A$101,"Attrition","Yes","JobRole","Sales Executive")/GETPIVOTDATA("EmployeeNumber",$A$101,"JobRole","Sales Executive")</f>
        <v>0.17484662576687116</v>
      </c>
    </row>
    <row r="111" spans="1:5" x14ac:dyDescent="0.3">
      <c r="A111" s="20" t="s">
        <v>57</v>
      </c>
      <c r="B111">
        <v>50</v>
      </c>
      <c r="C111">
        <v>33</v>
      </c>
      <c r="D111">
        <v>83</v>
      </c>
      <c r="E111" s="27">
        <f>GETPIVOTDATA("EmployeeNumber",$A$101,"Attrition","Yes","JobRole","Sales Representative")/GETPIVOTDATA("EmployeeNumber",$A$101,"JobRole","Sales Representative")</f>
        <v>0.39759036144578314</v>
      </c>
    </row>
    <row r="112" spans="1:5" x14ac:dyDescent="0.3">
      <c r="A112" s="20" t="s">
        <v>85</v>
      </c>
      <c r="B112">
        <v>1233</v>
      </c>
      <c r="C112">
        <v>237</v>
      </c>
      <c r="D112">
        <v>1470</v>
      </c>
    </row>
    <row r="114" spans="1:5" x14ac:dyDescent="0.3">
      <c r="A114" s="23" t="s">
        <v>92</v>
      </c>
      <c r="B114" s="1" t="s">
        <v>83</v>
      </c>
    </row>
    <row r="115" spans="1:5" x14ac:dyDescent="0.3">
      <c r="A115" s="20" t="s">
        <v>57</v>
      </c>
      <c r="B115" s="18">
        <f>GETPIVOTDATA("EmployeeNumber",$A$101,"Attrition","Yes","JobRole","Sales Representative")/GETPIVOTDATA("EmployeeNumber",$A$101,"JobRole","Sales Representative")</f>
        <v>0.39759036144578314</v>
      </c>
    </row>
    <row r="116" spans="1:5" x14ac:dyDescent="0.3">
      <c r="A116" s="20" t="s">
        <v>50</v>
      </c>
      <c r="B116" s="18">
        <f>GETPIVOTDATA("EmployeeNumber",$A$101,"Attrition","Yes","JobRole","Laboratory Technician")/GETPIVOTDATA("EmployeeNumber",$A$101,"JobRole","Laboratory Technician")</f>
        <v>0.23938223938223938</v>
      </c>
    </row>
    <row r="117" spans="1:5" x14ac:dyDescent="0.3">
      <c r="A117" s="20" t="s">
        <v>61</v>
      </c>
      <c r="B117" s="18">
        <f>GETPIVOTDATA("EmployeeNumber",$A$101,"Attrition","Yes","JobRole","Human Resources")/GETPIVOTDATA("EmployeeNumber",$A$101,"JobRole","Human Resources")</f>
        <v>0.23076923076923078</v>
      </c>
    </row>
    <row r="118" spans="1:5" x14ac:dyDescent="0.3">
      <c r="A118" s="20" t="s">
        <v>40</v>
      </c>
      <c r="B118" s="18">
        <f>GETPIVOTDATA("EmployeeNumber",$A$101,"Attrition","Yes","JobRole","Sales Executive")/GETPIVOTDATA("EmployeeNumber",$A$101,"JobRole","Sales Executive")</f>
        <v>0.17484662576687116</v>
      </c>
    </row>
    <row r="119" spans="1:5" x14ac:dyDescent="0.3">
      <c r="A119" s="20" t="s">
        <v>47</v>
      </c>
      <c r="B119" s="18">
        <f>GETPIVOTDATA("EmployeeNumber",$A$101,"Attrition","Yes","JobRole","Research Scientist")/GETPIVOTDATA("EmployeeNumber",$A$101,"JobRole","Research Scientist")</f>
        <v>0.16095890410958905</v>
      </c>
    </row>
    <row r="120" spans="1:5" x14ac:dyDescent="0.3">
      <c r="A120" s="20" t="s">
        <v>53</v>
      </c>
      <c r="B120" s="18">
        <f>GETPIVOTDATA("EmployeeNumber",$A$101,"Attrition","Yes","JobRole","Manufacturing Director")/GETPIVOTDATA("EmployeeNumber",$A$101,"JobRole","Manufacturing Director")</f>
        <v>6.8965517241379309E-2</v>
      </c>
    </row>
    <row r="121" spans="1:5" x14ac:dyDescent="0.3">
      <c r="A121" s="20" t="s">
        <v>54</v>
      </c>
      <c r="B121" s="18">
        <f>GETPIVOTDATA("EmployeeNumber",$A$101,"Attrition","Yes","JobRole","Healthcare Representative")/GETPIVOTDATA("EmployeeNumber",$A$101,"JobRole","Healthcare Representative")</f>
        <v>6.8702290076335881E-2</v>
      </c>
    </row>
    <row r="122" spans="1:5" x14ac:dyDescent="0.3">
      <c r="A122" s="20" t="s">
        <v>56</v>
      </c>
      <c r="B122" s="18">
        <f>GETPIVOTDATA("EmployeeNumber",$A$101,"Attrition","Yes","JobRole","Manager")/GETPIVOTDATA("EmployeeNumber",$A$101,"JobRole","Manager")</f>
        <v>4.9019607843137254E-2</v>
      </c>
    </row>
    <row r="123" spans="1:5" x14ac:dyDescent="0.3">
      <c r="A123" s="20" t="s">
        <v>58</v>
      </c>
      <c r="B123" s="18">
        <f>GETPIVOTDATA("EmployeeNumber",$A$101,"Attrition","Yes","JobRole","Research Director")/GETPIVOTDATA("EmployeeNumber",$A$101,"JobRole","Research Director")</f>
        <v>2.5000000000000001E-2</v>
      </c>
    </row>
    <row r="126" spans="1:5" x14ac:dyDescent="0.3">
      <c r="A126" s="19" t="s">
        <v>90</v>
      </c>
      <c r="B126" s="19" t="s">
        <v>84</v>
      </c>
    </row>
    <row r="127" spans="1:5" x14ac:dyDescent="0.3">
      <c r="A127" s="19" t="s">
        <v>86</v>
      </c>
      <c r="B127" t="s">
        <v>43</v>
      </c>
      <c r="C127" t="s">
        <v>35</v>
      </c>
      <c r="D127" t="s">
        <v>85</v>
      </c>
      <c r="E127" s="26" t="s">
        <v>83</v>
      </c>
    </row>
    <row r="128" spans="1:5" x14ac:dyDescent="0.3">
      <c r="A128" s="20" t="s">
        <v>43</v>
      </c>
      <c r="B128">
        <v>944</v>
      </c>
      <c r="C128">
        <v>110</v>
      </c>
      <c r="D128">
        <v>1054</v>
      </c>
      <c r="E128" s="27">
        <f>GETPIVOTDATA("EmployeeNumber",$A$126,"Attrition","Yes","OverTime","No")/GETPIVOTDATA("EmployeeNumber",$A$126,"OverTime","No")</f>
        <v>0.10436432637571158</v>
      </c>
    </row>
    <row r="129" spans="1:5" x14ac:dyDescent="0.3">
      <c r="A129" s="20" t="s">
        <v>35</v>
      </c>
      <c r="B129">
        <v>289</v>
      </c>
      <c r="C129">
        <v>127</v>
      </c>
      <c r="D129">
        <v>416</v>
      </c>
      <c r="E129" s="27">
        <f>GETPIVOTDATA("EmployeeNumber",$A$126,"Attrition","Yes","OverTime","Yes")/GETPIVOTDATA("EmployeeNumber",$A$126,"OverTime","Yes")</f>
        <v>0.30528846153846156</v>
      </c>
    </row>
    <row r="130" spans="1:5" x14ac:dyDescent="0.3">
      <c r="A130" s="20" t="s">
        <v>85</v>
      </c>
      <c r="B130">
        <v>1233</v>
      </c>
      <c r="C130">
        <v>237</v>
      </c>
      <c r="D130">
        <v>1470</v>
      </c>
    </row>
    <row r="132" spans="1:5" x14ac:dyDescent="0.3">
      <c r="A132" s="24" t="s">
        <v>93</v>
      </c>
      <c r="B132" s="1" t="s">
        <v>83</v>
      </c>
    </row>
    <row r="133" spans="1:5" x14ac:dyDescent="0.3">
      <c r="A133" s="20" t="s">
        <v>43</v>
      </c>
      <c r="B133" s="18">
        <f>GETPIVOTDATA("EmployeeNumber",$A$126,"Attrition","Yes","OverTime","No")/GETPIVOTDATA("EmployeeNumber",$A$126,"OverTime","No")</f>
        <v>0.10436432637571158</v>
      </c>
    </row>
    <row r="134" spans="1:5" x14ac:dyDescent="0.3">
      <c r="A134" s="20" t="s">
        <v>35</v>
      </c>
      <c r="B134" s="18">
        <f>GETPIVOTDATA("EmployeeNumber",$A$126,"Attrition","Yes","OverTime","Yes")/GETPIVOTDATA("EmployeeNumber",$A$126,"OverTime","Yes")</f>
        <v>0.30528846153846156</v>
      </c>
    </row>
    <row r="137" spans="1:5" x14ac:dyDescent="0.3">
      <c r="A137" s="19" t="s">
        <v>90</v>
      </c>
      <c r="B137" s="19" t="s">
        <v>84</v>
      </c>
    </row>
    <row r="138" spans="1:5" x14ac:dyDescent="0.3">
      <c r="A138" s="19" t="s">
        <v>86</v>
      </c>
      <c r="B138" t="s">
        <v>43</v>
      </c>
      <c r="C138" t="s">
        <v>35</v>
      </c>
      <c r="D138" t="s">
        <v>85</v>
      </c>
      <c r="E138" s="26" t="s">
        <v>83</v>
      </c>
    </row>
    <row r="139" spans="1:5" x14ac:dyDescent="0.3">
      <c r="A139" s="20" t="s">
        <v>95</v>
      </c>
      <c r="B139">
        <v>388</v>
      </c>
      <c r="C139">
        <v>47</v>
      </c>
      <c r="D139">
        <v>435</v>
      </c>
      <c r="E139" s="27">
        <f>GETPIVOTDATA("EmployeeNumber",$A$137,"Attrition","Yes","IncomeBand ","high")/GETPIVOTDATA("EmployeeNumber",$A$137,"IncomeBand ","high")</f>
        <v>0.10804597701149425</v>
      </c>
    </row>
    <row r="140" spans="1:5" x14ac:dyDescent="0.3">
      <c r="A140" s="20" t="s">
        <v>96</v>
      </c>
      <c r="B140">
        <v>282</v>
      </c>
      <c r="C140">
        <v>113</v>
      </c>
      <c r="D140">
        <v>395</v>
      </c>
      <c r="E140" s="27">
        <f>GETPIVOTDATA("EmployeeNumber",$A$137,"Attrition","Yes","IncomeBand ","low")/GETPIVOTDATA("EmployeeNumber",$A$137,"IncomeBand ","low")</f>
        <v>0.28607594936708863</v>
      </c>
    </row>
    <row r="141" spans="1:5" x14ac:dyDescent="0.3">
      <c r="A141" s="20" t="s">
        <v>97</v>
      </c>
      <c r="B141">
        <v>563</v>
      </c>
      <c r="C141">
        <v>77</v>
      </c>
      <c r="D141">
        <v>640</v>
      </c>
      <c r="E141" s="27">
        <f>GETPIVOTDATA("EmployeeNumber",$A$137,"Attrition","Yes","IncomeBand ","medium")/GETPIVOTDATA("EmployeeNumber",$A$137,"IncomeBand ","medium")</f>
        <v>0.1203125</v>
      </c>
    </row>
    <row r="142" spans="1:5" x14ac:dyDescent="0.3">
      <c r="A142" s="20" t="s">
        <v>85</v>
      </c>
      <c r="B142">
        <v>1233</v>
      </c>
      <c r="C142">
        <v>237</v>
      </c>
      <c r="D142">
        <v>1470</v>
      </c>
    </row>
    <row r="145" spans="1:5" x14ac:dyDescent="0.3">
      <c r="A145" s="24" t="s">
        <v>98</v>
      </c>
      <c r="B145" s="1" t="s">
        <v>99</v>
      </c>
    </row>
    <row r="146" spans="1:5" x14ac:dyDescent="0.3">
      <c r="A146" s="20" t="s">
        <v>95</v>
      </c>
      <c r="B146" s="18">
        <f>GETPIVOTDATA("EmployeeNumber",$A$137,"Attrition","Yes","IncomeBand ","high")/GETPIVOTDATA("EmployeeNumber",$A$137,"IncomeBand ","high")</f>
        <v>0.10804597701149425</v>
      </c>
    </row>
    <row r="147" spans="1:5" x14ac:dyDescent="0.3">
      <c r="A147" s="20" t="s">
        <v>96</v>
      </c>
      <c r="B147" s="18">
        <f>GETPIVOTDATA("EmployeeNumber",$A$137,"Attrition","Yes","IncomeBand ","low")/GETPIVOTDATA("EmployeeNumber",$A$137,"IncomeBand ","low")</f>
        <v>0.28607594936708863</v>
      </c>
    </row>
    <row r="148" spans="1:5" x14ac:dyDescent="0.3">
      <c r="A148" s="20" t="s">
        <v>97</v>
      </c>
      <c r="B148" s="18">
        <f>GETPIVOTDATA("EmployeeNumber",$A$137,"Attrition","Yes","IncomeBand ","medium")/GETPIVOTDATA("EmployeeNumber",$A$137,"IncomeBand ","medium")</f>
        <v>0.1203125</v>
      </c>
    </row>
    <row r="151" spans="1:5" x14ac:dyDescent="0.3">
      <c r="A151" s="19" t="s">
        <v>90</v>
      </c>
      <c r="B151" s="19" t="s">
        <v>84</v>
      </c>
    </row>
    <row r="152" spans="1:5" x14ac:dyDescent="0.3">
      <c r="A152" s="19" t="s">
        <v>86</v>
      </c>
      <c r="B152" t="s">
        <v>43</v>
      </c>
      <c r="C152" t="s">
        <v>35</v>
      </c>
      <c r="D152" t="s">
        <v>85</v>
      </c>
      <c r="E152" s="26" t="s">
        <v>83</v>
      </c>
    </row>
    <row r="153" spans="1:5" x14ac:dyDescent="0.3">
      <c r="A153" s="20" t="s">
        <v>101</v>
      </c>
      <c r="B153">
        <v>240</v>
      </c>
      <c r="C153">
        <v>102</v>
      </c>
      <c r="D153">
        <v>342</v>
      </c>
      <c r="E153" s="29">
        <f>GETPIVOTDATA("EmployeeNumber",$A$151,"Attrition","Yes","TenureBand ","0-2 years")/GETPIVOTDATA("EmployeeNumber",$A$151,"TenureBand ","0-2 years")</f>
        <v>0.2982456140350877</v>
      </c>
    </row>
    <row r="154" spans="1:5" x14ac:dyDescent="0.3">
      <c r="A154" s="20" t="s">
        <v>102</v>
      </c>
      <c r="B154">
        <v>226</v>
      </c>
      <c r="C154">
        <v>20</v>
      </c>
      <c r="D154">
        <v>246</v>
      </c>
      <c r="E154" s="29">
        <f>GETPIVOTDATA("EmployeeNumber",$A$151,"Attrition","Yes","TenureBand ","10+ years")/GETPIVOTDATA("EmployeeNumber",$A$151,"TenureBand ","10+ years")</f>
        <v>8.1300813008130079E-2</v>
      </c>
    </row>
    <row r="155" spans="1:5" x14ac:dyDescent="0.3">
      <c r="A155" s="20" t="s">
        <v>103</v>
      </c>
      <c r="B155">
        <v>374</v>
      </c>
      <c r="C155">
        <v>60</v>
      </c>
      <c r="D155">
        <v>434</v>
      </c>
      <c r="E155" s="29">
        <f>GETPIVOTDATA("EmployeeNumber",$A$151,"Attrition","Yes","TenureBand ","3-5 years")/GETPIVOTDATA("EmployeeNumber",$A$151,"TenureBand ","3-5 years")</f>
        <v>0.13824884792626729</v>
      </c>
    </row>
    <row r="156" spans="1:5" x14ac:dyDescent="0.3">
      <c r="A156" s="20" t="s">
        <v>104</v>
      </c>
      <c r="B156">
        <v>393</v>
      </c>
      <c r="C156">
        <v>55</v>
      </c>
      <c r="D156">
        <v>448</v>
      </c>
      <c r="E156" s="29">
        <f>GETPIVOTDATA("EmployeeNumber",$A$151,"Attrition","Yes","TenureBand ","6-10 years")/GETPIVOTDATA("EmployeeNumber",$A$151,"TenureBand ","6-10 years")</f>
        <v>0.12276785714285714</v>
      </c>
    </row>
    <row r="157" spans="1:5" x14ac:dyDescent="0.3">
      <c r="A157" s="20" t="s">
        <v>85</v>
      </c>
      <c r="B157">
        <v>1233</v>
      </c>
      <c r="C157">
        <v>237</v>
      </c>
      <c r="D157">
        <v>1470</v>
      </c>
    </row>
    <row r="159" spans="1:5" x14ac:dyDescent="0.3">
      <c r="A159" s="24" t="s">
        <v>105</v>
      </c>
      <c r="B159" s="24" t="s">
        <v>83</v>
      </c>
    </row>
    <row r="160" spans="1:5" x14ac:dyDescent="0.3">
      <c r="A160" t="s">
        <v>101</v>
      </c>
      <c r="B160" s="18">
        <f>GETPIVOTDATA("EmployeeNumber",$A$151,"Attrition","Yes","TenureBand ","0-2 years")/GETPIVOTDATA("EmployeeNumber",$A$151,"TenureBand ","0-2 years")</f>
        <v>0.2982456140350877</v>
      </c>
    </row>
    <row r="161" spans="1:2" x14ac:dyDescent="0.3">
      <c r="A161" t="s">
        <v>103</v>
      </c>
      <c r="B161" s="18">
        <f>GETPIVOTDATA("EmployeeNumber",$A$151,"Attrition","Yes","TenureBand ","3-5 years")/GETPIVOTDATA("EmployeeNumber",$A$151,"TenureBand ","3-5 years")</f>
        <v>0.13824884792626729</v>
      </c>
    </row>
    <row r="162" spans="1:2" x14ac:dyDescent="0.3">
      <c r="A162" t="s">
        <v>104</v>
      </c>
      <c r="B162" s="18">
        <f>GETPIVOTDATA("EmployeeNumber",$A$151,"Attrition","Yes","TenureBand ","6-10 years")/GETPIVOTDATA("EmployeeNumber",$A$151,"TenureBand ","6-10 years")</f>
        <v>0.12276785714285714</v>
      </c>
    </row>
    <row r="163" spans="1:2" x14ac:dyDescent="0.3">
      <c r="A163" t="s">
        <v>102</v>
      </c>
      <c r="B163" s="18">
        <f>GETPIVOTDATA("EmployeeNumber",$A$151,"Attrition","Yes","TenureBand ","10+ years")/GETPIVOTDATA("EmployeeNumber",$A$151,"TenureBand ","10+ years")</f>
        <v>8.1300813008130079E-2</v>
      </c>
    </row>
  </sheetData>
  <mergeCells count="36">
    <mergeCell ref="A62:D62"/>
    <mergeCell ref="A63:D63"/>
    <mergeCell ref="A56:D56"/>
    <mergeCell ref="A57:D57"/>
    <mergeCell ref="A58:D58"/>
    <mergeCell ref="A59:D59"/>
    <mergeCell ref="A60:D60"/>
    <mergeCell ref="A61:D61"/>
    <mergeCell ref="A48:B48"/>
    <mergeCell ref="C46:D46"/>
    <mergeCell ref="C47:D47"/>
    <mergeCell ref="C48:D48"/>
    <mergeCell ref="A6:B6"/>
    <mergeCell ref="C6:D6"/>
    <mergeCell ref="A18:B18"/>
    <mergeCell ref="C18:D18"/>
    <mergeCell ref="A31:D31"/>
    <mergeCell ref="A46:B46"/>
    <mergeCell ref="A47:B47"/>
    <mergeCell ref="A44:D44"/>
    <mergeCell ref="A45:D45"/>
    <mergeCell ref="A32:D32"/>
    <mergeCell ref="C37:D37"/>
    <mergeCell ref="C38:D38"/>
    <mergeCell ref="C39:D39"/>
    <mergeCell ref="C40:D40"/>
    <mergeCell ref="C41:D41"/>
    <mergeCell ref="C42:D42"/>
    <mergeCell ref="A1:D1"/>
    <mergeCell ref="A2:D2"/>
    <mergeCell ref="A5:D5"/>
    <mergeCell ref="A17:D17"/>
    <mergeCell ref="C33:D33"/>
    <mergeCell ref="C34:D34"/>
    <mergeCell ref="C35:D35"/>
    <mergeCell ref="C36:D36"/>
  </mergeCells>
  <pageMargins left="0.7" right="0.7" top="0.75" bottom="0.75" header="0.3" footer="0.3"/>
  <drawing r:id="rId7"/>
  <tableParts count="11"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0933-9C7E-4E53-8E60-94D2435DDB54}">
  <dimension ref="A1:M64"/>
  <sheetViews>
    <sheetView zoomScale="44" zoomScaleNormal="100" workbookViewId="0">
      <selection activeCell="A3" sqref="A3"/>
    </sheetView>
  </sheetViews>
  <sheetFormatPr defaultRowHeight="14.4" x14ac:dyDescent="0.3"/>
  <cols>
    <col min="1" max="4" width="31.77734375" customWidth="1"/>
    <col min="12" max="12" width="16.44140625" customWidth="1"/>
    <col min="13" max="13" width="20.88671875" customWidth="1"/>
  </cols>
  <sheetData>
    <row r="1" spans="1:13" ht="18" x14ac:dyDescent="0.35">
      <c r="A1" s="70" t="s">
        <v>106</v>
      </c>
      <c r="B1" s="71"/>
      <c r="C1" s="71"/>
      <c r="D1" s="71"/>
    </row>
    <row r="2" spans="1:13" ht="18" x14ac:dyDescent="0.35">
      <c r="A2" s="70" t="s">
        <v>107</v>
      </c>
      <c r="B2" s="71"/>
      <c r="C2" s="71"/>
      <c r="D2" s="71"/>
    </row>
    <row r="3" spans="1:13" x14ac:dyDescent="0.3">
      <c r="A3" s="53" t="s">
        <v>118</v>
      </c>
      <c r="B3" s="53" t="s">
        <v>119</v>
      </c>
      <c r="C3" s="53" t="s">
        <v>120</v>
      </c>
      <c r="D3" s="53" t="s">
        <v>89</v>
      </c>
    </row>
    <row r="4" spans="1:13" s="56" customFormat="1" ht="15.6" x14ac:dyDescent="0.3">
      <c r="A4" s="64">
        <f>COUNTA(Table3[EmployeeNumber])</f>
        <v>1470</v>
      </c>
      <c r="B4" s="64">
        <f>COUNTIF(Table3[Attrition],"Yes")</f>
        <v>237</v>
      </c>
      <c r="C4" s="64">
        <f>COUNTIF(Table3[Attrition],"No")</f>
        <v>1233</v>
      </c>
      <c r="D4" s="65">
        <f>B4/A4</f>
        <v>0.16122448979591836</v>
      </c>
    </row>
    <row r="5" spans="1:13" x14ac:dyDescent="0.3">
      <c r="A5" s="72"/>
      <c r="B5" s="72"/>
      <c r="C5" s="72"/>
      <c r="D5" s="72"/>
    </row>
    <row r="6" spans="1:13" x14ac:dyDescent="0.3">
      <c r="A6" s="73" t="s">
        <v>111</v>
      </c>
      <c r="B6" s="73"/>
      <c r="C6" s="73" t="s">
        <v>112</v>
      </c>
      <c r="D6" s="73"/>
    </row>
    <row r="7" spans="1:13" ht="15.6" x14ac:dyDescent="0.3">
      <c r="A7" s="57" t="s">
        <v>88</v>
      </c>
      <c r="B7" s="57" t="s">
        <v>89</v>
      </c>
      <c r="C7" s="57" t="s">
        <v>109</v>
      </c>
      <c r="D7" s="57" t="s">
        <v>89</v>
      </c>
      <c r="L7" s="51"/>
      <c r="M7" s="51"/>
    </row>
    <row r="8" spans="1:13" ht="15.6" x14ac:dyDescent="0.3">
      <c r="A8" s="61" t="s">
        <v>61</v>
      </c>
      <c r="B8" s="62">
        <v>0.19047619047619047</v>
      </c>
      <c r="C8" s="61" t="s">
        <v>95</v>
      </c>
      <c r="D8" s="62">
        <v>0.10804597701149425</v>
      </c>
    </row>
    <row r="9" spans="1:13" ht="15.6" x14ac:dyDescent="0.3">
      <c r="A9" s="61" t="s">
        <v>45</v>
      </c>
      <c r="B9" s="62">
        <v>0.13839750260145681</v>
      </c>
      <c r="C9" s="61" t="s">
        <v>96</v>
      </c>
      <c r="D9" s="62">
        <v>0.28607594936708863</v>
      </c>
    </row>
    <row r="10" spans="1:13" ht="15.6" x14ac:dyDescent="0.3">
      <c r="A10" s="61" t="s">
        <v>37</v>
      </c>
      <c r="B10" s="62">
        <v>0.20627802690582961</v>
      </c>
      <c r="C10" s="61" t="s">
        <v>97</v>
      </c>
      <c r="D10" s="62">
        <v>0.1203125</v>
      </c>
    </row>
    <row r="11" spans="1:13" x14ac:dyDescent="0.3">
      <c r="A11" s="67"/>
      <c r="B11" s="67"/>
      <c r="C11" s="67"/>
      <c r="D11" s="67"/>
      <c r="M11" s="18"/>
    </row>
    <row r="12" spans="1:13" x14ac:dyDescent="0.3">
      <c r="A12" s="52"/>
      <c r="B12" s="52"/>
      <c r="C12" s="52"/>
      <c r="D12" s="52"/>
      <c r="M12" s="18"/>
    </row>
    <row r="13" spans="1:13" x14ac:dyDescent="0.3">
      <c r="A13" s="52"/>
      <c r="B13" s="52"/>
      <c r="C13" s="52"/>
      <c r="D13" s="52"/>
      <c r="M13" s="18"/>
    </row>
    <row r="14" spans="1:13" x14ac:dyDescent="0.3">
      <c r="A14" s="52"/>
      <c r="B14" s="52"/>
      <c r="C14" s="52"/>
      <c r="D14" s="52"/>
    </row>
    <row r="15" spans="1:13" x14ac:dyDescent="0.3">
      <c r="A15" s="52"/>
      <c r="B15" s="52"/>
      <c r="C15" s="52"/>
      <c r="D15" s="52"/>
    </row>
    <row r="16" spans="1:13" x14ac:dyDescent="0.3">
      <c r="A16" s="52"/>
      <c r="B16" s="52"/>
      <c r="C16" s="52"/>
      <c r="D16" s="52"/>
    </row>
    <row r="17" spans="1:4" x14ac:dyDescent="0.3">
      <c r="A17" s="52"/>
      <c r="B17" s="52"/>
      <c r="C17" s="52"/>
      <c r="D17" s="52"/>
    </row>
    <row r="18" spans="1:4" x14ac:dyDescent="0.3">
      <c r="A18" s="72"/>
      <c r="B18" s="72"/>
      <c r="C18" s="72"/>
      <c r="D18" s="72"/>
    </row>
    <row r="19" spans="1:4" x14ac:dyDescent="0.3">
      <c r="A19" s="73" t="s">
        <v>113</v>
      </c>
      <c r="B19" s="73"/>
      <c r="C19" s="73" t="s">
        <v>114</v>
      </c>
      <c r="D19" s="73"/>
    </row>
    <row r="20" spans="1:4" ht="15.6" x14ac:dyDescent="0.3">
      <c r="A20" s="57" t="s">
        <v>108</v>
      </c>
      <c r="B20" s="57" t="s">
        <v>89</v>
      </c>
      <c r="C20" s="57" t="s">
        <v>91</v>
      </c>
      <c r="D20" s="57" t="s">
        <v>89</v>
      </c>
    </row>
    <row r="21" spans="1:4" ht="15.6" x14ac:dyDescent="0.3">
      <c r="A21" s="61" t="s">
        <v>101</v>
      </c>
      <c r="B21" s="62">
        <v>0.2982456140350877</v>
      </c>
      <c r="C21" s="63">
        <v>1</v>
      </c>
      <c r="D21" s="62">
        <v>0.22837370242214533</v>
      </c>
    </row>
    <row r="22" spans="1:4" ht="15.6" x14ac:dyDescent="0.3">
      <c r="A22" s="61" t="s">
        <v>103</v>
      </c>
      <c r="B22" s="62">
        <v>0.13824884792626729</v>
      </c>
      <c r="C22" s="63">
        <v>2</v>
      </c>
      <c r="D22" s="62">
        <v>0.16428571428571428</v>
      </c>
    </row>
    <row r="23" spans="1:4" ht="15.6" x14ac:dyDescent="0.3">
      <c r="A23" s="61" t="s">
        <v>104</v>
      </c>
      <c r="B23" s="62">
        <v>0.12276785714285714</v>
      </c>
      <c r="C23" s="63">
        <v>3</v>
      </c>
      <c r="D23" s="62">
        <v>0.16515837104072398</v>
      </c>
    </row>
    <row r="24" spans="1:4" ht="15.6" x14ac:dyDescent="0.3">
      <c r="A24" s="61" t="s">
        <v>102</v>
      </c>
      <c r="B24" s="62">
        <v>8.1300813008130079E-2</v>
      </c>
      <c r="C24" s="63">
        <v>4</v>
      </c>
      <c r="D24" s="62">
        <v>0.11328976034858387</v>
      </c>
    </row>
    <row r="25" spans="1:4" x14ac:dyDescent="0.3">
      <c r="A25" s="52"/>
      <c r="B25" s="52"/>
      <c r="C25" s="52"/>
      <c r="D25" s="52"/>
    </row>
    <row r="26" spans="1:4" x14ac:dyDescent="0.3">
      <c r="A26" s="52"/>
      <c r="B26" s="52"/>
      <c r="C26" s="52"/>
      <c r="D26" s="52"/>
    </row>
    <row r="27" spans="1:4" x14ac:dyDescent="0.3">
      <c r="A27" s="52"/>
      <c r="B27" s="52"/>
      <c r="C27" s="52"/>
      <c r="D27" s="52"/>
    </row>
    <row r="28" spans="1:4" x14ac:dyDescent="0.3">
      <c r="A28" s="52"/>
      <c r="B28" s="52"/>
      <c r="C28" s="52"/>
      <c r="D28" s="52"/>
    </row>
    <row r="29" spans="1:4" x14ac:dyDescent="0.3">
      <c r="A29" s="52"/>
      <c r="B29" s="52"/>
      <c r="C29" s="52"/>
      <c r="D29" s="52"/>
    </row>
    <row r="30" spans="1:4" x14ac:dyDescent="0.3">
      <c r="A30" s="52"/>
      <c r="B30" s="52"/>
      <c r="C30" s="52"/>
      <c r="D30" s="52"/>
    </row>
    <row r="31" spans="1:4" x14ac:dyDescent="0.3">
      <c r="A31" s="52"/>
      <c r="B31" s="52"/>
      <c r="C31" s="52"/>
      <c r="D31" s="52"/>
    </row>
    <row r="32" spans="1:4" x14ac:dyDescent="0.3">
      <c r="A32" s="52"/>
      <c r="B32" s="52"/>
      <c r="C32" s="52"/>
      <c r="D32" s="52"/>
    </row>
    <row r="33" spans="1:4" x14ac:dyDescent="0.3">
      <c r="A33" s="72"/>
      <c r="B33" s="72"/>
      <c r="C33" s="72"/>
      <c r="D33" s="72"/>
    </row>
    <row r="34" spans="1:4" ht="15.6" x14ac:dyDescent="0.3">
      <c r="A34" s="74" t="s">
        <v>115</v>
      </c>
      <c r="B34" s="74"/>
      <c r="C34" s="74"/>
      <c r="D34" s="74"/>
    </row>
    <row r="35" spans="1:4" ht="15.6" x14ac:dyDescent="0.3">
      <c r="A35" s="57" t="s">
        <v>92</v>
      </c>
      <c r="B35" s="57" t="s">
        <v>89</v>
      </c>
      <c r="C35" s="52"/>
      <c r="D35" s="52"/>
    </row>
    <row r="36" spans="1:4" ht="15.6" x14ac:dyDescent="0.3">
      <c r="A36" s="61" t="s">
        <v>57</v>
      </c>
      <c r="B36" s="62">
        <v>0.39759036144578314</v>
      </c>
      <c r="C36" s="52"/>
      <c r="D36" s="52"/>
    </row>
    <row r="37" spans="1:4" ht="15.6" x14ac:dyDescent="0.3">
      <c r="A37" s="61" t="s">
        <v>50</v>
      </c>
      <c r="B37" s="62">
        <v>0.23938223938223938</v>
      </c>
      <c r="C37" s="52"/>
      <c r="D37" s="52"/>
    </row>
    <row r="38" spans="1:4" ht="15.6" x14ac:dyDescent="0.3">
      <c r="A38" s="61" t="s">
        <v>61</v>
      </c>
      <c r="B38" s="62">
        <v>0.23076923076923078</v>
      </c>
      <c r="C38" s="52"/>
      <c r="D38" s="52"/>
    </row>
    <row r="39" spans="1:4" ht="15.6" x14ac:dyDescent="0.3">
      <c r="A39" s="61" t="s">
        <v>40</v>
      </c>
      <c r="B39" s="62">
        <v>0.17484662576687116</v>
      </c>
      <c r="C39" s="52"/>
      <c r="D39" s="52"/>
    </row>
    <row r="40" spans="1:4" ht="15.6" x14ac:dyDescent="0.3">
      <c r="A40" s="61" t="s">
        <v>47</v>
      </c>
      <c r="B40" s="62">
        <v>0.16095890410958905</v>
      </c>
      <c r="C40" s="52"/>
      <c r="D40" s="52"/>
    </row>
    <row r="41" spans="1:4" ht="15.6" x14ac:dyDescent="0.3">
      <c r="A41" s="61" t="s">
        <v>53</v>
      </c>
      <c r="B41" s="62">
        <v>6.8965517241379309E-2</v>
      </c>
      <c r="C41" s="52"/>
      <c r="D41" s="52"/>
    </row>
    <row r="42" spans="1:4" ht="15.6" x14ac:dyDescent="0.3">
      <c r="A42" s="61" t="s">
        <v>54</v>
      </c>
      <c r="B42" s="62">
        <v>6.8702290076335881E-2</v>
      </c>
      <c r="C42" s="52"/>
      <c r="D42" s="52"/>
    </row>
    <row r="43" spans="1:4" ht="15.6" x14ac:dyDescent="0.3">
      <c r="A43" s="61" t="s">
        <v>56</v>
      </c>
      <c r="B43" s="62">
        <v>4.9019607843137254E-2</v>
      </c>
      <c r="C43" s="52"/>
      <c r="D43" s="52"/>
    </row>
    <row r="44" spans="1:4" ht="15.6" x14ac:dyDescent="0.3">
      <c r="A44" s="61" t="s">
        <v>58</v>
      </c>
      <c r="B44" s="62">
        <v>2.5000000000000001E-2</v>
      </c>
      <c r="C44" s="52"/>
      <c r="D44" s="52"/>
    </row>
    <row r="45" spans="1:4" x14ac:dyDescent="0.3">
      <c r="A45" s="72"/>
      <c r="B45" s="72"/>
      <c r="C45" s="72"/>
      <c r="D45" s="72"/>
    </row>
    <row r="46" spans="1:4" ht="15.6" x14ac:dyDescent="0.3">
      <c r="A46" s="74" t="s">
        <v>116</v>
      </c>
      <c r="B46" s="74"/>
      <c r="C46" s="59"/>
      <c r="D46" s="59"/>
    </row>
    <row r="47" spans="1:4" ht="15.6" x14ac:dyDescent="0.3">
      <c r="A47" s="57" t="s">
        <v>93</v>
      </c>
      <c r="B47" s="57" t="s">
        <v>89</v>
      </c>
      <c r="C47" s="58"/>
      <c r="D47" s="52"/>
    </row>
    <row r="48" spans="1:4" ht="15.6" x14ac:dyDescent="0.3">
      <c r="A48" s="61" t="s">
        <v>43</v>
      </c>
      <c r="B48" s="66">
        <v>0.10436432637571158</v>
      </c>
      <c r="C48" s="60"/>
      <c r="D48" s="52"/>
    </row>
    <row r="49" spans="1:4" ht="15.6" x14ac:dyDescent="0.3">
      <c r="A49" s="61" t="s">
        <v>35</v>
      </c>
      <c r="B49" s="66">
        <v>0.30528846153846156</v>
      </c>
      <c r="C49" s="60"/>
      <c r="D49" s="52"/>
    </row>
    <row r="50" spans="1:4" x14ac:dyDescent="0.3">
      <c r="A50" s="52"/>
      <c r="B50" s="52"/>
      <c r="C50" s="52"/>
      <c r="D50" s="52"/>
    </row>
    <row r="51" spans="1:4" x14ac:dyDescent="0.3">
      <c r="A51" s="78"/>
      <c r="B51" s="79"/>
      <c r="C51" s="79"/>
      <c r="D51" s="80"/>
    </row>
    <row r="52" spans="1:4" ht="15.6" x14ac:dyDescent="0.3">
      <c r="A52" s="74" t="s">
        <v>117</v>
      </c>
      <c r="B52" s="74"/>
      <c r="C52" s="74"/>
      <c r="D52" s="74"/>
    </row>
    <row r="53" spans="1:4" ht="15.6" x14ac:dyDescent="0.3">
      <c r="A53" s="81" t="s">
        <v>121</v>
      </c>
      <c r="B53" s="82"/>
      <c r="C53" s="82"/>
      <c r="D53" s="83"/>
    </row>
    <row r="54" spans="1:4" ht="15.6" x14ac:dyDescent="0.3">
      <c r="A54" s="81" t="s">
        <v>122</v>
      </c>
      <c r="B54" s="82"/>
      <c r="C54" s="82"/>
      <c r="D54" s="83"/>
    </row>
    <row r="55" spans="1:4" ht="15.6" x14ac:dyDescent="0.3">
      <c r="A55" s="81" t="s">
        <v>123</v>
      </c>
      <c r="B55" s="82"/>
      <c r="C55" s="82"/>
      <c r="D55" s="83"/>
    </row>
    <row r="56" spans="1:4" ht="15.6" x14ac:dyDescent="0.3">
      <c r="A56" s="81" t="s">
        <v>124</v>
      </c>
      <c r="B56" s="82"/>
      <c r="C56" s="82"/>
      <c r="D56" s="83"/>
    </row>
    <row r="57" spans="1:4" ht="15.6" x14ac:dyDescent="0.3">
      <c r="A57" s="81" t="s">
        <v>125</v>
      </c>
      <c r="B57" s="82"/>
      <c r="C57" s="82"/>
      <c r="D57" s="83"/>
    </row>
    <row r="58" spans="1:4" ht="15.6" x14ac:dyDescent="0.3">
      <c r="A58" s="81" t="s">
        <v>129</v>
      </c>
      <c r="B58" s="82"/>
      <c r="C58" s="82"/>
      <c r="D58" s="83"/>
    </row>
    <row r="59" spans="1:4" ht="15.6" x14ac:dyDescent="0.3">
      <c r="A59" s="81" t="s">
        <v>126</v>
      </c>
      <c r="B59" s="82"/>
      <c r="C59" s="82"/>
      <c r="D59" s="83"/>
    </row>
    <row r="60" spans="1:4" ht="15.6" x14ac:dyDescent="0.3">
      <c r="A60" s="84" t="s">
        <v>128</v>
      </c>
      <c r="B60" s="85"/>
      <c r="C60" s="85"/>
      <c r="D60" s="86"/>
    </row>
    <row r="61" spans="1:4" ht="15.6" x14ac:dyDescent="0.3">
      <c r="A61" s="84" t="s">
        <v>127</v>
      </c>
      <c r="B61" s="85"/>
      <c r="C61" s="85"/>
      <c r="D61" s="86"/>
    </row>
    <row r="62" spans="1:4" ht="15.6" x14ac:dyDescent="0.3">
      <c r="A62" s="84" t="s">
        <v>130</v>
      </c>
      <c r="B62" s="85"/>
      <c r="C62" s="85"/>
      <c r="D62" s="86"/>
    </row>
    <row r="63" spans="1:4" ht="15.6" x14ac:dyDescent="0.3">
      <c r="A63" s="84" t="s">
        <v>132</v>
      </c>
      <c r="B63" s="85"/>
      <c r="C63" s="85"/>
      <c r="D63" s="86"/>
    </row>
    <row r="64" spans="1:4" ht="15.6" x14ac:dyDescent="0.3">
      <c r="A64" s="75" t="s">
        <v>131</v>
      </c>
      <c r="B64" s="76"/>
      <c r="C64" s="76"/>
      <c r="D64" s="77"/>
    </row>
  </sheetData>
  <mergeCells count="26">
    <mergeCell ref="A64:D64"/>
    <mergeCell ref="A51:D51"/>
    <mergeCell ref="A57:D57"/>
    <mergeCell ref="A58:D58"/>
    <mergeCell ref="A59:D59"/>
    <mergeCell ref="A60:D60"/>
    <mergeCell ref="A61:D61"/>
    <mergeCell ref="A62:D62"/>
    <mergeCell ref="A63:D63"/>
    <mergeCell ref="A52:D52"/>
    <mergeCell ref="A53:D53"/>
    <mergeCell ref="A54:D54"/>
    <mergeCell ref="A55:D55"/>
    <mergeCell ref="A56:D56"/>
    <mergeCell ref="A18:D18"/>
    <mergeCell ref="A33:D33"/>
    <mergeCell ref="A45:D45"/>
    <mergeCell ref="A46:B46"/>
    <mergeCell ref="A19:B19"/>
    <mergeCell ref="C19:D19"/>
    <mergeCell ref="A34:D34"/>
    <mergeCell ref="A1:D1"/>
    <mergeCell ref="A2:D2"/>
    <mergeCell ref="A5:D5"/>
    <mergeCell ref="A6:B6"/>
    <mergeCell ref="C6:D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B545-1A2B-4CAD-9528-89FB52B7783F}">
  <dimension ref="A1:P8"/>
  <sheetViews>
    <sheetView showGridLines="0" tabSelected="1" zoomScaleNormal="100" workbookViewId="0">
      <selection activeCell="R20" sqref="R20"/>
    </sheetView>
  </sheetViews>
  <sheetFormatPr defaultRowHeight="14.4" x14ac:dyDescent="0.3"/>
  <sheetData>
    <row r="1" spans="1:16" ht="14.4" customHeight="1" x14ac:dyDescent="0.3">
      <c r="A1" s="68" t="s">
        <v>136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6" x14ac:dyDescent="0.3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3" spans="1:16" ht="14.4" customHeight="1" x14ac:dyDescent="0.3">
      <c r="A3" s="69" t="s">
        <v>137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6" ht="14.4" customHeight="1" x14ac:dyDescent="0.3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</row>
    <row r="5" spans="1:16" x14ac:dyDescent="0.3">
      <c r="A5" s="121" t="s">
        <v>140</v>
      </c>
      <c r="B5" s="121"/>
      <c r="C5" s="121"/>
      <c r="D5" s="121"/>
      <c r="E5" s="121" t="s">
        <v>139</v>
      </c>
      <c r="F5" s="121"/>
      <c r="G5" s="121"/>
      <c r="H5" s="121"/>
      <c r="I5" s="121" t="s">
        <v>141</v>
      </c>
      <c r="J5" s="121"/>
      <c r="K5" s="121"/>
      <c r="L5" s="121"/>
      <c r="M5" s="121" t="s">
        <v>138</v>
      </c>
      <c r="N5" s="121"/>
      <c r="O5" s="121"/>
      <c r="P5" s="121"/>
    </row>
    <row r="6" spans="1:16" x14ac:dyDescent="0.3">
      <c r="A6" s="121"/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</row>
    <row r="7" spans="1:16" x14ac:dyDescent="0.3">
      <c r="A7" s="122">
        <v>1470</v>
      </c>
      <c r="B7" s="122"/>
      <c r="C7" s="122"/>
      <c r="D7" s="122"/>
      <c r="E7" s="122">
        <v>237</v>
      </c>
      <c r="F7" s="122"/>
      <c r="G7" s="122"/>
      <c r="H7" s="122"/>
      <c r="I7" s="122">
        <v>1233</v>
      </c>
      <c r="J7" s="122"/>
      <c r="K7" s="122"/>
      <c r="L7" s="122"/>
      <c r="M7" s="123">
        <v>0.16120000000000001</v>
      </c>
      <c r="N7" s="122"/>
      <c r="O7" s="122"/>
      <c r="P7" s="122"/>
    </row>
    <row r="8" spans="1:16" x14ac:dyDescent="0.3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</row>
  </sheetData>
  <mergeCells count="10">
    <mergeCell ref="A1:P2"/>
    <mergeCell ref="A3:P4"/>
    <mergeCell ref="A7:D8"/>
    <mergeCell ref="A5:D6"/>
    <mergeCell ref="E5:H6"/>
    <mergeCell ref="I5:L6"/>
    <mergeCell ref="M5:P6"/>
    <mergeCell ref="E7:H8"/>
    <mergeCell ref="I7:L8"/>
    <mergeCell ref="M7:P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 </vt:lpstr>
      <vt:lpstr>DATA CLEANING </vt:lpstr>
      <vt:lpstr>CLEAN DATA </vt:lpstr>
      <vt:lpstr>PIVOT TABLE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sanjay bisht</cp:lastModifiedBy>
  <dcterms:created xsi:type="dcterms:W3CDTF">2026-09-11T06:31:27Z</dcterms:created>
  <dcterms:modified xsi:type="dcterms:W3CDTF">2026-09-12T19:18:08Z</dcterms:modified>
</cp:coreProperties>
</file>